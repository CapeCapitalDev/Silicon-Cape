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1cb93daf5e3195c/Business/Cape Capital/Themes/Mission Critical/"/>
    </mc:Choice>
  </mc:AlternateContent>
  <xr:revisionPtr revIDLastSave="115" documentId="8_{F52E041E-1F52-4A5A-8EE1-CB3B30181C1F}" xr6:coauthVersionLast="47" xr6:coauthVersionMax="47" xr10:uidLastSave="{37A31295-5142-4B17-AD11-A8B5D12650C0}"/>
  <bookViews>
    <workbookView xWindow="1110" yWindow="1050" windowWidth="25185" windowHeight="15075" tabRatio="500" firstSheet="1" activeTab="2" xr2:uid="{00000000-000D-0000-FFFF-FFFF00000000}"/>
  </bookViews>
  <sheets>
    <sheet name="__FDSCACHE__" sheetId="7" state="veryHidden" r:id="rId1"/>
    <sheet name="1 — Universe Reconciliation" sheetId="2" r:id="rId2"/>
    <sheet name="2 — IC Universe Table" sheetId="3" r:id="rId3"/>
    <sheet name="3 — Weights" sheetId="4" r:id="rId4"/>
    <sheet name="4 — Geography &amp; Industry" sheetId="5" r:id="rId5"/>
  </sheets>
  <externalReferences>
    <externalReference r:id="rId6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90" i="5" l="1"/>
  <c r="Z89" i="5"/>
  <c r="Z88" i="5"/>
  <c r="Z87" i="5"/>
  <c r="Z86" i="5"/>
  <c r="Z85" i="5"/>
  <c r="Z84" i="5"/>
  <c r="Z83" i="5"/>
  <c r="Z82" i="5"/>
  <c r="Z81" i="5"/>
  <c r="Z80" i="5"/>
  <c r="Z79" i="5"/>
  <c r="Z78" i="5"/>
  <c r="Z77" i="5"/>
  <c r="Z76" i="5"/>
  <c r="Z75" i="5"/>
  <c r="Z74" i="5"/>
  <c r="Z73" i="5"/>
  <c r="Z72" i="5"/>
  <c r="Z71" i="5"/>
  <c r="Z70" i="5"/>
  <c r="Z69" i="5"/>
  <c r="Z68" i="5"/>
  <c r="Z67" i="5"/>
  <c r="Z66" i="5"/>
  <c r="Z65" i="5"/>
  <c r="Z64" i="5"/>
  <c r="Z63" i="5"/>
  <c r="Z62" i="5"/>
  <c r="Z61" i="5"/>
  <c r="Z60" i="5"/>
  <c r="Z59" i="5"/>
  <c r="Z58" i="5"/>
  <c r="Z57" i="5"/>
  <c r="Z56" i="5"/>
  <c r="Z55" i="5"/>
  <c r="Z54" i="5"/>
  <c r="Z53" i="5"/>
  <c r="Z52" i="5"/>
  <c r="Z51" i="5"/>
  <c r="Z50" i="5"/>
  <c r="Z49" i="5"/>
  <c r="Z48" i="5"/>
  <c r="Z47" i="5"/>
  <c r="Z46" i="5"/>
  <c r="Z45" i="5"/>
  <c r="Z44" i="5"/>
  <c r="Z43" i="5"/>
  <c r="Z42" i="5"/>
  <c r="Z41" i="5"/>
  <c r="Z40" i="5"/>
  <c r="Z39" i="5"/>
  <c r="Z38" i="5"/>
  <c r="Z37" i="5"/>
  <c r="Z36" i="5"/>
  <c r="Z35" i="5"/>
  <c r="Z34" i="5"/>
  <c r="Z33" i="5"/>
  <c r="Z32" i="5"/>
  <c r="Z31" i="5"/>
  <c r="Z30" i="5"/>
  <c r="Z29" i="5"/>
  <c r="Z28" i="5"/>
  <c r="Z27" i="5"/>
  <c r="Z26" i="5"/>
  <c r="Z25" i="5"/>
  <c r="Z24" i="5"/>
  <c r="Z23" i="5"/>
  <c r="Z22" i="5"/>
  <c r="Z21" i="5"/>
  <c r="Z20" i="5"/>
  <c r="Z19" i="5"/>
  <c r="Z18" i="5"/>
  <c r="Z17" i="5"/>
  <c r="Z16" i="5"/>
  <c r="Z15" i="5"/>
  <c r="Z14" i="5"/>
  <c r="Z13" i="5"/>
  <c r="Z12" i="5"/>
  <c r="Z11" i="5"/>
  <c r="Z10" i="5"/>
  <c r="Z9" i="5"/>
  <c r="Z8" i="5"/>
  <c r="Z7" i="5"/>
  <c r="Z6" i="5"/>
  <c r="Z5" i="5"/>
  <c r="Z4" i="5"/>
  <c r="Z3" i="5"/>
  <c r="Y90" i="5"/>
  <c r="Y89" i="5"/>
  <c r="Y88" i="5"/>
  <c r="Y87" i="5"/>
  <c r="Y86" i="5"/>
  <c r="Y85" i="5"/>
  <c r="Y84" i="5"/>
  <c r="Y83" i="5"/>
  <c r="Y82" i="5"/>
  <c r="Y81" i="5"/>
  <c r="Y80" i="5"/>
  <c r="Y79" i="5"/>
  <c r="Y78" i="5"/>
  <c r="Y77" i="5"/>
  <c r="Y76" i="5"/>
  <c r="Y75" i="5"/>
  <c r="Y74" i="5"/>
  <c r="Y73" i="5"/>
  <c r="Y72" i="5"/>
  <c r="Y71" i="5"/>
  <c r="Y70" i="5"/>
  <c r="Y69" i="5"/>
  <c r="Y68" i="5"/>
  <c r="Y67" i="5"/>
  <c r="Y66" i="5"/>
  <c r="Y65" i="5"/>
  <c r="Y64" i="5"/>
  <c r="Y63" i="5"/>
  <c r="Y62" i="5"/>
  <c r="Y61" i="5"/>
  <c r="Y60" i="5"/>
  <c r="Y59" i="5"/>
  <c r="Y58" i="5"/>
  <c r="Y57" i="5"/>
  <c r="Y56" i="5"/>
  <c r="Y55" i="5"/>
  <c r="Y54" i="5"/>
  <c r="Y53" i="5"/>
  <c r="Y52" i="5"/>
  <c r="Y51" i="5"/>
  <c r="Y50" i="5"/>
  <c r="Y49" i="5"/>
  <c r="Y48" i="5"/>
  <c r="Y47" i="5"/>
  <c r="Y46" i="5"/>
  <c r="Y45" i="5"/>
  <c r="Y44" i="5"/>
  <c r="Y43" i="5"/>
  <c r="Y42" i="5"/>
  <c r="Y41" i="5"/>
  <c r="Y40" i="5"/>
  <c r="Y39" i="5"/>
  <c r="Y38" i="5"/>
  <c r="Y37" i="5"/>
  <c r="Y36" i="5"/>
  <c r="Y35" i="5"/>
  <c r="Y34" i="5"/>
  <c r="Y33" i="5"/>
  <c r="Y32" i="5"/>
  <c r="Y31" i="5"/>
  <c r="Y30" i="5"/>
  <c r="Y29" i="5"/>
  <c r="Y28" i="5"/>
  <c r="Y27" i="5"/>
  <c r="Y26" i="5"/>
  <c r="Y25" i="5"/>
  <c r="Y24" i="5"/>
  <c r="Y23" i="5"/>
  <c r="Y22" i="5"/>
  <c r="Y21" i="5"/>
  <c r="Y20" i="5"/>
  <c r="Y19" i="5"/>
  <c r="Y18" i="5"/>
  <c r="Y17" i="5"/>
  <c r="Y16" i="5"/>
  <c r="Y15" i="5"/>
  <c r="Y14" i="5"/>
  <c r="Y13" i="5"/>
  <c r="Y12" i="5"/>
  <c r="Y11" i="5"/>
  <c r="Y10" i="5"/>
  <c r="Y9" i="5"/>
  <c r="Y8" i="5"/>
  <c r="Y7" i="5"/>
  <c r="Y6" i="5"/>
  <c r="Y5" i="5"/>
  <c r="Y4" i="5"/>
  <c r="Y3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H5" i="3"/>
  <c r="AI5" i="3"/>
  <c r="BF5" i="3" s="1" a="1"/>
  <c r="BF5" i="3" s="1"/>
  <c r="AJ5" i="3"/>
  <c r="AK5" i="3"/>
  <c r="AL5" i="3"/>
  <c r="BG5" i="3" s="1" a="1"/>
  <c r="BG5" i="3" s="1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AH6" i="3"/>
  <c r="BG6" i="3" s="1" a="1"/>
  <c r="BG6" i="3" s="1"/>
  <c r="AI6" i="3"/>
  <c r="BF6" i="3" s="1" a="1"/>
  <c r="BF6" i="3" s="1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AH7" i="3"/>
  <c r="AI7" i="3"/>
  <c r="BF7" i="3" s="1" a="1"/>
  <c r="BF7" i="3" s="1"/>
  <c r="AJ7" i="3"/>
  <c r="AK7" i="3"/>
  <c r="AL7" i="3"/>
  <c r="BG7" i="3" s="1" a="1"/>
  <c r="BG7" i="3" s="1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AH8" i="3"/>
  <c r="BG8" i="3" s="1" a="1"/>
  <c r="BG8" i="3" s="1"/>
  <c r="AI8" i="3"/>
  <c r="BF8" i="3" s="1" a="1"/>
  <c r="BF8" i="3" s="1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AH9" i="3"/>
  <c r="AI9" i="3"/>
  <c r="BF9" i="3" s="1" a="1"/>
  <c r="BF9" i="3" s="1"/>
  <c r="AJ9" i="3"/>
  <c r="AK9" i="3"/>
  <c r="AL9" i="3"/>
  <c r="BG9" i="3" s="1" a="1"/>
  <c r="BG9" i="3" s="1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AH10" i="3"/>
  <c r="BG10" i="3" s="1" a="1"/>
  <c r="BG10" i="3" s="1"/>
  <c r="AI10" i="3"/>
  <c r="BF10" i="3" s="1" a="1"/>
  <c r="BF10" i="3" s="1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AH11" i="3"/>
  <c r="AI11" i="3"/>
  <c r="BF11" i="3" s="1" a="1"/>
  <c r="BF11" i="3" s="1"/>
  <c r="AJ11" i="3"/>
  <c r="AK11" i="3"/>
  <c r="AL11" i="3"/>
  <c r="BG11" i="3" s="1" a="1"/>
  <c r="BG11" i="3" s="1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AH12" i="3"/>
  <c r="BG12" i="3" s="1" a="1"/>
  <c r="BG12" i="3" s="1"/>
  <c r="AI12" i="3"/>
  <c r="BF12" i="3" s="1" a="1"/>
  <c r="BF12" i="3" s="1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AH13" i="3"/>
  <c r="AI13" i="3"/>
  <c r="BF13" i="3" s="1" a="1"/>
  <c r="BF13" i="3" s="1"/>
  <c r="AJ13" i="3"/>
  <c r="AK13" i="3"/>
  <c r="AL13" i="3"/>
  <c r="BG13" i="3" s="1" a="1"/>
  <c r="BG13" i="3" s="1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AH14" i="3"/>
  <c r="BG14" i="3" s="1" a="1"/>
  <c r="BG14" i="3" s="1"/>
  <c r="AI14" i="3"/>
  <c r="BF14" i="3" s="1" a="1"/>
  <c r="BF14" i="3" s="1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AH15" i="3"/>
  <c r="AI15" i="3"/>
  <c r="BF15" i="3" s="1" a="1"/>
  <c r="BF15" i="3" s="1"/>
  <c r="AJ15" i="3"/>
  <c r="AK15" i="3"/>
  <c r="AL15" i="3"/>
  <c r="BG15" i="3" s="1" a="1"/>
  <c r="BG15" i="3" s="1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AH16" i="3"/>
  <c r="BG16" i="3" s="1" a="1"/>
  <c r="BG16" i="3" s="1"/>
  <c r="AI16" i="3"/>
  <c r="BF16" i="3" s="1" a="1"/>
  <c r="BF16" i="3" s="1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AH17" i="3"/>
  <c r="AI17" i="3"/>
  <c r="BF17" i="3" s="1" a="1"/>
  <c r="BF17" i="3" s="1"/>
  <c r="AJ17" i="3"/>
  <c r="AK17" i="3"/>
  <c r="AL17" i="3"/>
  <c r="BG17" i="3" s="1" a="1"/>
  <c r="BG17" i="3" s="1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AH18" i="3"/>
  <c r="BG18" i="3" s="1" a="1"/>
  <c r="BG18" i="3" s="1"/>
  <c r="AI18" i="3"/>
  <c r="BF18" i="3" s="1" a="1"/>
  <c r="BF18" i="3" s="1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AH19" i="3"/>
  <c r="AI19" i="3"/>
  <c r="AJ19" i="3"/>
  <c r="BF19" i="3" s="1" a="1"/>
  <c r="BF19" i="3" s="1"/>
  <c r="AK19" i="3"/>
  <c r="AL19" i="3"/>
  <c r="BG19" i="3" s="1" a="1"/>
  <c r="BG19" i="3" s="1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AH20" i="3"/>
  <c r="BG20" i="3" s="1" a="1"/>
  <c r="BG20" i="3" s="1"/>
  <c r="AI20" i="3"/>
  <c r="BF20" i="3" s="1" a="1"/>
  <c r="BF20" i="3" s="1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AH21" i="3"/>
  <c r="AI21" i="3"/>
  <c r="AJ21" i="3"/>
  <c r="BF21" i="3" s="1" a="1"/>
  <c r="BF21" i="3" s="1"/>
  <c r="AK21" i="3"/>
  <c r="AL21" i="3"/>
  <c r="BG21" i="3" s="1" a="1"/>
  <c r="BG21" i="3" s="1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AH22" i="3"/>
  <c r="BG22" i="3" s="1" a="1"/>
  <c r="BG22" i="3" s="1"/>
  <c r="AI22" i="3"/>
  <c r="BF22" i="3" s="1" a="1"/>
  <c r="BF22" i="3" s="1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AH23" i="3"/>
  <c r="AI23" i="3"/>
  <c r="AJ23" i="3"/>
  <c r="BF23" i="3" s="1" a="1"/>
  <c r="BF23" i="3" s="1"/>
  <c r="AK23" i="3"/>
  <c r="AL23" i="3"/>
  <c r="BG23" i="3" s="1" a="1"/>
  <c r="BG23" i="3" s="1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BC23" i="3"/>
  <c r="BD23" i="3"/>
  <c r="BE23" i="3"/>
  <c r="AH24" i="3"/>
  <c r="BG24" i="3" s="1" a="1"/>
  <c r="BG24" i="3" s="1"/>
  <c r="AI24" i="3"/>
  <c r="BF24" i="3" s="1" a="1"/>
  <c r="BF24" i="3" s="1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AH25" i="3"/>
  <c r="AI25" i="3"/>
  <c r="AJ25" i="3"/>
  <c r="BF25" i="3" s="1" a="1"/>
  <c r="BF25" i="3" s="1"/>
  <c r="AK25" i="3"/>
  <c r="AL25" i="3"/>
  <c r="BG25" i="3" s="1" a="1"/>
  <c r="BG25" i="3" s="1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AH26" i="3"/>
  <c r="BG26" i="3" s="1" a="1"/>
  <c r="BG26" i="3" s="1"/>
  <c r="AI26" i="3"/>
  <c r="BF26" i="3" s="1" a="1"/>
  <c r="BF26" i="3" s="1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AH27" i="3"/>
  <c r="AI27" i="3"/>
  <c r="AJ27" i="3"/>
  <c r="BF27" i="3" s="1" a="1"/>
  <c r="BF27" i="3" s="1"/>
  <c r="AK27" i="3"/>
  <c r="AL27" i="3"/>
  <c r="BG27" i="3" s="1" a="1"/>
  <c r="BG27" i="3" s="1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BC27" i="3"/>
  <c r="BD27" i="3"/>
  <c r="BE27" i="3"/>
  <c r="AH28" i="3"/>
  <c r="BG28" i="3" s="1" a="1"/>
  <c r="BG28" i="3" s="1"/>
  <c r="AI28" i="3"/>
  <c r="BF28" i="3" s="1" a="1"/>
  <c r="BF28" i="3" s="1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A28" i="3"/>
  <c r="BB28" i="3"/>
  <c r="BC28" i="3"/>
  <c r="BD28" i="3"/>
  <c r="BE28" i="3"/>
  <c r="AH29" i="3"/>
  <c r="AI29" i="3"/>
  <c r="AJ29" i="3"/>
  <c r="BF29" i="3" s="1" a="1"/>
  <c r="BF29" i="3" s="1"/>
  <c r="AK29" i="3"/>
  <c r="AL29" i="3"/>
  <c r="BG29" i="3" s="1" a="1"/>
  <c r="BG29" i="3" s="1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BC29" i="3"/>
  <c r="BD29" i="3"/>
  <c r="BE29" i="3"/>
  <c r="AH30" i="3"/>
  <c r="BG30" i="3" s="1" a="1"/>
  <c r="BG30" i="3" s="1"/>
  <c r="AI30" i="3"/>
  <c r="BF30" i="3" s="1" a="1"/>
  <c r="BF30" i="3" s="1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BC30" i="3"/>
  <c r="BD30" i="3"/>
  <c r="BE30" i="3"/>
  <c r="AH31" i="3"/>
  <c r="AI31" i="3"/>
  <c r="AJ31" i="3"/>
  <c r="BF31" i="3" s="1" a="1"/>
  <c r="BF31" i="3" s="1"/>
  <c r="AK31" i="3"/>
  <c r="AL31" i="3"/>
  <c r="BG31" i="3" s="1" a="1"/>
  <c r="BG31" i="3" s="1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BD31" i="3"/>
  <c r="BE31" i="3"/>
  <c r="AH32" i="3"/>
  <c r="BG32" i="3" s="1" a="1"/>
  <c r="BG32" i="3" s="1"/>
  <c r="AI32" i="3"/>
  <c r="BF32" i="3" s="1" a="1"/>
  <c r="BF32" i="3" s="1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BC32" i="3"/>
  <c r="BD32" i="3"/>
  <c r="BE32" i="3"/>
  <c r="AH33" i="3"/>
  <c r="AI33" i="3"/>
  <c r="AJ33" i="3"/>
  <c r="BF33" i="3" s="1" a="1"/>
  <c r="BF33" i="3" s="1"/>
  <c r="AK33" i="3"/>
  <c r="AL33" i="3"/>
  <c r="BG33" i="3" s="1" a="1"/>
  <c r="BG33" i="3" s="1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BE33" i="3"/>
  <c r="AH34" i="3"/>
  <c r="BG34" i="3" s="1" a="1"/>
  <c r="BG34" i="3" s="1"/>
  <c r="AI34" i="3"/>
  <c r="BF34" i="3" s="1" a="1"/>
  <c r="BF34" i="3" s="1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BC34" i="3"/>
  <c r="BD34" i="3"/>
  <c r="BE34" i="3"/>
  <c r="AH35" i="3"/>
  <c r="AI35" i="3"/>
  <c r="AJ35" i="3"/>
  <c r="BF35" i="3" s="1" a="1"/>
  <c r="BF35" i="3" s="1"/>
  <c r="AK35" i="3"/>
  <c r="AL35" i="3"/>
  <c r="BG35" i="3" s="1" a="1"/>
  <c r="BG35" i="3" s="1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A35" i="3"/>
  <c r="BB35" i="3"/>
  <c r="BC35" i="3"/>
  <c r="BD35" i="3"/>
  <c r="BE35" i="3"/>
  <c r="AH36" i="3"/>
  <c r="BG36" i="3" s="1" a="1"/>
  <c r="BG36" i="3" s="1"/>
  <c r="AI36" i="3"/>
  <c r="BF36" i="3" s="1" a="1"/>
  <c r="BF36" i="3" s="1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A36" i="3"/>
  <c r="BB36" i="3"/>
  <c r="BC36" i="3"/>
  <c r="BD36" i="3"/>
  <c r="BE36" i="3"/>
  <c r="AH37" i="3"/>
  <c r="AI37" i="3"/>
  <c r="AJ37" i="3"/>
  <c r="BF37" i="3" s="1" a="1"/>
  <c r="BF37" i="3" s="1"/>
  <c r="AK37" i="3"/>
  <c r="AL37" i="3"/>
  <c r="BG37" i="3" s="1" a="1"/>
  <c r="BG37" i="3" s="1"/>
  <c r="AM37" i="3"/>
  <c r="AN37" i="3"/>
  <c r="AO37" i="3"/>
  <c r="AP37" i="3"/>
  <c r="AQ37" i="3"/>
  <c r="AR37" i="3"/>
  <c r="AS37" i="3"/>
  <c r="AT37" i="3"/>
  <c r="AU37" i="3"/>
  <c r="AV37" i="3"/>
  <c r="AW37" i="3"/>
  <c r="AX37" i="3"/>
  <c r="AY37" i="3"/>
  <c r="AZ37" i="3"/>
  <c r="BA37" i="3"/>
  <c r="BB37" i="3"/>
  <c r="BC37" i="3"/>
  <c r="BD37" i="3"/>
  <c r="BE37" i="3"/>
  <c r="AH38" i="3"/>
  <c r="BG38" i="3" s="1" a="1"/>
  <c r="BG38" i="3" s="1"/>
  <c r="AI38" i="3"/>
  <c r="BF38" i="3" s="1" a="1"/>
  <c r="BF38" i="3" s="1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BA38" i="3"/>
  <c r="BB38" i="3"/>
  <c r="BC38" i="3"/>
  <c r="BD38" i="3"/>
  <c r="BE38" i="3"/>
  <c r="AH39" i="3"/>
  <c r="AI39" i="3"/>
  <c r="AJ39" i="3"/>
  <c r="BF39" i="3" s="1" a="1"/>
  <c r="BF39" i="3" s="1"/>
  <c r="AK39" i="3"/>
  <c r="AL39" i="3"/>
  <c r="BG39" i="3" s="1" a="1"/>
  <c r="BG39" i="3" s="1"/>
  <c r="AM39" i="3"/>
  <c r="AN39" i="3"/>
  <c r="AO39" i="3"/>
  <c r="AP39" i="3"/>
  <c r="AQ39" i="3"/>
  <c r="AR39" i="3"/>
  <c r="AS39" i="3"/>
  <c r="AT39" i="3"/>
  <c r="AU39" i="3"/>
  <c r="AV39" i="3"/>
  <c r="AW39" i="3"/>
  <c r="AX39" i="3"/>
  <c r="AY39" i="3"/>
  <c r="AZ39" i="3"/>
  <c r="BA39" i="3"/>
  <c r="BB39" i="3"/>
  <c r="BC39" i="3"/>
  <c r="BD39" i="3"/>
  <c r="BE39" i="3"/>
  <c r="AH40" i="3"/>
  <c r="BG40" i="3" s="1" a="1"/>
  <c r="BG40" i="3" s="1"/>
  <c r="AI40" i="3"/>
  <c r="BF40" i="3" s="1" a="1"/>
  <c r="BF40" i="3" s="1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A40" i="3"/>
  <c r="BB40" i="3"/>
  <c r="BC40" i="3"/>
  <c r="BD40" i="3"/>
  <c r="BE40" i="3"/>
  <c r="AH41" i="3"/>
  <c r="AI41" i="3"/>
  <c r="AJ41" i="3"/>
  <c r="BF41" i="3" s="1" a="1"/>
  <c r="BF41" i="3" s="1"/>
  <c r="AK41" i="3"/>
  <c r="AL41" i="3"/>
  <c r="BG41" i="3" s="1" a="1"/>
  <c r="BG41" i="3" s="1"/>
  <c r="AM41" i="3"/>
  <c r="AN41" i="3"/>
  <c r="AO41" i="3"/>
  <c r="AP41" i="3"/>
  <c r="AQ41" i="3"/>
  <c r="AR41" i="3"/>
  <c r="AS41" i="3"/>
  <c r="AT41" i="3"/>
  <c r="AU41" i="3"/>
  <c r="AV41" i="3"/>
  <c r="AW41" i="3"/>
  <c r="AX41" i="3"/>
  <c r="AY41" i="3"/>
  <c r="AZ41" i="3"/>
  <c r="BA41" i="3"/>
  <c r="BB41" i="3"/>
  <c r="BC41" i="3"/>
  <c r="BD41" i="3"/>
  <c r="BE41" i="3"/>
  <c r="AH42" i="3"/>
  <c r="BG42" i="3" s="1" a="1"/>
  <c r="BG42" i="3" s="1"/>
  <c r="AI42" i="3"/>
  <c r="BF42" i="3" s="1" a="1"/>
  <c r="BF42" i="3" s="1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BB42" i="3"/>
  <c r="BC42" i="3"/>
  <c r="BD42" i="3"/>
  <c r="BE42" i="3"/>
  <c r="AH43" i="3"/>
  <c r="AI43" i="3"/>
  <c r="AJ43" i="3"/>
  <c r="BF43" i="3" s="1" a="1"/>
  <c r="BF43" i="3" s="1"/>
  <c r="AK43" i="3"/>
  <c r="AL43" i="3"/>
  <c r="BG43" i="3" s="1" a="1"/>
  <c r="BG43" i="3" s="1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AH44" i="3"/>
  <c r="BG44" i="3" s="1" a="1"/>
  <c r="BG44" i="3" s="1"/>
  <c r="AI44" i="3"/>
  <c r="BF44" i="3" s="1" a="1"/>
  <c r="BF44" i="3" s="1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AZ44" i="3"/>
  <c r="BA44" i="3"/>
  <c r="BB44" i="3"/>
  <c r="BC44" i="3"/>
  <c r="BD44" i="3"/>
  <c r="BE44" i="3"/>
  <c r="AH45" i="3"/>
  <c r="AI45" i="3"/>
  <c r="AJ45" i="3"/>
  <c r="BF45" i="3" s="1" a="1"/>
  <c r="BF45" i="3" s="1"/>
  <c r="AK45" i="3"/>
  <c r="AL45" i="3"/>
  <c r="BG45" i="3" s="1" a="1"/>
  <c r="BG45" i="3" s="1"/>
  <c r="AM45" i="3"/>
  <c r="AN45" i="3"/>
  <c r="AO45" i="3"/>
  <c r="AP45" i="3"/>
  <c r="AQ45" i="3"/>
  <c r="AR45" i="3"/>
  <c r="AS45" i="3"/>
  <c r="AT45" i="3"/>
  <c r="AU45" i="3"/>
  <c r="AV45" i="3"/>
  <c r="AW45" i="3"/>
  <c r="AX45" i="3"/>
  <c r="AY45" i="3"/>
  <c r="AZ45" i="3"/>
  <c r="BA45" i="3"/>
  <c r="BB45" i="3"/>
  <c r="BC45" i="3"/>
  <c r="BD45" i="3"/>
  <c r="BE45" i="3"/>
  <c r="AH46" i="3"/>
  <c r="BF46" i="3" s="1" a="1"/>
  <c r="BF46" i="3" s="1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Y46" i="3"/>
  <c r="AZ46" i="3"/>
  <c r="BA46" i="3"/>
  <c r="BB46" i="3"/>
  <c r="BC46" i="3"/>
  <c r="BD46" i="3"/>
  <c r="BE46" i="3"/>
  <c r="AH47" i="3"/>
  <c r="AI47" i="3"/>
  <c r="AJ47" i="3"/>
  <c r="BF47" i="3" s="1" a="1"/>
  <c r="BF47" i="3" s="1"/>
  <c r="AK47" i="3"/>
  <c r="AL47" i="3"/>
  <c r="BG47" i="3" s="1" a="1"/>
  <c r="BG47" i="3" s="1"/>
  <c r="AM47" i="3"/>
  <c r="AN47" i="3"/>
  <c r="AO47" i="3"/>
  <c r="AP47" i="3"/>
  <c r="AQ47" i="3"/>
  <c r="AR47" i="3"/>
  <c r="AS47" i="3"/>
  <c r="AT47" i="3"/>
  <c r="AU47" i="3"/>
  <c r="AV47" i="3"/>
  <c r="AW47" i="3"/>
  <c r="AX47" i="3"/>
  <c r="AY47" i="3"/>
  <c r="AZ47" i="3"/>
  <c r="BA47" i="3"/>
  <c r="BB47" i="3"/>
  <c r="BC47" i="3"/>
  <c r="BD47" i="3"/>
  <c r="BE47" i="3"/>
  <c r="AH48" i="3"/>
  <c r="BG48" i="3" s="1" a="1"/>
  <c r="BG48" i="3" s="1"/>
  <c r="AI48" i="3"/>
  <c r="BF48" i="3" s="1" a="1"/>
  <c r="BF48" i="3" s="1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Y48" i="3"/>
  <c r="AZ48" i="3"/>
  <c r="BA48" i="3"/>
  <c r="BB48" i="3"/>
  <c r="BC48" i="3"/>
  <c r="BD48" i="3"/>
  <c r="BE48" i="3"/>
  <c r="AH49" i="3"/>
  <c r="AI49" i="3"/>
  <c r="AJ49" i="3"/>
  <c r="BF49" i="3" s="1" a="1"/>
  <c r="BF49" i="3" s="1"/>
  <c r="AK49" i="3"/>
  <c r="AL49" i="3"/>
  <c r="BG49" i="3" s="1" a="1"/>
  <c r="BG49" i="3" s="1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BB49" i="3"/>
  <c r="BC49" i="3"/>
  <c r="BD49" i="3"/>
  <c r="BE49" i="3"/>
  <c r="AH50" i="3"/>
  <c r="BG50" i="3" s="1" a="1"/>
  <c r="BG50" i="3" s="1"/>
  <c r="AI50" i="3"/>
  <c r="BF50" i="3" s="1" a="1"/>
  <c r="BF50" i="3" s="1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BC50" i="3"/>
  <c r="BD50" i="3"/>
  <c r="BE50" i="3"/>
  <c r="AH51" i="3"/>
  <c r="AI51" i="3"/>
  <c r="AJ51" i="3"/>
  <c r="BF51" i="3" s="1" a="1"/>
  <c r="BF51" i="3" s="1"/>
  <c r="AK51" i="3"/>
  <c r="AL51" i="3"/>
  <c r="BG51" i="3" s="1" a="1"/>
  <c r="BG51" i="3" s="1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BB51" i="3"/>
  <c r="BC51" i="3"/>
  <c r="BD51" i="3"/>
  <c r="BE51" i="3"/>
  <c r="AH52" i="3"/>
  <c r="BF52" i="3" s="1" a="1"/>
  <c r="BF52" i="3" s="1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BC52" i="3"/>
  <c r="BD52" i="3"/>
  <c r="BE52" i="3"/>
  <c r="AH53" i="3"/>
  <c r="AI53" i="3"/>
  <c r="AJ53" i="3"/>
  <c r="BF53" i="3" s="1" a="1"/>
  <c r="BF53" i="3" s="1"/>
  <c r="AK53" i="3"/>
  <c r="AL53" i="3"/>
  <c r="BG53" i="3" s="1" a="1"/>
  <c r="BG53" i="3" s="1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BB53" i="3"/>
  <c r="BC53" i="3"/>
  <c r="BD53" i="3"/>
  <c r="BE53" i="3"/>
  <c r="AH54" i="3"/>
  <c r="BF54" i="3" s="1" a="1"/>
  <c r="BF54" i="3" s="1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BB54" i="3"/>
  <c r="BC54" i="3"/>
  <c r="BD54" i="3"/>
  <c r="BE54" i="3"/>
  <c r="AH55" i="3"/>
  <c r="AI55" i="3"/>
  <c r="AJ55" i="3"/>
  <c r="BF55" i="3" s="1" a="1"/>
  <c r="BF55" i="3" s="1"/>
  <c r="AK55" i="3"/>
  <c r="AL55" i="3"/>
  <c r="BG55" i="3" s="1" a="1"/>
  <c r="BG55" i="3" s="1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BC55" i="3"/>
  <c r="BD55" i="3"/>
  <c r="BE55" i="3"/>
  <c r="AH56" i="3"/>
  <c r="BF56" i="3" s="1" a="1"/>
  <c r="BF56" i="3" s="1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BB56" i="3"/>
  <c r="BC56" i="3"/>
  <c r="BD56" i="3"/>
  <c r="BE56" i="3"/>
  <c r="AH57" i="3"/>
  <c r="AI57" i="3"/>
  <c r="AJ57" i="3"/>
  <c r="BF57" i="3" s="1" a="1"/>
  <c r="BF57" i="3" s="1"/>
  <c r="AK57" i="3"/>
  <c r="AL57" i="3"/>
  <c r="BG57" i="3" s="1" a="1"/>
  <c r="BG57" i="3" s="1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BB57" i="3"/>
  <c r="BC57" i="3"/>
  <c r="BD57" i="3"/>
  <c r="BE57" i="3"/>
  <c r="AH58" i="3"/>
  <c r="BF58" i="3" s="1" a="1"/>
  <c r="BF58" i="3" s="1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BB58" i="3"/>
  <c r="BC58" i="3"/>
  <c r="BD58" i="3"/>
  <c r="BE58" i="3"/>
  <c r="AH59" i="3"/>
  <c r="AI59" i="3"/>
  <c r="AJ59" i="3"/>
  <c r="BF59" i="3" s="1" a="1"/>
  <c r="BF59" i="3" s="1"/>
  <c r="AK59" i="3"/>
  <c r="AL59" i="3"/>
  <c r="BG59" i="3" s="1" a="1"/>
  <c r="BG59" i="3" s="1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BB59" i="3"/>
  <c r="BC59" i="3"/>
  <c r="BD59" i="3"/>
  <c r="BE59" i="3"/>
  <c r="AH60" i="3"/>
  <c r="BF60" i="3" s="1" a="1"/>
  <c r="BF60" i="3" s="1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BB60" i="3"/>
  <c r="BC60" i="3"/>
  <c r="BD60" i="3"/>
  <c r="BE60" i="3"/>
  <c r="AH61" i="3"/>
  <c r="AI61" i="3"/>
  <c r="AJ61" i="3"/>
  <c r="BF61" i="3" s="1" a="1"/>
  <c r="BF61" i="3" s="1"/>
  <c r="AK61" i="3"/>
  <c r="AL61" i="3"/>
  <c r="BG61" i="3" s="1" a="1"/>
  <c r="BG61" i="3" s="1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BB61" i="3"/>
  <c r="BC61" i="3"/>
  <c r="BD61" i="3"/>
  <c r="BE61" i="3"/>
  <c r="AH62" i="3"/>
  <c r="BF62" i="3" s="1" a="1"/>
  <c r="BF62" i="3" s="1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BB62" i="3"/>
  <c r="BC62" i="3"/>
  <c r="BD62" i="3"/>
  <c r="BE62" i="3"/>
  <c r="AH63" i="3"/>
  <c r="AI63" i="3"/>
  <c r="AJ63" i="3"/>
  <c r="BF63" i="3" s="1" a="1"/>
  <c r="BF63" i="3" s="1"/>
  <c r="AK63" i="3"/>
  <c r="AL63" i="3"/>
  <c r="BG63" i="3" s="1" a="1"/>
  <c r="BG63" i="3" s="1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BA63" i="3"/>
  <c r="BB63" i="3"/>
  <c r="BC63" i="3"/>
  <c r="BD63" i="3"/>
  <c r="BE63" i="3"/>
  <c r="AH64" i="3"/>
  <c r="BG64" i="3" s="1" a="1"/>
  <c r="BG64" i="3" s="1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BA64" i="3"/>
  <c r="BB64" i="3"/>
  <c r="BC64" i="3"/>
  <c r="BD64" i="3"/>
  <c r="BE64" i="3"/>
  <c r="AH65" i="3"/>
  <c r="AI65" i="3"/>
  <c r="AJ65" i="3"/>
  <c r="BF65" i="3" s="1" a="1"/>
  <c r="BF65" i="3" s="1"/>
  <c r="AK65" i="3"/>
  <c r="AL65" i="3"/>
  <c r="BG65" i="3" s="1" a="1"/>
  <c r="BG65" i="3" s="1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AZ65" i="3"/>
  <c r="BA65" i="3"/>
  <c r="BB65" i="3"/>
  <c r="BC65" i="3"/>
  <c r="BD65" i="3"/>
  <c r="BE65" i="3"/>
  <c r="AH66" i="3"/>
  <c r="BF66" i="3" s="1" a="1"/>
  <c r="BF66" i="3" s="1"/>
  <c r="AI66" i="3"/>
  <c r="AJ66" i="3"/>
  <c r="AK66" i="3"/>
  <c r="AL66" i="3"/>
  <c r="AM66" i="3"/>
  <c r="AN66" i="3"/>
  <c r="AO66" i="3"/>
  <c r="AP66" i="3"/>
  <c r="AQ66" i="3"/>
  <c r="AR66" i="3"/>
  <c r="AS66" i="3"/>
  <c r="AT66" i="3"/>
  <c r="AU66" i="3"/>
  <c r="AV66" i="3"/>
  <c r="AW66" i="3"/>
  <c r="AX66" i="3"/>
  <c r="AY66" i="3"/>
  <c r="AZ66" i="3"/>
  <c r="BA66" i="3"/>
  <c r="BB66" i="3"/>
  <c r="BC66" i="3"/>
  <c r="BD66" i="3"/>
  <c r="BE66" i="3"/>
  <c r="AH67" i="3"/>
  <c r="AI67" i="3"/>
  <c r="AJ67" i="3"/>
  <c r="BF67" i="3" s="1" a="1"/>
  <c r="BF67" i="3" s="1"/>
  <c r="AK67" i="3"/>
  <c r="AL67" i="3"/>
  <c r="BG67" i="3" s="1" a="1"/>
  <c r="BG67" i="3" s="1"/>
  <c r="AM67" i="3"/>
  <c r="AN67" i="3"/>
  <c r="AO67" i="3"/>
  <c r="AP67" i="3"/>
  <c r="AQ67" i="3"/>
  <c r="AR67" i="3"/>
  <c r="AS67" i="3"/>
  <c r="AT67" i="3"/>
  <c r="AU67" i="3"/>
  <c r="AV67" i="3"/>
  <c r="AW67" i="3"/>
  <c r="AX67" i="3"/>
  <c r="AY67" i="3"/>
  <c r="AZ67" i="3"/>
  <c r="BA67" i="3"/>
  <c r="BB67" i="3"/>
  <c r="BC67" i="3"/>
  <c r="BD67" i="3"/>
  <c r="BE67" i="3"/>
  <c r="AH68" i="3"/>
  <c r="BF68" i="3" s="1" a="1"/>
  <c r="BF68" i="3" s="1"/>
  <c r="AI68" i="3"/>
  <c r="AJ68" i="3"/>
  <c r="AK68" i="3"/>
  <c r="AL68" i="3"/>
  <c r="AM68" i="3"/>
  <c r="AN68" i="3"/>
  <c r="AO68" i="3"/>
  <c r="AP68" i="3"/>
  <c r="AQ68" i="3"/>
  <c r="AR68" i="3"/>
  <c r="AS68" i="3"/>
  <c r="AT68" i="3"/>
  <c r="AU68" i="3"/>
  <c r="AV68" i="3"/>
  <c r="AW68" i="3"/>
  <c r="AX68" i="3"/>
  <c r="AY68" i="3"/>
  <c r="AZ68" i="3"/>
  <c r="BA68" i="3"/>
  <c r="BB68" i="3"/>
  <c r="BC68" i="3"/>
  <c r="BD68" i="3"/>
  <c r="BE68" i="3"/>
  <c r="AH69" i="3"/>
  <c r="AI69" i="3"/>
  <c r="AJ69" i="3"/>
  <c r="BF69" i="3" s="1" a="1"/>
  <c r="BF69" i="3" s="1"/>
  <c r="AK69" i="3"/>
  <c r="AL69" i="3"/>
  <c r="BG69" i="3" s="1" a="1"/>
  <c r="BG69" i="3" s="1"/>
  <c r="AM69" i="3"/>
  <c r="AN69" i="3"/>
  <c r="AO69" i="3"/>
  <c r="AP69" i="3"/>
  <c r="AQ69" i="3"/>
  <c r="AR69" i="3"/>
  <c r="AS69" i="3"/>
  <c r="AT69" i="3"/>
  <c r="AU69" i="3"/>
  <c r="AV69" i="3"/>
  <c r="AW69" i="3"/>
  <c r="AX69" i="3"/>
  <c r="AY69" i="3"/>
  <c r="AZ69" i="3"/>
  <c r="BA69" i="3"/>
  <c r="BB69" i="3"/>
  <c r="BC69" i="3"/>
  <c r="BD69" i="3"/>
  <c r="BE69" i="3"/>
  <c r="AH70" i="3"/>
  <c r="BF70" i="3" s="1" a="1"/>
  <c r="BF70" i="3" s="1"/>
  <c r="AI70" i="3"/>
  <c r="AJ70" i="3"/>
  <c r="AK70" i="3"/>
  <c r="AL70" i="3"/>
  <c r="AM70" i="3"/>
  <c r="AN70" i="3"/>
  <c r="AO70" i="3"/>
  <c r="AP70" i="3"/>
  <c r="AQ70" i="3"/>
  <c r="AR70" i="3"/>
  <c r="AS70" i="3"/>
  <c r="AT70" i="3"/>
  <c r="AU70" i="3"/>
  <c r="AV70" i="3"/>
  <c r="AW70" i="3"/>
  <c r="AX70" i="3"/>
  <c r="AY70" i="3"/>
  <c r="AZ70" i="3"/>
  <c r="BA70" i="3"/>
  <c r="BB70" i="3"/>
  <c r="BC70" i="3"/>
  <c r="BD70" i="3"/>
  <c r="BE70" i="3"/>
  <c r="AH71" i="3"/>
  <c r="AI71" i="3"/>
  <c r="AJ71" i="3"/>
  <c r="BF71" i="3" s="1" a="1"/>
  <c r="BF71" i="3" s="1"/>
  <c r="AK71" i="3"/>
  <c r="AL71" i="3"/>
  <c r="BG71" i="3" s="1" a="1"/>
  <c r="BG71" i="3" s="1"/>
  <c r="AM71" i="3"/>
  <c r="AN71" i="3"/>
  <c r="AO71" i="3"/>
  <c r="AP71" i="3"/>
  <c r="AQ71" i="3"/>
  <c r="AR71" i="3"/>
  <c r="AS71" i="3"/>
  <c r="AT71" i="3"/>
  <c r="AU71" i="3"/>
  <c r="AV71" i="3"/>
  <c r="AW71" i="3"/>
  <c r="AX71" i="3"/>
  <c r="AY71" i="3"/>
  <c r="AZ71" i="3"/>
  <c r="BA71" i="3"/>
  <c r="BB71" i="3"/>
  <c r="BC71" i="3"/>
  <c r="BD71" i="3"/>
  <c r="BE71" i="3"/>
  <c r="AH72" i="3"/>
  <c r="BF72" i="3" s="1" a="1"/>
  <c r="BF72" i="3" s="1"/>
  <c r="AI72" i="3"/>
  <c r="AJ72" i="3"/>
  <c r="AK72" i="3"/>
  <c r="AL72" i="3"/>
  <c r="AM72" i="3"/>
  <c r="AN72" i="3"/>
  <c r="AO72" i="3"/>
  <c r="AP72" i="3"/>
  <c r="AQ72" i="3"/>
  <c r="AR72" i="3"/>
  <c r="AS72" i="3"/>
  <c r="AT72" i="3"/>
  <c r="AU72" i="3"/>
  <c r="AV72" i="3"/>
  <c r="AW72" i="3"/>
  <c r="AX72" i="3"/>
  <c r="AY72" i="3"/>
  <c r="AZ72" i="3"/>
  <c r="BA72" i="3"/>
  <c r="BB72" i="3"/>
  <c r="BC72" i="3"/>
  <c r="BD72" i="3"/>
  <c r="BE72" i="3"/>
  <c r="AH73" i="3"/>
  <c r="AI73" i="3"/>
  <c r="AJ73" i="3"/>
  <c r="BF73" i="3" s="1" a="1"/>
  <c r="BF73" i="3" s="1"/>
  <c r="AK73" i="3"/>
  <c r="AL73" i="3"/>
  <c r="BG73" i="3" s="1" a="1"/>
  <c r="BG73" i="3" s="1"/>
  <c r="AM73" i="3"/>
  <c r="AN73" i="3"/>
  <c r="AO73" i="3"/>
  <c r="AP73" i="3"/>
  <c r="AQ73" i="3"/>
  <c r="AR73" i="3"/>
  <c r="AS73" i="3"/>
  <c r="AT73" i="3"/>
  <c r="AU73" i="3"/>
  <c r="AV73" i="3"/>
  <c r="AW73" i="3"/>
  <c r="AX73" i="3"/>
  <c r="AY73" i="3"/>
  <c r="AZ73" i="3"/>
  <c r="BA73" i="3"/>
  <c r="BB73" i="3"/>
  <c r="BC73" i="3"/>
  <c r="BD73" i="3"/>
  <c r="BE73" i="3"/>
  <c r="AH74" i="3"/>
  <c r="BF74" i="3" s="1" a="1"/>
  <c r="BF74" i="3" s="1"/>
  <c r="AI74" i="3"/>
  <c r="AJ74" i="3"/>
  <c r="AK74" i="3"/>
  <c r="AL74" i="3"/>
  <c r="AM74" i="3"/>
  <c r="AN74" i="3"/>
  <c r="AO74" i="3"/>
  <c r="AP74" i="3"/>
  <c r="AQ74" i="3"/>
  <c r="AR74" i="3"/>
  <c r="AS74" i="3"/>
  <c r="AT74" i="3"/>
  <c r="AU74" i="3"/>
  <c r="AV74" i="3"/>
  <c r="AW74" i="3"/>
  <c r="AX74" i="3"/>
  <c r="AY74" i="3"/>
  <c r="AZ74" i="3"/>
  <c r="BA74" i="3"/>
  <c r="BB74" i="3"/>
  <c r="BC74" i="3"/>
  <c r="BD74" i="3"/>
  <c r="BE74" i="3"/>
  <c r="AH75" i="3"/>
  <c r="AI75" i="3"/>
  <c r="AJ75" i="3"/>
  <c r="BF75" i="3" s="1" a="1"/>
  <c r="BF75" i="3" s="1"/>
  <c r="AK75" i="3"/>
  <c r="AL75" i="3"/>
  <c r="BG75" i="3" s="1" a="1"/>
  <c r="BG75" i="3" s="1"/>
  <c r="AM75" i="3"/>
  <c r="AN75" i="3"/>
  <c r="AO75" i="3"/>
  <c r="AP75" i="3"/>
  <c r="AQ75" i="3"/>
  <c r="AR75" i="3"/>
  <c r="AS75" i="3"/>
  <c r="AT75" i="3"/>
  <c r="AU75" i="3"/>
  <c r="AV75" i="3"/>
  <c r="AW75" i="3"/>
  <c r="AX75" i="3"/>
  <c r="AY75" i="3"/>
  <c r="AZ75" i="3"/>
  <c r="BA75" i="3"/>
  <c r="BB75" i="3"/>
  <c r="BC75" i="3"/>
  <c r="BD75" i="3"/>
  <c r="BE75" i="3"/>
  <c r="AH76" i="3"/>
  <c r="BF76" i="3" s="1" a="1"/>
  <c r="BF76" i="3" s="1"/>
  <c r="AI76" i="3"/>
  <c r="AJ76" i="3"/>
  <c r="AK76" i="3"/>
  <c r="AL76" i="3"/>
  <c r="AM76" i="3"/>
  <c r="AN76" i="3"/>
  <c r="AO76" i="3"/>
  <c r="AP76" i="3"/>
  <c r="AQ76" i="3"/>
  <c r="AR76" i="3"/>
  <c r="AS76" i="3"/>
  <c r="AT76" i="3"/>
  <c r="AU76" i="3"/>
  <c r="AV76" i="3"/>
  <c r="AW76" i="3"/>
  <c r="AX76" i="3"/>
  <c r="AY76" i="3"/>
  <c r="AZ76" i="3"/>
  <c r="BA76" i="3"/>
  <c r="BB76" i="3"/>
  <c r="BC76" i="3"/>
  <c r="BD76" i="3"/>
  <c r="BE76" i="3"/>
  <c r="AH77" i="3"/>
  <c r="AI77" i="3"/>
  <c r="AJ77" i="3"/>
  <c r="BF77" i="3" s="1" a="1"/>
  <c r="BF77" i="3" s="1"/>
  <c r="AK77" i="3"/>
  <c r="AL77" i="3"/>
  <c r="BG77" i="3" s="1" a="1"/>
  <c r="BG77" i="3" s="1"/>
  <c r="AM77" i="3"/>
  <c r="AN77" i="3"/>
  <c r="AO77" i="3"/>
  <c r="AP77" i="3"/>
  <c r="AQ77" i="3"/>
  <c r="AR77" i="3"/>
  <c r="AS77" i="3"/>
  <c r="AT77" i="3"/>
  <c r="AU77" i="3"/>
  <c r="AV77" i="3"/>
  <c r="AW77" i="3"/>
  <c r="AX77" i="3"/>
  <c r="AY77" i="3"/>
  <c r="AZ77" i="3"/>
  <c r="BA77" i="3"/>
  <c r="BB77" i="3"/>
  <c r="BC77" i="3"/>
  <c r="BD77" i="3"/>
  <c r="BE77" i="3"/>
  <c r="AH78" i="3"/>
  <c r="BG78" i="3" s="1" a="1"/>
  <c r="BG78" i="3" s="1"/>
  <c r="AI78" i="3"/>
  <c r="BF78" i="3" s="1" a="1"/>
  <c r="BF78" i="3" s="1"/>
  <c r="AJ78" i="3"/>
  <c r="AK78" i="3"/>
  <c r="AL78" i="3"/>
  <c r="AM78" i="3"/>
  <c r="AN78" i="3"/>
  <c r="AO78" i="3"/>
  <c r="AP78" i="3"/>
  <c r="AQ78" i="3"/>
  <c r="AR78" i="3"/>
  <c r="AS78" i="3"/>
  <c r="AT78" i="3"/>
  <c r="AU78" i="3"/>
  <c r="AV78" i="3"/>
  <c r="AW78" i="3"/>
  <c r="AX78" i="3"/>
  <c r="AY78" i="3"/>
  <c r="AZ78" i="3"/>
  <c r="BA78" i="3"/>
  <c r="BB78" i="3"/>
  <c r="BC78" i="3"/>
  <c r="BD78" i="3"/>
  <c r="BE78" i="3"/>
  <c r="AH79" i="3"/>
  <c r="AI79" i="3"/>
  <c r="AJ79" i="3"/>
  <c r="BF79" i="3" s="1" a="1"/>
  <c r="BF79" i="3" s="1"/>
  <c r="AK79" i="3"/>
  <c r="AL79" i="3"/>
  <c r="BG79" i="3" s="1" a="1"/>
  <c r="BG79" i="3" s="1"/>
  <c r="AM79" i="3"/>
  <c r="AN79" i="3"/>
  <c r="AO79" i="3"/>
  <c r="AP79" i="3"/>
  <c r="AQ79" i="3"/>
  <c r="AR79" i="3"/>
  <c r="AS79" i="3"/>
  <c r="AT79" i="3"/>
  <c r="AU79" i="3"/>
  <c r="AV79" i="3"/>
  <c r="AW79" i="3"/>
  <c r="AX79" i="3"/>
  <c r="AY79" i="3"/>
  <c r="AZ79" i="3"/>
  <c r="BA79" i="3"/>
  <c r="BB79" i="3"/>
  <c r="BC79" i="3"/>
  <c r="BD79" i="3"/>
  <c r="BE79" i="3"/>
  <c r="AH80" i="3"/>
  <c r="BG80" i="3" s="1" a="1"/>
  <c r="BG80" i="3" s="1"/>
  <c r="AI80" i="3"/>
  <c r="AJ80" i="3"/>
  <c r="AK80" i="3"/>
  <c r="AL80" i="3"/>
  <c r="AM80" i="3"/>
  <c r="AN80" i="3"/>
  <c r="AO80" i="3"/>
  <c r="AP80" i="3"/>
  <c r="AQ80" i="3"/>
  <c r="AR80" i="3"/>
  <c r="AS80" i="3"/>
  <c r="AT80" i="3"/>
  <c r="AU80" i="3"/>
  <c r="AV80" i="3"/>
  <c r="AW80" i="3"/>
  <c r="AX80" i="3"/>
  <c r="AY80" i="3"/>
  <c r="AZ80" i="3"/>
  <c r="BA80" i="3"/>
  <c r="BB80" i="3"/>
  <c r="BC80" i="3"/>
  <c r="BD80" i="3"/>
  <c r="BE80" i="3"/>
  <c r="AH81" i="3"/>
  <c r="AI81" i="3"/>
  <c r="AJ81" i="3"/>
  <c r="AK81" i="3"/>
  <c r="AL81" i="3"/>
  <c r="BF81" i="3" s="1" a="1"/>
  <c r="BF81" i="3" s="1"/>
  <c r="AM81" i="3"/>
  <c r="AN81" i="3"/>
  <c r="AO81" i="3"/>
  <c r="AP81" i="3"/>
  <c r="AQ81" i="3"/>
  <c r="AR81" i="3"/>
  <c r="AS81" i="3"/>
  <c r="AT81" i="3"/>
  <c r="AU81" i="3"/>
  <c r="AV81" i="3"/>
  <c r="AW81" i="3"/>
  <c r="AX81" i="3"/>
  <c r="AY81" i="3"/>
  <c r="AZ81" i="3"/>
  <c r="BA81" i="3"/>
  <c r="BB81" i="3"/>
  <c r="BC81" i="3"/>
  <c r="BD81" i="3"/>
  <c r="BE81" i="3"/>
  <c r="AH82" i="3"/>
  <c r="BG82" i="3" s="1" a="1"/>
  <c r="BG82" i="3" s="1"/>
  <c r="AI82" i="3"/>
  <c r="AJ82" i="3"/>
  <c r="AK82" i="3"/>
  <c r="AL82" i="3"/>
  <c r="AM82" i="3"/>
  <c r="AN82" i="3"/>
  <c r="AO82" i="3"/>
  <c r="AP82" i="3"/>
  <c r="AQ82" i="3"/>
  <c r="AR82" i="3"/>
  <c r="AS82" i="3"/>
  <c r="AT82" i="3"/>
  <c r="AU82" i="3"/>
  <c r="AV82" i="3"/>
  <c r="AW82" i="3"/>
  <c r="AX82" i="3"/>
  <c r="AY82" i="3"/>
  <c r="AZ82" i="3"/>
  <c r="BA82" i="3"/>
  <c r="BB82" i="3"/>
  <c r="BC82" i="3"/>
  <c r="BD82" i="3"/>
  <c r="BE82" i="3"/>
  <c r="AH83" i="3"/>
  <c r="BG83" i="3" s="1" a="1"/>
  <c r="BG83" i="3" s="1"/>
  <c r="AI83" i="3"/>
  <c r="AJ83" i="3"/>
  <c r="AK83" i="3"/>
  <c r="AL83" i="3"/>
  <c r="BF83" i="3" s="1" a="1"/>
  <c r="BF83" i="3" s="1"/>
  <c r="AM83" i="3"/>
  <c r="AN83" i="3"/>
  <c r="AO83" i="3"/>
  <c r="AP83" i="3"/>
  <c r="AQ83" i="3"/>
  <c r="AR83" i="3"/>
  <c r="AS83" i="3"/>
  <c r="AT83" i="3"/>
  <c r="AU83" i="3"/>
  <c r="AV83" i="3"/>
  <c r="AW83" i="3"/>
  <c r="AX83" i="3"/>
  <c r="AY83" i="3"/>
  <c r="AZ83" i="3"/>
  <c r="BA83" i="3"/>
  <c r="BB83" i="3"/>
  <c r="BC83" i="3"/>
  <c r="BD83" i="3"/>
  <c r="BE83" i="3"/>
  <c r="AH84" i="3"/>
  <c r="BF84" i="3" s="1" a="1"/>
  <c r="BF84" i="3" s="1"/>
  <c r="AI84" i="3"/>
  <c r="AJ84" i="3"/>
  <c r="AK84" i="3"/>
  <c r="AL84" i="3"/>
  <c r="AM84" i="3"/>
  <c r="AN84" i="3"/>
  <c r="AO84" i="3"/>
  <c r="AP84" i="3"/>
  <c r="AQ84" i="3"/>
  <c r="AR84" i="3"/>
  <c r="AS84" i="3"/>
  <c r="AT84" i="3"/>
  <c r="AU84" i="3"/>
  <c r="AV84" i="3"/>
  <c r="AW84" i="3"/>
  <c r="AX84" i="3"/>
  <c r="AY84" i="3"/>
  <c r="AZ84" i="3"/>
  <c r="BA84" i="3"/>
  <c r="BB84" i="3"/>
  <c r="BC84" i="3"/>
  <c r="BD84" i="3"/>
  <c r="BE84" i="3"/>
  <c r="AH85" i="3"/>
  <c r="BG85" i="3" s="1" a="1"/>
  <c r="BG85" i="3" s="1"/>
  <c r="AI85" i="3"/>
  <c r="AJ85" i="3"/>
  <c r="AK85" i="3"/>
  <c r="AL85" i="3"/>
  <c r="BF85" i="3" s="1" a="1"/>
  <c r="BF85" i="3" s="1"/>
  <c r="AM85" i="3"/>
  <c r="AN85" i="3"/>
  <c r="AO85" i="3"/>
  <c r="AP85" i="3"/>
  <c r="AQ85" i="3"/>
  <c r="AR85" i="3"/>
  <c r="AS85" i="3"/>
  <c r="AT85" i="3"/>
  <c r="AU85" i="3"/>
  <c r="AV85" i="3"/>
  <c r="AW85" i="3"/>
  <c r="AX85" i="3"/>
  <c r="AY85" i="3"/>
  <c r="AZ85" i="3"/>
  <c r="BA85" i="3"/>
  <c r="BB85" i="3"/>
  <c r="BC85" i="3"/>
  <c r="BD85" i="3"/>
  <c r="BE85" i="3"/>
  <c r="AH86" i="3"/>
  <c r="BF86" i="3" s="1" a="1"/>
  <c r="BF86" i="3" s="1"/>
  <c r="AI86" i="3"/>
  <c r="AJ86" i="3"/>
  <c r="AK86" i="3"/>
  <c r="AL86" i="3"/>
  <c r="AM86" i="3"/>
  <c r="AN86" i="3"/>
  <c r="AO86" i="3"/>
  <c r="AP86" i="3"/>
  <c r="AQ86" i="3"/>
  <c r="AR86" i="3"/>
  <c r="AS86" i="3"/>
  <c r="AT86" i="3"/>
  <c r="AU86" i="3"/>
  <c r="AV86" i="3"/>
  <c r="AW86" i="3"/>
  <c r="AX86" i="3"/>
  <c r="AY86" i="3"/>
  <c r="AZ86" i="3"/>
  <c r="BA86" i="3"/>
  <c r="BB86" i="3"/>
  <c r="BC86" i="3"/>
  <c r="BD86" i="3"/>
  <c r="BE86" i="3"/>
  <c r="AH87" i="3"/>
  <c r="BG87" i="3" s="1" a="1"/>
  <c r="BG87" i="3" s="1"/>
  <c r="AI87" i="3"/>
  <c r="AJ87" i="3"/>
  <c r="AK87" i="3"/>
  <c r="AL87" i="3"/>
  <c r="BF87" i="3" s="1" a="1"/>
  <c r="BF87" i="3" s="1"/>
  <c r="AM87" i="3"/>
  <c r="AN87" i="3"/>
  <c r="AO87" i="3"/>
  <c r="AP87" i="3"/>
  <c r="AQ87" i="3"/>
  <c r="AR87" i="3"/>
  <c r="AS87" i="3"/>
  <c r="AT87" i="3"/>
  <c r="AU87" i="3"/>
  <c r="AV87" i="3"/>
  <c r="AW87" i="3"/>
  <c r="AX87" i="3"/>
  <c r="AY87" i="3"/>
  <c r="AZ87" i="3"/>
  <c r="BA87" i="3"/>
  <c r="BB87" i="3"/>
  <c r="BC87" i="3"/>
  <c r="BD87" i="3"/>
  <c r="BE87" i="3"/>
  <c r="AH88" i="3"/>
  <c r="BF88" i="3" s="1" a="1"/>
  <c r="BF88" i="3" s="1"/>
  <c r="AI88" i="3"/>
  <c r="AJ88" i="3"/>
  <c r="AK88" i="3"/>
  <c r="AL88" i="3"/>
  <c r="AM88" i="3"/>
  <c r="AN88" i="3"/>
  <c r="AO88" i="3"/>
  <c r="AP88" i="3"/>
  <c r="AQ88" i="3"/>
  <c r="AR88" i="3"/>
  <c r="AS88" i="3"/>
  <c r="AT88" i="3"/>
  <c r="AU88" i="3"/>
  <c r="AV88" i="3"/>
  <c r="AW88" i="3"/>
  <c r="AX88" i="3"/>
  <c r="AY88" i="3"/>
  <c r="AZ88" i="3"/>
  <c r="BA88" i="3"/>
  <c r="BB88" i="3"/>
  <c r="BC88" i="3"/>
  <c r="BD88" i="3"/>
  <c r="BE88" i="3"/>
  <c r="AH89" i="3"/>
  <c r="BG89" i="3" s="1" a="1"/>
  <c r="BG89" i="3" s="1"/>
  <c r="AI89" i="3"/>
  <c r="AJ89" i="3"/>
  <c r="AK89" i="3"/>
  <c r="AL89" i="3"/>
  <c r="BF89" i="3" s="1" a="1"/>
  <c r="BF89" i="3" s="1"/>
  <c r="AM89" i="3"/>
  <c r="AN89" i="3"/>
  <c r="AO89" i="3"/>
  <c r="AP89" i="3"/>
  <c r="AQ89" i="3"/>
  <c r="AR89" i="3"/>
  <c r="AS89" i="3"/>
  <c r="AT89" i="3"/>
  <c r="AU89" i="3"/>
  <c r="AV89" i="3"/>
  <c r="AW89" i="3"/>
  <c r="AX89" i="3"/>
  <c r="AY89" i="3"/>
  <c r="AZ89" i="3"/>
  <c r="BA89" i="3"/>
  <c r="BB89" i="3"/>
  <c r="BC89" i="3"/>
  <c r="BD89" i="3"/>
  <c r="BE89" i="3"/>
  <c r="AH90" i="3"/>
  <c r="BF90" i="3" s="1" a="1"/>
  <c r="BF90" i="3" s="1"/>
  <c r="AI90" i="3"/>
  <c r="AJ90" i="3"/>
  <c r="AK90" i="3"/>
  <c r="AL90" i="3"/>
  <c r="AM90" i="3"/>
  <c r="AN90" i="3"/>
  <c r="AO90" i="3"/>
  <c r="AP90" i="3"/>
  <c r="AQ90" i="3"/>
  <c r="AR90" i="3"/>
  <c r="AS90" i="3"/>
  <c r="AT90" i="3"/>
  <c r="AU90" i="3"/>
  <c r="AV90" i="3"/>
  <c r="AW90" i="3"/>
  <c r="AX90" i="3"/>
  <c r="AY90" i="3"/>
  <c r="AZ90" i="3"/>
  <c r="BA90" i="3"/>
  <c r="BB90" i="3"/>
  <c r="BC90" i="3"/>
  <c r="BD90" i="3"/>
  <c r="BE90" i="3"/>
  <c r="AH91" i="3"/>
  <c r="BG91" i="3" s="1" a="1"/>
  <c r="BG91" i="3" s="1"/>
  <c r="AI91" i="3"/>
  <c r="AJ91" i="3"/>
  <c r="AK91" i="3"/>
  <c r="AL91" i="3"/>
  <c r="BF91" i="3" s="1" a="1"/>
  <c r="BF91" i="3" s="1"/>
  <c r="AM91" i="3"/>
  <c r="AN91" i="3"/>
  <c r="AO91" i="3"/>
  <c r="AP91" i="3"/>
  <c r="AQ91" i="3"/>
  <c r="AR91" i="3"/>
  <c r="AS91" i="3"/>
  <c r="AT91" i="3"/>
  <c r="AU91" i="3"/>
  <c r="AV91" i="3"/>
  <c r="AW91" i="3"/>
  <c r="AX91" i="3"/>
  <c r="AY91" i="3"/>
  <c r="AZ91" i="3"/>
  <c r="BA91" i="3"/>
  <c r="BB91" i="3"/>
  <c r="BC91" i="3"/>
  <c r="BD91" i="3"/>
  <c r="BE91" i="3"/>
  <c r="BE4" i="3"/>
  <c r="BD4" i="3"/>
  <c r="BC4" i="3"/>
  <c r="BB4" i="3"/>
  <c r="BA4" i="3"/>
  <c r="AZ4" i="3"/>
  <c r="AY4" i="3"/>
  <c r="AX4" i="3"/>
  <c r="AW4" i="3"/>
  <c r="AV4" i="3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BF82" i="3" l="1" a="1"/>
  <c r="BF82" i="3" s="1"/>
  <c r="BF80" i="3" a="1"/>
  <c r="BF80" i="3" s="1"/>
  <c r="BF64" i="3" a="1"/>
  <c r="BF64" i="3" s="1"/>
  <c r="BG90" i="3" a="1"/>
  <c r="BG90" i="3" s="1"/>
  <c r="BG88" i="3" a="1"/>
  <c r="BG88" i="3" s="1"/>
  <c r="BG86" i="3" a="1"/>
  <c r="BG86" i="3" s="1"/>
  <c r="BG84" i="3" a="1"/>
  <c r="BG84" i="3" s="1"/>
  <c r="BG76" i="3" a="1"/>
  <c r="BG76" i="3" s="1"/>
  <c r="BG74" i="3" a="1"/>
  <c r="BG74" i="3" s="1"/>
  <c r="BG72" i="3" a="1"/>
  <c r="BG72" i="3" s="1"/>
  <c r="BG70" i="3" a="1"/>
  <c r="BG70" i="3" s="1"/>
  <c r="BG68" i="3" a="1"/>
  <c r="BG68" i="3" s="1"/>
  <c r="BG66" i="3" a="1"/>
  <c r="BG66" i="3" s="1"/>
  <c r="BG62" i="3" a="1"/>
  <c r="BG62" i="3" s="1"/>
  <c r="BG60" i="3" a="1"/>
  <c r="BG60" i="3" s="1"/>
  <c r="BG58" i="3" a="1"/>
  <c r="BG58" i="3" s="1"/>
  <c r="BG56" i="3" a="1"/>
  <c r="BG56" i="3" s="1"/>
  <c r="BG54" i="3" a="1"/>
  <c r="BG54" i="3" s="1"/>
  <c r="BG52" i="3" a="1"/>
  <c r="BG52" i="3" s="1"/>
  <c r="BG46" i="3" a="1"/>
  <c r="BG46" i="3" s="1"/>
  <c r="BG81" i="3" a="1"/>
  <c r="BG81" i="3" s="1"/>
  <c r="BG4" i="3" a="1"/>
  <c r="BG4" i="3" s="1"/>
  <c r="BF4" i="3" a="1"/>
  <c r="BF4" i="3" s="1"/>
  <c r="AF90" i="5" l="1" a="1"/>
  <c r="AJ90" i="5" l="1"/>
  <c r="AI90" i="5"/>
  <c r="AG90" i="5"/>
  <c r="AF90" i="5"/>
  <c r="AH90" i="5"/>
  <c r="AA90" i="5" a="1"/>
  <c r="AE90" i="5" l="1"/>
  <c r="AC90" i="5"/>
  <c r="AB90" i="5"/>
  <c r="AA90" i="5"/>
  <c r="AD90" i="5"/>
  <c r="AF89" i="5" a="1"/>
  <c r="AJ89" i="5" l="1"/>
  <c r="AI89" i="5"/>
  <c r="AH89" i="5"/>
  <c r="AG89" i="5"/>
  <c r="AF89" i="5"/>
  <c r="AA89" i="5" a="1"/>
  <c r="AE89" i="5" l="1"/>
  <c r="AD89" i="5"/>
  <c r="AC89" i="5"/>
  <c r="AB89" i="5"/>
  <c r="AA89" i="5"/>
  <c r="AF88" i="5" a="1"/>
  <c r="AJ88" i="5" l="1"/>
  <c r="AI88" i="5"/>
  <c r="AH88" i="5"/>
  <c r="AG88" i="5"/>
  <c r="AF88" i="5"/>
  <c r="AA88" i="5" a="1"/>
  <c r="AB88" i="5" l="1"/>
  <c r="AE88" i="5"/>
  <c r="AA88" i="5"/>
  <c r="AD88" i="5"/>
  <c r="AC88" i="5"/>
  <c r="AF87" i="5" a="1"/>
  <c r="AJ87" i="5" l="1"/>
  <c r="AH87" i="5"/>
  <c r="AG87" i="5"/>
  <c r="AF87" i="5"/>
  <c r="AI87" i="5"/>
  <c r="AA87" i="5" a="1"/>
  <c r="AE87" i="5" l="1"/>
  <c r="AD87" i="5"/>
  <c r="AB87" i="5"/>
  <c r="AA87" i="5"/>
  <c r="AC87" i="5"/>
  <c r="AF86" i="5" a="1"/>
  <c r="AG86" i="5" l="1"/>
  <c r="AF86" i="5"/>
  <c r="AJ86" i="5"/>
  <c r="AI86" i="5"/>
  <c r="AH86" i="5"/>
  <c r="AA86" i="5" a="1"/>
  <c r="AE86" i="5" l="1"/>
  <c r="AD86" i="5"/>
  <c r="AC86" i="5"/>
  <c r="AB86" i="5"/>
  <c r="AA86" i="5"/>
  <c r="AF85" i="5" a="1"/>
  <c r="AJ85" i="5" l="1"/>
  <c r="AI85" i="5"/>
  <c r="AH85" i="5"/>
  <c r="AG85" i="5"/>
  <c r="AF85" i="5"/>
  <c r="AA85" i="5" a="1"/>
  <c r="AE85" i="5" l="1"/>
  <c r="AD85" i="5"/>
  <c r="AC85" i="5"/>
  <c r="AB85" i="5"/>
  <c r="AA85" i="5"/>
  <c r="AF84" i="5" a="1"/>
  <c r="AJ84" i="5" l="1"/>
  <c r="AI84" i="5"/>
  <c r="AH84" i="5"/>
  <c r="AG84" i="5"/>
  <c r="AF84" i="5"/>
  <c r="AA84" i="5" a="1"/>
  <c r="AB84" i="5" l="1"/>
  <c r="AA84" i="5"/>
  <c r="AE84" i="5"/>
  <c r="AD84" i="5"/>
  <c r="AC84" i="5"/>
  <c r="AF83" i="5" a="1"/>
  <c r="AG83" i="5" l="1"/>
  <c r="AJ83" i="5"/>
  <c r="AF83" i="5"/>
  <c r="AI83" i="5"/>
  <c r="AH83" i="5"/>
  <c r="AA83" i="5" a="1"/>
  <c r="AA83" i="5" l="1"/>
  <c r="AE83" i="5"/>
  <c r="AD83" i="5"/>
  <c r="AC83" i="5"/>
  <c r="AB83" i="5"/>
  <c r="AF82" i="5" a="1"/>
  <c r="AG82" i="5" l="1"/>
  <c r="AH82" i="5"/>
  <c r="AF82" i="5"/>
  <c r="AJ82" i="5"/>
  <c r="AI82" i="5"/>
  <c r="AA82" i="5" a="1"/>
  <c r="AB82" i="5" l="1"/>
  <c r="AA82" i="5"/>
  <c r="AE82" i="5"/>
  <c r="AD82" i="5"/>
  <c r="AC82" i="5"/>
  <c r="AF81" i="5" a="1"/>
  <c r="AF81" i="5" l="1"/>
  <c r="AI81" i="5"/>
  <c r="AH81" i="5"/>
  <c r="AG81" i="5"/>
  <c r="AJ81" i="5"/>
  <c r="AA81" i="5" a="1"/>
  <c r="AB81" i="5" l="1"/>
  <c r="AA81" i="5"/>
  <c r="AE81" i="5"/>
  <c r="AD81" i="5"/>
  <c r="AC81" i="5"/>
  <c r="AF80" i="5" a="1"/>
  <c r="AG80" i="5" l="1"/>
  <c r="AJ80" i="5"/>
  <c r="AH80" i="5"/>
  <c r="AF80" i="5"/>
  <c r="AI80" i="5"/>
  <c r="AA80" i="5" a="1"/>
  <c r="AB80" i="5" l="1"/>
  <c r="AA80" i="5"/>
  <c r="AE80" i="5"/>
  <c r="AC80" i="5"/>
  <c r="AD80" i="5"/>
  <c r="AF79" i="5" a="1"/>
  <c r="AG79" i="5" l="1"/>
  <c r="AF79" i="5"/>
  <c r="AJ79" i="5"/>
  <c r="AI79" i="5"/>
  <c r="AH79" i="5"/>
  <c r="AA79" i="5" a="1"/>
  <c r="AB79" i="5" l="1"/>
  <c r="AA79" i="5"/>
  <c r="AE79" i="5"/>
  <c r="AD79" i="5"/>
  <c r="AC79" i="5"/>
  <c r="AF78" i="5" a="1"/>
  <c r="AG78" i="5" l="1"/>
  <c r="AF78" i="5"/>
  <c r="AJ78" i="5"/>
  <c r="AI78" i="5"/>
  <c r="AH78" i="5"/>
  <c r="AA78" i="5" a="1"/>
  <c r="AB78" i="5" l="1"/>
  <c r="AA78" i="5"/>
  <c r="AE78" i="5"/>
  <c r="AD78" i="5"/>
  <c r="AC78" i="5"/>
  <c r="AF77" i="5" a="1"/>
  <c r="AG77" i="5" l="1"/>
  <c r="AJ77" i="5"/>
  <c r="AH77" i="5"/>
  <c r="AF77" i="5"/>
  <c r="AI77" i="5"/>
  <c r="AA77" i="5" a="1"/>
  <c r="AB77" i="5" l="1"/>
  <c r="AE77" i="5"/>
  <c r="AD77" i="5"/>
  <c r="AC77" i="5"/>
  <c r="AA77" i="5"/>
  <c r="AF76" i="5" a="1"/>
  <c r="AG76" i="5" l="1"/>
  <c r="AF76" i="5"/>
  <c r="AJ76" i="5"/>
  <c r="AH76" i="5"/>
  <c r="AI76" i="5"/>
  <c r="AA76" i="5" a="1"/>
  <c r="AB76" i="5" l="1"/>
  <c r="AA76" i="5"/>
  <c r="AE76" i="5"/>
  <c r="AD76" i="5"/>
  <c r="AC76" i="5"/>
  <c r="AF75" i="5" a="1"/>
  <c r="AG75" i="5" l="1"/>
  <c r="AF75" i="5"/>
  <c r="AJ75" i="5"/>
  <c r="AI75" i="5"/>
  <c r="AH75" i="5"/>
  <c r="AA75" i="5" a="1"/>
  <c r="AB75" i="5" l="1"/>
  <c r="AA75" i="5"/>
  <c r="AE75" i="5"/>
  <c r="AD75" i="5"/>
  <c r="AC75" i="5"/>
  <c r="AF74" i="5" a="1"/>
  <c r="AG74" i="5" l="1"/>
  <c r="AJ74" i="5"/>
  <c r="AI74" i="5"/>
  <c r="AH74" i="5"/>
  <c r="AF74" i="5"/>
  <c r="AA74" i="5" a="1"/>
  <c r="AB74" i="5" l="1"/>
  <c r="AA74" i="5"/>
  <c r="AE74" i="5"/>
  <c r="AD74" i="5"/>
  <c r="AC74" i="5"/>
  <c r="AF73" i="5" a="1"/>
  <c r="AG73" i="5" l="1"/>
  <c r="AF73" i="5"/>
  <c r="AJ73" i="5"/>
  <c r="AI73" i="5"/>
  <c r="AH73" i="5"/>
  <c r="AA73" i="5" a="1"/>
  <c r="AB73" i="5" l="1"/>
  <c r="AA73" i="5"/>
  <c r="AE73" i="5"/>
  <c r="AD73" i="5"/>
  <c r="AC73" i="5"/>
  <c r="AF72" i="5" a="1"/>
  <c r="AJ72" i="5" l="1"/>
  <c r="AI72" i="5"/>
  <c r="AH72" i="5"/>
  <c r="AG72" i="5"/>
  <c r="AF72" i="5"/>
  <c r="AA72" i="5" a="1"/>
  <c r="AB72" i="5" l="1"/>
  <c r="AA72" i="5"/>
  <c r="AE72" i="5"/>
  <c r="AD72" i="5"/>
  <c r="AC72" i="5"/>
  <c r="AF71" i="5" a="1"/>
  <c r="AG71" i="5" l="1"/>
  <c r="AF71" i="5"/>
  <c r="AJ71" i="5"/>
  <c r="AI71" i="5"/>
  <c r="AH71" i="5"/>
  <c r="AA71" i="5" a="1"/>
  <c r="AB71" i="5" l="1"/>
  <c r="AA71" i="5"/>
  <c r="AE71" i="5"/>
  <c r="AD71" i="5"/>
  <c r="AC71" i="5"/>
  <c r="AF70" i="5" a="1"/>
  <c r="AG70" i="5" l="1"/>
  <c r="AF70" i="5"/>
  <c r="AJ70" i="5"/>
  <c r="AI70" i="5"/>
  <c r="AH70" i="5"/>
  <c r="AA70" i="5" a="1"/>
  <c r="AB70" i="5" l="1"/>
  <c r="AE70" i="5"/>
  <c r="AA70" i="5"/>
  <c r="AD70" i="5"/>
  <c r="AC70" i="5"/>
  <c r="AF69" i="5" a="1"/>
  <c r="AG69" i="5" l="1"/>
  <c r="AF69" i="5"/>
  <c r="AJ69" i="5"/>
  <c r="AI69" i="5"/>
  <c r="AH69" i="5"/>
  <c r="AA69" i="5" a="1"/>
  <c r="AB69" i="5" l="1"/>
  <c r="AA69" i="5"/>
  <c r="AE69" i="5"/>
  <c r="AD69" i="5"/>
  <c r="AC69" i="5"/>
  <c r="AF68" i="5" a="1"/>
  <c r="AG68" i="5" l="1"/>
  <c r="AF68" i="5"/>
  <c r="AJ68" i="5"/>
  <c r="AI68" i="5"/>
  <c r="AH68" i="5"/>
  <c r="AA68" i="5" a="1"/>
  <c r="AB68" i="5" l="1"/>
  <c r="AE68" i="5"/>
  <c r="AD68" i="5"/>
  <c r="AC68" i="5"/>
  <c r="AA68" i="5"/>
  <c r="AF67" i="5" a="1"/>
  <c r="AG67" i="5" l="1"/>
  <c r="AJ67" i="5"/>
  <c r="AI67" i="5"/>
  <c r="AH67" i="5"/>
  <c r="AF67" i="5"/>
  <c r="AA67" i="5" a="1"/>
  <c r="AB67" i="5" l="1"/>
  <c r="AE67" i="5"/>
  <c r="AA67" i="5"/>
  <c r="AD67" i="5"/>
  <c r="AC67" i="5"/>
  <c r="AF66" i="5" a="1"/>
  <c r="AG66" i="5" l="1"/>
  <c r="AF66" i="5"/>
  <c r="AJ66" i="5"/>
  <c r="AH66" i="5"/>
  <c r="AI66" i="5"/>
  <c r="AA66" i="5" a="1"/>
  <c r="AB66" i="5" l="1"/>
  <c r="AA66" i="5"/>
  <c r="AE66" i="5"/>
  <c r="AD66" i="5"/>
  <c r="AC66" i="5"/>
  <c r="AF65" i="5" a="1"/>
  <c r="AG65" i="5" l="1"/>
  <c r="AF65" i="5"/>
  <c r="AJ65" i="5"/>
  <c r="AI65" i="5"/>
  <c r="AH65" i="5"/>
  <c r="AA65" i="5" a="1"/>
  <c r="AB65" i="5" l="1"/>
  <c r="AA65" i="5"/>
  <c r="AE65" i="5"/>
  <c r="AD65" i="5"/>
  <c r="AC65" i="5"/>
  <c r="AF64" i="5" a="1"/>
  <c r="AG64" i="5" l="1"/>
  <c r="AJ64" i="5"/>
  <c r="AI64" i="5"/>
  <c r="AH64" i="5"/>
  <c r="AF64" i="5"/>
  <c r="AA64" i="5" a="1"/>
  <c r="AA64" i="5" l="1"/>
  <c r="AE64" i="5"/>
  <c r="AD64" i="5"/>
  <c r="AC64" i="5"/>
  <c r="AB64" i="5"/>
  <c r="AF63" i="5" a="1"/>
  <c r="AG63" i="5" l="1"/>
  <c r="AF63" i="5"/>
  <c r="AJ63" i="5"/>
  <c r="AI63" i="5"/>
  <c r="AH63" i="5"/>
  <c r="AA63" i="5" a="1"/>
  <c r="AB63" i="5" l="1"/>
  <c r="AA63" i="5"/>
  <c r="AD63" i="5"/>
  <c r="AC63" i="5"/>
  <c r="AE63" i="5"/>
  <c r="AF62" i="5" a="1"/>
  <c r="AG62" i="5" l="1"/>
  <c r="AJ62" i="5"/>
  <c r="AI62" i="5"/>
  <c r="AH62" i="5"/>
  <c r="AF62" i="5"/>
  <c r="AA62" i="5" a="1"/>
  <c r="AB62" i="5" l="1"/>
  <c r="AE62" i="5"/>
  <c r="AA62" i="5"/>
  <c r="AD62" i="5"/>
  <c r="AC62" i="5"/>
  <c r="AF61" i="5" a="1"/>
  <c r="AG61" i="5" l="1"/>
  <c r="AF61" i="5"/>
  <c r="AJ61" i="5"/>
  <c r="AI61" i="5"/>
  <c r="AH61" i="5"/>
  <c r="AA61" i="5" a="1"/>
  <c r="AB61" i="5" l="1"/>
  <c r="AA61" i="5"/>
  <c r="AE61" i="5"/>
  <c r="AD61" i="5"/>
  <c r="AC61" i="5"/>
  <c r="AF60" i="5" a="1"/>
  <c r="AG60" i="5" l="1"/>
  <c r="AF60" i="5"/>
  <c r="AJ60" i="5"/>
  <c r="AI60" i="5"/>
  <c r="AH60" i="5"/>
  <c r="AA60" i="5" a="1"/>
  <c r="AB60" i="5" l="1"/>
  <c r="AA60" i="5"/>
  <c r="AD60" i="5"/>
  <c r="AC60" i="5"/>
  <c r="AE60" i="5"/>
  <c r="AF59" i="5" a="1"/>
  <c r="AG59" i="5" l="1"/>
  <c r="AF59" i="5"/>
  <c r="AJ59" i="5"/>
  <c r="AI59" i="5"/>
  <c r="AH59" i="5"/>
  <c r="AA59" i="5" a="1"/>
  <c r="AB59" i="5" l="1"/>
  <c r="AA59" i="5"/>
  <c r="AE59" i="5"/>
  <c r="AD59" i="5"/>
  <c r="AC59" i="5"/>
  <c r="AF58" i="5" a="1"/>
  <c r="AG58" i="5" l="1"/>
  <c r="AJ58" i="5"/>
  <c r="AH58" i="5"/>
  <c r="AF58" i="5"/>
  <c r="AI58" i="5"/>
  <c r="AA58" i="5" a="1"/>
  <c r="AB58" i="5" l="1"/>
  <c r="AA58" i="5"/>
  <c r="AE58" i="5"/>
  <c r="AD58" i="5"/>
  <c r="AC58" i="5"/>
  <c r="AF57" i="5" a="1"/>
  <c r="AG57" i="5" l="1"/>
  <c r="AF57" i="5"/>
  <c r="AJ57" i="5"/>
  <c r="AI57" i="5"/>
  <c r="AH57" i="5"/>
  <c r="AA57" i="5" a="1"/>
  <c r="AB57" i="5" l="1"/>
  <c r="AE57" i="5"/>
  <c r="AC57" i="5"/>
  <c r="AA57" i="5"/>
  <c r="AD57" i="5"/>
  <c r="AF56" i="5" a="1"/>
  <c r="AG56" i="5" l="1"/>
  <c r="AJ56" i="5"/>
  <c r="AF56" i="5"/>
  <c r="AI56" i="5"/>
  <c r="AH56" i="5"/>
  <c r="AA56" i="5" a="1"/>
  <c r="AB56" i="5" l="1"/>
  <c r="AA56" i="5"/>
  <c r="AE56" i="5"/>
  <c r="AC56" i="5"/>
  <c r="AD56" i="5"/>
  <c r="AF55" i="5" a="1"/>
  <c r="AG55" i="5" l="1"/>
  <c r="AI55" i="5"/>
  <c r="AF55" i="5"/>
  <c r="AJ55" i="5"/>
  <c r="AH55" i="5"/>
  <c r="AA55" i="5" a="1"/>
  <c r="AB55" i="5" l="1"/>
  <c r="AA55" i="5"/>
  <c r="AE55" i="5"/>
  <c r="AD55" i="5"/>
  <c r="AC55" i="5"/>
  <c r="AF54" i="5" a="1"/>
  <c r="AG54" i="5" l="1"/>
  <c r="AJ54" i="5"/>
  <c r="AF54" i="5"/>
  <c r="AI54" i="5"/>
  <c r="AH54" i="5"/>
  <c r="AA54" i="5" a="1"/>
  <c r="AB54" i="5" l="1"/>
  <c r="AE54" i="5"/>
  <c r="AC54" i="5"/>
  <c r="AA54" i="5"/>
  <c r="AD54" i="5"/>
  <c r="AF53" i="5" a="1"/>
  <c r="AG53" i="5" l="1"/>
  <c r="AI53" i="5"/>
  <c r="AF53" i="5"/>
  <c r="AJ53" i="5"/>
  <c r="AH53" i="5"/>
  <c r="AA53" i="5" a="1"/>
  <c r="AB53" i="5" l="1"/>
  <c r="AD53" i="5"/>
  <c r="AA53" i="5"/>
  <c r="AE53" i="5"/>
  <c r="AC53" i="5"/>
  <c r="AF52" i="5" a="1"/>
  <c r="AG52" i="5" l="1"/>
  <c r="AH52" i="5"/>
  <c r="AF52" i="5"/>
  <c r="AJ52" i="5"/>
  <c r="AI52" i="5"/>
  <c r="AA52" i="5" a="1"/>
  <c r="AB52" i="5" l="1"/>
  <c r="AA52" i="5"/>
  <c r="AE52" i="5"/>
  <c r="AD52" i="5"/>
  <c r="AC52" i="5"/>
  <c r="AF51" i="5" a="1"/>
  <c r="AG51" i="5" l="1"/>
  <c r="AI51" i="5"/>
  <c r="AF51" i="5"/>
  <c r="AJ51" i="5"/>
  <c r="AH51" i="5"/>
  <c r="AA51" i="5" a="1"/>
  <c r="AB51" i="5" l="1"/>
  <c r="AA51" i="5"/>
  <c r="AE51" i="5"/>
  <c r="AD51" i="5"/>
  <c r="AC51" i="5"/>
  <c r="AF50" i="5" a="1"/>
  <c r="AG50" i="5" l="1"/>
  <c r="AF50" i="5"/>
  <c r="AJ50" i="5"/>
  <c r="AI50" i="5"/>
  <c r="AH50" i="5"/>
  <c r="AA50" i="5" a="1"/>
  <c r="AB50" i="5" l="1"/>
  <c r="AE50" i="5"/>
  <c r="AC50" i="5"/>
  <c r="AA50" i="5"/>
  <c r="AD50" i="5"/>
  <c r="AF49" i="5" a="1"/>
  <c r="AG49" i="5" l="1"/>
  <c r="AI49" i="5"/>
  <c r="AF49" i="5"/>
  <c r="AJ49" i="5"/>
  <c r="AH49" i="5"/>
  <c r="AA49" i="5" a="1"/>
  <c r="AB49" i="5" l="1"/>
  <c r="AA49" i="5"/>
  <c r="AE49" i="5"/>
  <c r="AD49" i="5"/>
  <c r="AC49" i="5"/>
  <c r="AF48" i="5" a="1"/>
  <c r="AG48" i="5" l="1"/>
  <c r="AF48" i="5"/>
  <c r="AJ48" i="5"/>
  <c r="AI48" i="5"/>
  <c r="AH48" i="5"/>
  <c r="AA48" i="5" a="1"/>
  <c r="AB48" i="5" l="1"/>
  <c r="AD48" i="5"/>
  <c r="AA48" i="5"/>
  <c r="AE48" i="5"/>
  <c r="AC48" i="5"/>
  <c r="AF47" i="5" a="1"/>
  <c r="AG47" i="5" l="1"/>
  <c r="AF47" i="5"/>
  <c r="AJ47" i="5"/>
  <c r="AI47" i="5"/>
  <c r="AH47" i="5"/>
  <c r="AA47" i="5" a="1"/>
  <c r="AB47" i="5" l="1"/>
  <c r="AE47" i="5"/>
  <c r="AD47" i="5"/>
  <c r="AC47" i="5"/>
  <c r="AA47" i="5"/>
  <c r="AF46" i="5" a="1"/>
  <c r="AG46" i="5" l="1"/>
  <c r="AJ46" i="5"/>
  <c r="AI46" i="5"/>
  <c r="AH46" i="5"/>
  <c r="AF46" i="5"/>
  <c r="AA46" i="5" a="1"/>
  <c r="AB46" i="5" l="1"/>
  <c r="AA46" i="5"/>
  <c r="AE46" i="5"/>
  <c r="AD46" i="5"/>
  <c r="AC46" i="5"/>
  <c r="AF45" i="5" a="1"/>
  <c r="AG45" i="5" l="1"/>
  <c r="AF45" i="5"/>
  <c r="AJ45" i="5"/>
  <c r="AI45" i="5"/>
  <c r="AH45" i="5"/>
  <c r="AA45" i="5" a="1"/>
  <c r="AB45" i="5" l="1"/>
  <c r="AA45" i="5"/>
  <c r="AE45" i="5"/>
  <c r="AD45" i="5"/>
  <c r="AC45" i="5"/>
  <c r="AF44" i="5" a="1"/>
  <c r="AG44" i="5" l="1"/>
  <c r="AF44" i="5"/>
  <c r="AJ44" i="5"/>
  <c r="AI44" i="5"/>
  <c r="AH44" i="5"/>
  <c r="AA44" i="5" a="1"/>
  <c r="AB44" i="5" l="1"/>
  <c r="AA44" i="5"/>
  <c r="AE44" i="5"/>
  <c r="AD44" i="5"/>
  <c r="AC44" i="5"/>
  <c r="AF43" i="5" a="1"/>
  <c r="AG43" i="5" l="1"/>
  <c r="AF43" i="5"/>
  <c r="AJ43" i="5"/>
  <c r="AI43" i="5"/>
  <c r="AH43" i="5"/>
  <c r="AA43" i="5" a="1"/>
  <c r="AA43" i="5" l="1"/>
  <c r="AE43" i="5"/>
  <c r="AD43" i="5"/>
  <c r="AC43" i="5"/>
  <c r="AB43" i="5"/>
  <c r="AF42" i="5" a="1"/>
  <c r="AF42" i="5" l="1"/>
  <c r="AJ42" i="5"/>
  <c r="AI42" i="5"/>
  <c r="AH42" i="5"/>
  <c r="AG42" i="5"/>
  <c r="AA42" i="5" a="1"/>
  <c r="AB42" i="5" l="1"/>
  <c r="AD42" i="5"/>
  <c r="AC42" i="5"/>
  <c r="AA42" i="5"/>
  <c r="AE42" i="5"/>
  <c r="AF41" i="5" a="1"/>
  <c r="AG41" i="5" l="1"/>
  <c r="AF41" i="5"/>
  <c r="AJ41" i="5"/>
  <c r="AI41" i="5"/>
  <c r="AH41" i="5"/>
  <c r="AA41" i="5" a="1"/>
  <c r="AB41" i="5" l="1"/>
  <c r="AE41" i="5"/>
  <c r="AA41" i="5"/>
  <c r="AD41" i="5"/>
  <c r="AC41" i="5"/>
  <c r="AF40" i="5" a="1"/>
  <c r="AG40" i="5" l="1"/>
  <c r="AI40" i="5"/>
  <c r="AF40" i="5"/>
  <c r="AJ40" i="5"/>
  <c r="AH40" i="5"/>
  <c r="AA40" i="5" a="1"/>
  <c r="AE40" i="5" l="1"/>
  <c r="AC40" i="5"/>
  <c r="AB40" i="5"/>
  <c r="AA40" i="5"/>
  <c r="AD40" i="5"/>
  <c r="AF39" i="5" a="1"/>
  <c r="AJ39" i="5" l="1"/>
  <c r="AI39" i="5"/>
  <c r="AH39" i="5"/>
  <c r="AG39" i="5"/>
  <c r="AF39" i="5"/>
  <c r="AA39" i="5" a="1"/>
  <c r="AB39" i="5" l="1"/>
  <c r="AA39" i="5"/>
  <c r="AE39" i="5"/>
  <c r="AD39" i="5"/>
  <c r="AC39" i="5"/>
  <c r="AF38" i="5" a="1"/>
  <c r="AG38" i="5" l="1"/>
  <c r="AI38" i="5"/>
  <c r="AF38" i="5"/>
  <c r="AJ38" i="5"/>
  <c r="AH38" i="5"/>
  <c r="AA38" i="5" a="1"/>
  <c r="AB38" i="5" l="1"/>
  <c r="AE38" i="5"/>
  <c r="AD38" i="5"/>
  <c r="AC38" i="5"/>
  <c r="AA38" i="5"/>
  <c r="AF37" i="5" a="1"/>
  <c r="AF37" i="5" l="1"/>
  <c r="AH37" i="5"/>
  <c r="AG37" i="5"/>
  <c r="AJ37" i="5"/>
  <c r="AI37" i="5"/>
  <c r="AA37" i="5" a="1"/>
  <c r="AA37" i="5" l="1"/>
  <c r="AE37" i="5"/>
  <c r="AD37" i="5"/>
  <c r="AC37" i="5"/>
  <c r="AB37" i="5"/>
  <c r="AF36" i="5" a="1"/>
  <c r="AG36" i="5" l="1"/>
  <c r="AF36" i="5"/>
  <c r="AI36" i="5"/>
  <c r="AH36" i="5"/>
  <c r="AJ36" i="5"/>
  <c r="AA36" i="5" a="1"/>
  <c r="AB36" i="5" l="1"/>
  <c r="AA36" i="5"/>
  <c r="AE36" i="5"/>
  <c r="AD36" i="5"/>
  <c r="AC36" i="5"/>
  <c r="AF35" i="5" a="1"/>
  <c r="AJ35" i="5" l="1"/>
  <c r="AI35" i="5"/>
  <c r="AH35" i="5"/>
  <c r="AG35" i="5"/>
  <c r="AF35" i="5"/>
  <c r="AA35" i="5" a="1"/>
  <c r="AE35" i="5" l="1"/>
  <c r="AA35" i="5"/>
  <c r="AD35" i="5"/>
  <c r="AC35" i="5"/>
  <c r="AB35" i="5"/>
  <c r="AF34" i="5" a="1"/>
  <c r="AJ34" i="5" l="1"/>
  <c r="AI34" i="5"/>
  <c r="AG34" i="5"/>
  <c r="AF34" i="5"/>
  <c r="AH34" i="5"/>
  <c r="AA34" i="5" a="1"/>
  <c r="AE34" i="5" l="1"/>
  <c r="AD34" i="5"/>
  <c r="AC34" i="5"/>
  <c r="AB34" i="5"/>
  <c r="AA34" i="5"/>
  <c r="AF33" i="5" a="1"/>
  <c r="AJ33" i="5" l="1"/>
  <c r="AH33" i="5"/>
  <c r="AG33" i="5"/>
  <c r="AF33" i="5"/>
  <c r="AI33" i="5"/>
  <c r="AA33" i="5" a="1"/>
  <c r="AE33" i="5" l="1"/>
  <c r="AD33" i="5"/>
  <c r="AC33" i="5"/>
  <c r="AB33" i="5"/>
  <c r="AA33" i="5"/>
  <c r="AF32" i="5" a="1"/>
  <c r="AG32" i="5" l="1"/>
  <c r="AF32" i="5"/>
  <c r="AJ32" i="5"/>
  <c r="AI32" i="5"/>
  <c r="AH32" i="5"/>
  <c r="AA32" i="5" a="1"/>
  <c r="AD32" i="5" l="1"/>
  <c r="AC32" i="5"/>
  <c r="AA32" i="5"/>
  <c r="AE32" i="5"/>
  <c r="AB32" i="5"/>
  <c r="AF31" i="5" a="1"/>
  <c r="AF31" i="5" l="1"/>
  <c r="AI31" i="5"/>
  <c r="AH31" i="5"/>
  <c r="AJ31" i="5"/>
  <c r="AG31" i="5"/>
  <c r="AA31" i="5" a="1"/>
  <c r="AE31" i="5" l="1"/>
  <c r="AD31" i="5"/>
  <c r="AC31" i="5"/>
  <c r="AB31" i="5"/>
  <c r="AA31" i="5"/>
  <c r="AF30" i="5" a="1"/>
  <c r="AJ30" i="5" l="1"/>
  <c r="AI30" i="5"/>
  <c r="AG30" i="5"/>
  <c r="AF30" i="5"/>
  <c r="AH30" i="5"/>
  <c r="AA30" i="5" a="1"/>
  <c r="AE30" i="5" l="1"/>
  <c r="AB30" i="5"/>
  <c r="AA30" i="5"/>
  <c r="AD30" i="5"/>
  <c r="AC30" i="5"/>
  <c r="AF29" i="5" a="1"/>
  <c r="AI29" i="5" l="1"/>
  <c r="AJ29" i="5"/>
  <c r="AH29" i="5"/>
  <c r="AG29" i="5"/>
  <c r="AF29" i="5"/>
  <c r="AA29" i="5" a="1"/>
  <c r="AE29" i="5" l="1"/>
  <c r="AD29" i="5"/>
  <c r="AC29" i="5"/>
  <c r="AB29" i="5"/>
  <c r="AA29" i="5"/>
  <c r="AF28" i="5" a="1"/>
  <c r="AJ28" i="5" l="1"/>
  <c r="AI28" i="5"/>
  <c r="AF28" i="5"/>
  <c r="AH28" i="5"/>
  <c r="AG28" i="5"/>
  <c r="AA28" i="5" a="1"/>
  <c r="AE28" i="5" l="1"/>
  <c r="AD28" i="5"/>
  <c r="AC28" i="5"/>
  <c r="AB28" i="5"/>
  <c r="AA28" i="5"/>
  <c r="AF27" i="5" a="1"/>
  <c r="AG27" i="5" l="1"/>
  <c r="AF27" i="5"/>
  <c r="AJ27" i="5"/>
  <c r="AI27" i="5"/>
  <c r="AH27" i="5"/>
  <c r="AA27" i="5" a="1"/>
  <c r="AE27" i="5" l="1"/>
  <c r="AD27" i="5"/>
  <c r="AC27" i="5"/>
  <c r="AB27" i="5"/>
  <c r="AA27" i="5"/>
  <c r="AF26" i="5" a="1"/>
  <c r="AJ26" i="5" l="1"/>
  <c r="AI26" i="5"/>
  <c r="AH26" i="5"/>
  <c r="AG26" i="5"/>
  <c r="AF26" i="5"/>
  <c r="AA26" i="5" a="1"/>
  <c r="AA26" i="5" l="1"/>
  <c r="AE26" i="5"/>
  <c r="AD26" i="5"/>
  <c r="AB26" i="5"/>
  <c r="AC26" i="5"/>
  <c r="AF25" i="5" a="1"/>
  <c r="AF25" i="5" l="1"/>
  <c r="AI25" i="5"/>
  <c r="AH25" i="5"/>
  <c r="AG25" i="5"/>
  <c r="AJ25" i="5"/>
  <c r="AA25" i="5" a="1"/>
  <c r="AB25" i="5" l="1"/>
  <c r="AA25" i="5"/>
  <c r="AE25" i="5"/>
  <c r="AD25" i="5"/>
  <c r="AC25" i="5"/>
  <c r="AF24" i="5" a="1"/>
  <c r="AJ24" i="5" l="1"/>
  <c r="AI24" i="5"/>
  <c r="AH24" i="5"/>
  <c r="AG24" i="5"/>
  <c r="AF24" i="5"/>
  <c r="AA24" i="5" a="1"/>
  <c r="AE24" i="5" l="1"/>
  <c r="AD24" i="5"/>
  <c r="AC24" i="5"/>
  <c r="AB24" i="5"/>
  <c r="AA24" i="5"/>
  <c r="AF23" i="5" a="1"/>
  <c r="AJ23" i="5" l="1"/>
  <c r="AH23" i="5"/>
  <c r="AG23" i="5"/>
  <c r="AF23" i="5"/>
  <c r="AI23" i="5"/>
  <c r="AA23" i="5" a="1"/>
  <c r="AE23" i="5" l="1"/>
  <c r="AD23" i="5"/>
  <c r="AC23" i="5"/>
  <c r="AB23" i="5"/>
  <c r="AA23" i="5"/>
  <c r="AF22" i="5" a="1"/>
  <c r="AJ22" i="5" l="1"/>
  <c r="AI22" i="5"/>
  <c r="AH22" i="5"/>
  <c r="AG22" i="5"/>
  <c r="AF22" i="5"/>
  <c r="AA22" i="5" a="1"/>
  <c r="AB22" i="5" l="1"/>
  <c r="AA22" i="5"/>
  <c r="AE22" i="5"/>
  <c r="AD22" i="5"/>
  <c r="AC22" i="5"/>
  <c r="AF21" i="5" a="1"/>
  <c r="AG21" i="5" l="1"/>
  <c r="AF21" i="5"/>
  <c r="AJ21" i="5"/>
  <c r="AI21" i="5"/>
  <c r="AH21" i="5"/>
  <c r="AA21" i="5" a="1"/>
  <c r="AB21" i="5" l="1"/>
  <c r="AA21" i="5"/>
  <c r="AE21" i="5"/>
  <c r="AC21" i="5"/>
  <c r="AD21" i="5"/>
  <c r="AF20" i="5" a="1"/>
  <c r="AG20" i="5" l="1"/>
  <c r="AF20" i="5"/>
  <c r="AJ20" i="5"/>
  <c r="AI20" i="5"/>
  <c r="AH20" i="5"/>
  <c r="AA20" i="5" a="1"/>
  <c r="AA20" i="5" l="1"/>
  <c r="AE20" i="5"/>
  <c r="AC20" i="5"/>
  <c r="AB20" i="5"/>
  <c r="AD20" i="5"/>
  <c r="AF19" i="5" a="1"/>
  <c r="AG19" i="5" l="1"/>
  <c r="AF19" i="5"/>
  <c r="AJ19" i="5"/>
  <c r="AI19" i="5"/>
  <c r="AH19" i="5"/>
  <c r="AA19" i="5" a="1"/>
  <c r="AB19" i="5" l="1"/>
  <c r="AA19" i="5"/>
  <c r="AE19" i="5"/>
  <c r="AD19" i="5"/>
  <c r="AC19" i="5"/>
  <c r="AF18" i="5" a="1"/>
  <c r="AF18" i="5" l="1"/>
  <c r="AJ18" i="5"/>
  <c r="AI18" i="5"/>
  <c r="AH18" i="5"/>
  <c r="AG18" i="5"/>
  <c r="AA18" i="5" a="1"/>
  <c r="AB18" i="5" l="1"/>
  <c r="AE18" i="5"/>
  <c r="AA18" i="5"/>
  <c r="AD18" i="5"/>
  <c r="AC18" i="5"/>
  <c r="AF17" i="5" a="1"/>
  <c r="AG17" i="5" l="1"/>
  <c r="AF17" i="5"/>
  <c r="AJ17" i="5"/>
  <c r="AI17" i="5"/>
  <c r="AH17" i="5"/>
  <c r="AA17" i="5" a="1"/>
  <c r="AB17" i="5" l="1"/>
  <c r="AC17" i="5"/>
  <c r="AA17" i="5"/>
  <c r="AE17" i="5"/>
  <c r="AD17" i="5"/>
  <c r="AF16" i="5" a="1"/>
  <c r="AG16" i="5" l="1"/>
  <c r="AI16" i="5"/>
  <c r="AF16" i="5"/>
  <c r="AJ16" i="5"/>
  <c r="AH16" i="5"/>
  <c r="AA16" i="5" a="1"/>
  <c r="AB16" i="5" l="1"/>
  <c r="AA16" i="5"/>
  <c r="AE16" i="5"/>
  <c r="AD16" i="5"/>
  <c r="AC16" i="5"/>
  <c r="AF15" i="5" a="1"/>
  <c r="AG15" i="5" l="1"/>
  <c r="AJ15" i="5"/>
  <c r="AH15" i="5"/>
  <c r="AF15" i="5"/>
  <c r="AI15" i="5"/>
  <c r="AA15" i="5" a="1"/>
  <c r="AB15" i="5" l="1"/>
  <c r="AA15" i="5"/>
  <c r="AE15" i="5"/>
  <c r="AD15" i="5"/>
  <c r="AC15" i="5"/>
  <c r="AF14" i="5" a="1"/>
  <c r="AG14" i="5" l="1"/>
  <c r="AF14" i="5"/>
  <c r="AJ14" i="5"/>
  <c r="AI14" i="5"/>
  <c r="AH14" i="5"/>
  <c r="AA14" i="5" a="1"/>
  <c r="AB14" i="5" l="1"/>
  <c r="AC14" i="5"/>
  <c r="AA14" i="5"/>
  <c r="AE14" i="5"/>
  <c r="AD14" i="5"/>
  <c r="AF13" i="5" a="1"/>
  <c r="AG13" i="5" l="1"/>
  <c r="AH13" i="5"/>
  <c r="AF13" i="5"/>
  <c r="AJ13" i="5"/>
  <c r="AI13" i="5"/>
  <c r="AA13" i="5" a="1"/>
  <c r="AB13" i="5" l="1"/>
  <c r="AD13" i="5"/>
  <c r="AA13" i="5"/>
  <c r="AE13" i="5"/>
  <c r="AC13" i="5"/>
  <c r="AF12" i="5" a="1"/>
  <c r="AG12" i="5" l="1"/>
  <c r="AI12" i="5"/>
  <c r="AF12" i="5"/>
  <c r="AJ12" i="5"/>
  <c r="AH12" i="5"/>
  <c r="AA12" i="5" a="1"/>
  <c r="AB12" i="5" l="1"/>
  <c r="AD12" i="5"/>
  <c r="AA12" i="5"/>
  <c r="AE12" i="5"/>
  <c r="AC12" i="5"/>
  <c r="AF11" i="5" a="1"/>
  <c r="AG11" i="5" l="1"/>
  <c r="AF11" i="5"/>
  <c r="AJ11" i="5"/>
  <c r="AH11" i="5"/>
  <c r="AI11" i="5"/>
  <c r="AA11" i="5" a="1"/>
  <c r="AB11" i="5" l="1"/>
  <c r="AE11" i="5"/>
  <c r="AA11" i="5"/>
  <c r="AD11" i="5"/>
  <c r="AC11" i="5"/>
  <c r="AF10" i="5" a="1"/>
  <c r="AG10" i="5" l="1"/>
  <c r="AH10" i="5"/>
  <c r="AF10" i="5"/>
  <c r="AJ10" i="5"/>
  <c r="AI10" i="5"/>
  <c r="AA10" i="5" a="1"/>
  <c r="AB10" i="5" l="1"/>
  <c r="AC10" i="5"/>
  <c r="AA10" i="5"/>
  <c r="AE10" i="5"/>
  <c r="AD10" i="5"/>
  <c r="AF9" i="5" a="1"/>
  <c r="AG9" i="5" l="1"/>
  <c r="AI9" i="5"/>
  <c r="AH9" i="5"/>
  <c r="AF9" i="5"/>
  <c r="AJ9" i="5"/>
  <c r="AA9" i="5" a="1"/>
  <c r="AB9" i="5" l="1"/>
  <c r="AE9" i="5"/>
  <c r="AA9" i="5"/>
  <c r="AD9" i="5"/>
  <c r="AC9" i="5"/>
  <c r="AF8" i="5" a="1"/>
  <c r="AG8" i="5" l="1"/>
  <c r="AF8" i="5"/>
  <c r="AJ8" i="5"/>
  <c r="AI8" i="5"/>
  <c r="AH8" i="5"/>
  <c r="AA8" i="5" a="1"/>
  <c r="AB8" i="5" l="1"/>
  <c r="AC8" i="5"/>
  <c r="AA8" i="5"/>
  <c r="AD8" i="5"/>
  <c r="AE8" i="5"/>
  <c r="AF7" i="5" a="1"/>
  <c r="AG7" i="5" l="1"/>
  <c r="AH7" i="5"/>
  <c r="AF7" i="5"/>
  <c r="AJ7" i="5"/>
  <c r="AI7" i="5"/>
  <c r="AA7" i="5" a="1"/>
  <c r="AB7" i="5" l="1"/>
  <c r="AE7" i="5"/>
  <c r="AC7" i="5"/>
  <c r="AA7" i="5"/>
  <c r="AD7" i="5"/>
  <c r="AF6" i="5" a="1"/>
  <c r="AG6" i="5" l="1"/>
  <c r="AI6" i="5"/>
  <c r="AH6" i="5"/>
  <c r="AF6" i="5"/>
  <c r="AJ6" i="5"/>
  <c r="AA6" i="5" a="1"/>
  <c r="AB6" i="5" l="1"/>
  <c r="AA6" i="5"/>
  <c r="AC6" i="5"/>
  <c r="AE6" i="5"/>
  <c r="AD6" i="5"/>
  <c r="AF5" i="5" a="1"/>
  <c r="AF5" i="5" l="1"/>
  <c r="AJ5" i="5"/>
  <c r="AH5" i="5"/>
  <c r="AG5" i="5"/>
  <c r="AI5" i="5"/>
  <c r="AA5" i="5" a="1"/>
  <c r="AA5" i="5" l="1"/>
  <c r="AD5" i="5"/>
  <c r="AC5" i="5"/>
  <c r="AB5" i="5"/>
  <c r="AE5" i="5"/>
  <c r="AF4" i="5" a="1"/>
  <c r="AF4" i="5" l="1"/>
  <c r="AI4" i="5"/>
  <c r="AH4" i="5"/>
  <c r="AJ4" i="5"/>
  <c r="AG4" i="5"/>
  <c r="AA4" i="5" a="1"/>
  <c r="AA4" i="5" l="1"/>
  <c r="AE4" i="5"/>
  <c r="AC4" i="5"/>
  <c r="AB4" i="5"/>
  <c r="AD4" i="5"/>
  <c r="AF3" i="5" a="1"/>
  <c r="AG3" i="5" l="1"/>
  <c r="AJ3" i="5"/>
  <c r="AI3" i="5"/>
  <c r="AF3" i="5"/>
  <c r="AH3" i="5"/>
  <c r="AA3" i="5" a="1"/>
  <c r="AB3" i="5" l="1"/>
  <c r="AA3" i="5"/>
  <c r="AD3" i="5"/>
  <c r="AC3" i="5"/>
  <c r="AE3" i="5"/>
  <c r="AF91" i="5" a="1"/>
  <c r="AF91" i="5" l="1"/>
  <c r="AA91" i="5" a="1"/>
  <c r="AA91" i="5" l="1"/>
  <c r="H90" i="5" a="1"/>
  <c r="K90" i="5" l="1"/>
  <c r="J90" i="5"/>
  <c r="I90" i="5"/>
  <c r="H90" i="5"/>
  <c r="L90" i="5"/>
  <c r="C90" i="5" a="1"/>
  <c r="C90" i="5" l="1"/>
  <c r="F90" i="5"/>
  <c r="G90" i="5"/>
  <c r="E90" i="5"/>
  <c r="D90" i="5"/>
  <c r="H89" i="5" a="1"/>
  <c r="I89" i="5" l="1"/>
  <c r="H89" i="5"/>
  <c r="K89" i="5"/>
  <c r="J89" i="5"/>
  <c r="L89" i="5"/>
  <c r="C89" i="5" a="1"/>
  <c r="C89" i="5" l="1"/>
  <c r="E89" i="5"/>
  <c r="D89" i="5"/>
  <c r="G89" i="5"/>
  <c r="F89" i="5"/>
  <c r="H88" i="5" a="1"/>
  <c r="L88" i="5" l="1"/>
  <c r="K88" i="5"/>
  <c r="J88" i="5"/>
  <c r="I88" i="5"/>
  <c r="H88" i="5"/>
  <c r="C88" i="5" a="1"/>
  <c r="C88" i="5" l="1"/>
  <c r="G88" i="5"/>
  <c r="F88" i="5"/>
  <c r="D88" i="5"/>
  <c r="E88" i="5"/>
  <c r="H87" i="5" a="1"/>
  <c r="H87" i="5" l="1"/>
  <c r="L87" i="5"/>
  <c r="K87" i="5"/>
  <c r="J87" i="5"/>
  <c r="I87" i="5"/>
  <c r="C87" i="5" a="1"/>
  <c r="G87" i="5" l="1"/>
  <c r="F87" i="5"/>
  <c r="E87" i="5"/>
  <c r="D87" i="5"/>
  <c r="C87" i="5"/>
  <c r="H86" i="5" a="1"/>
  <c r="I86" i="5" l="1"/>
  <c r="H86" i="5"/>
  <c r="L86" i="5"/>
  <c r="K86" i="5"/>
  <c r="J86" i="5"/>
  <c r="C86" i="5" a="1"/>
  <c r="G86" i="5" l="1"/>
  <c r="F86" i="5"/>
  <c r="E86" i="5"/>
  <c r="D86" i="5"/>
  <c r="C86" i="5"/>
  <c r="H85" i="5" a="1"/>
  <c r="H85" i="5" l="1"/>
  <c r="K85" i="5"/>
  <c r="L85" i="5"/>
  <c r="J85" i="5"/>
  <c r="I85" i="5"/>
  <c r="C85" i="5" a="1"/>
  <c r="C85" i="5" l="1"/>
  <c r="F85" i="5"/>
  <c r="E85" i="5"/>
  <c r="D85" i="5"/>
  <c r="G85" i="5"/>
  <c r="H84" i="5" a="1"/>
  <c r="H84" i="5" l="1"/>
  <c r="K84" i="5"/>
  <c r="L84" i="5"/>
  <c r="J84" i="5"/>
  <c r="I84" i="5"/>
  <c r="C84" i="5" a="1"/>
  <c r="C84" i="5" l="1"/>
  <c r="G84" i="5"/>
  <c r="F84" i="5"/>
  <c r="D84" i="5"/>
  <c r="E84" i="5"/>
  <c r="H83" i="5" a="1"/>
  <c r="I83" i="5" l="1"/>
  <c r="H83" i="5"/>
  <c r="L83" i="5"/>
  <c r="K83" i="5"/>
  <c r="J83" i="5"/>
  <c r="C83" i="5" a="1"/>
  <c r="C83" i="5" l="1"/>
  <c r="G83" i="5"/>
  <c r="E83" i="5"/>
  <c r="D83" i="5"/>
  <c r="F83" i="5"/>
  <c r="H82" i="5" a="1"/>
  <c r="H82" i="5" l="1"/>
  <c r="L82" i="5"/>
  <c r="K82" i="5"/>
  <c r="J82" i="5"/>
  <c r="I82" i="5"/>
  <c r="C82" i="5" a="1"/>
  <c r="D82" i="5" l="1"/>
  <c r="C82" i="5"/>
  <c r="G82" i="5"/>
  <c r="F82" i="5"/>
  <c r="E82" i="5"/>
  <c r="H81" i="5" a="1"/>
  <c r="I81" i="5" l="1"/>
  <c r="K81" i="5"/>
  <c r="H81" i="5"/>
  <c r="L81" i="5"/>
  <c r="J81" i="5"/>
  <c r="C81" i="5" a="1"/>
  <c r="D81" i="5" l="1"/>
  <c r="C81" i="5"/>
  <c r="G81" i="5"/>
  <c r="F81" i="5"/>
  <c r="E81" i="5"/>
  <c r="H80" i="5" a="1"/>
  <c r="I80" i="5" l="1"/>
  <c r="H80" i="5"/>
  <c r="L80" i="5"/>
  <c r="K80" i="5"/>
  <c r="J80" i="5"/>
  <c r="C80" i="5" a="1"/>
  <c r="D80" i="5" l="1"/>
  <c r="C80" i="5"/>
  <c r="G80" i="5"/>
  <c r="E80" i="5"/>
  <c r="F80" i="5"/>
  <c r="H79" i="5" a="1"/>
  <c r="H79" i="5" l="1"/>
  <c r="L79" i="5"/>
  <c r="K79" i="5"/>
  <c r="J79" i="5"/>
  <c r="I79" i="5"/>
  <c r="C79" i="5" a="1"/>
  <c r="C79" i="5" l="1"/>
  <c r="G79" i="5"/>
  <c r="F79" i="5"/>
  <c r="E79" i="5"/>
  <c r="D79" i="5"/>
  <c r="H78" i="5" a="1"/>
  <c r="I78" i="5" l="1"/>
  <c r="H78" i="5"/>
  <c r="L78" i="5"/>
  <c r="K78" i="5"/>
  <c r="J78" i="5"/>
  <c r="C78" i="5" a="1"/>
  <c r="G78" i="5" l="1"/>
  <c r="F78" i="5"/>
  <c r="E78" i="5"/>
  <c r="D78" i="5"/>
  <c r="C78" i="5"/>
  <c r="H77" i="5" a="1"/>
  <c r="I77" i="5" l="1"/>
  <c r="L77" i="5"/>
  <c r="J77" i="5"/>
  <c r="H77" i="5"/>
  <c r="K77" i="5"/>
  <c r="C77" i="5" a="1"/>
  <c r="C77" i="5" l="1"/>
  <c r="G77" i="5"/>
  <c r="F77" i="5"/>
  <c r="E77" i="5"/>
  <c r="D77" i="5"/>
  <c r="H76" i="5" a="1"/>
  <c r="L76" i="5" l="1"/>
  <c r="K76" i="5"/>
  <c r="J76" i="5"/>
  <c r="I76" i="5"/>
  <c r="H76" i="5"/>
  <c r="C76" i="5" a="1"/>
  <c r="D76" i="5" l="1"/>
  <c r="C76" i="5"/>
  <c r="G76" i="5"/>
  <c r="F76" i="5"/>
  <c r="E76" i="5"/>
  <c r="H75" i="5" a="1"/>
  <c r="I75" i="5" l="1"/>
  <c r="K75" i="5"/>
  <c r="H75" i="5"/>
  <c r="L75" i="5"/>
  <c r="J75" i="5"/>
  <c r="C75" i="5" a="1"/>
  <c r="D75" i="5" l="1"/>
  <c r="G75" i="5"/>
  <c r="E75" i="5"/>
  <c r="C75" i="5"/>
  <c r="F75" i="5"/>
  <c r="H74" i="5" a="1"/>
  <c r="I74" i="5" l="1"/>
  <c r="K74" i="5"/>
  <c r="H74" i="5"/>
  <c r="L74" i="5"/>
  <c r="J74" i="5"/>
  <c r="C74" i="5" a="1"/>
  <c r="D74" i="5" l="1"/>
  <c r="F74" i="5"/>
  <c r="C74" i="5"/>
  <c r="G74" i="5"/>
  <c r="E74" i="5"/>
  <c r="H73" i="5" a="1"/>
  <c r="I73" i="5" l="1"/>
  <c r="H73" i="5"/>
  <c r="L73" i="5"/>
  <c r="K73" i="5"/>
  <c r="J73" i="5"/>
  <c r="C73" i="5" a="1"/>
  <c r="D73" i="5" l="1"/>
  <c r="G73" i="5"/>
  <c r="C73" i="5"/>
  <c r="F73" i="5"/>
  <c r="E73" i="5"/>
  <c r="H72" i="5" a="1"/>
  <c r="I72" i="5" l="1"/>
  <c r="K72" i="5"/>
  <c r="H72" i="5"/>
  <c r="L72" i="5"/>
  <c r="J72" i="5"/>
  <c r="C72" i="5" a="1"/>
  <c r="D72" i="5" l="1"/>
  <c r="F72" i="5"/>
  <c r="C72" i="5"/>
  <c r="G72" i="5"/>
  <c r="E72" i="5"/>
  <c r="H71" i="5" a="1"/>
  <c r="I71" i="5" l="1"/>
  <c r="H71" i="5"/>
  <c r="L71" i="5"/>
  <c r="K71" i="5"/>
  <c r="J71" i="5"/>
  <c r="C71" i="5" a="1"/>
  <c r="D71" i="5" l="1"/>
  <c r="G71" i="5"/>
  <c r="E71" i="5"/>
  <c r="C71" i="5"/>
  <c r="F71" i="5"/>
  <c r="H70" i="5" a="1"/>
  <c r="I70" i="5" l="1"/>
  <c r="K70" i="5"/>
  <c r="H70" i="5"/>
  <c r="L70" i="5"/>
  <c r="J70" i="5"/>
  <c r="C70" i="5" a="1"/>
  <c r="D70" i="5" l="1"/>
  <c r="C70" i="5"/>
  <c r="G70" i="5"/>
  <c r="F70" i="5"/>
  <c r="E70" i="5"/>
  <c r="H69" i="5" a="1"/>
  <c r="I69" i="5" l="1"/>
  <c r="L69" i="5"/>
  <c r="H69" i="5"/>
  <c r="K69" i="5"/>
  <c r="J69" i="5"/>
  <c r="C69" i="5" a="1"/>
  <c r="D69" i="5" l="1"/>
  <c r="G69" i="5"/>
  <c r="F69" i="5"/>
  <c r="C69" i="5"/>
  <c r="E69" i="5"/>
  <c r="H68" i="5" a="1"/>
  <c r="I68" i="5" l="1"/>
  <c r="L68" i="5"/>
  <c r="K68" i="5"/>
  <c r="J68" i="5"/>
  <c r="H68" i="5"/>
  <c r="C68" i="5" a="1"/>
  <c r="D68" i="5" l="1"/>
  <c r="C68" i="5"/>
  <c r="F68" i="5"/>
  <c r="E68" i="5"/>
  <c r="G68" i="5"/>
  <c r="H67" i="5" a="1"/>
  <c r="I67" i="5" l="1"/>
  <c r="L67" i="5"/>
  <c r="K67" i="5"/>
  <c r="J67" i="5"/>
  <c r="H67" i="5"/>
  <c r="C67" i="5" a="1"/>
  <c r="D67" i="5" l="1"/>
  <c r="G67" i="5"/>
  <c r="E67" i="5"/>
  <c r="C67" i="5"/>
  <c r="F67" i="5"/>
  <c r="H66" i="5" a="1"/>
  <c r="I66" i="5" l="1"/>
  <c r="J66" i="5"/>
  <c r="H66" i="5"/>
  <c r="L66" i="5"/>
  <c r="K66" i="5"/>
  <c r="C66" i="5" a="1"/>
  <c r="D66" i="5" l="1"/>
  <c r="C66" i="5"/>
  <c r="G66" i="5"/>
  <c r="F66" i="5"/>
  <c r="E66" i="5"/>
  <c r="H65" i="5" a="1"/>
  <c r="I65" i="5" l="1"/>
  <c r="J65" i="5"/>
  <c r="H65" i="5"/>
  <c r="L65" i="5"/>
  <c r="K65" i="5"/>
  <c r="C65" i="5" a="1"/>
  <c r="D65" i="5" l="1"/>
  <c r="G65" i="5"/>
  <c r="E65" i="5"/>
  <c r="C65" i="5"/>
  <c r="F65" i="5"/>
  <c r="H64" i="5" a="1"/>
  <c r="I64" i="5" l="1"/>
  <c r="K64" i="5"/>
  <c r="H64" i="5"/>
  <c r="L64" i="5"/>
  <c r="J64" i="5"/>
  <c r="C64" i="5" a="1"/>
  <c r="D64" i="5" l="1"/>
  <c r="G64" i="5"/>
  <c r="C64" i="5"/>
  <c r="F64" i="5"/>
  <c r="E64" i="5"/>
  <c r="H63" i="5" a="1"/>
  <c r="I63" i="5" l="1"/>
  <c r="H63" i="5"/>
  <c r="L63" i="5"/>
  <c r="K63" i="5"/>
  <c r="J63" i="5"/>
  <c r="C63" i="5" a="1"/>
  <c r="D63" i="5" l="1"/>
  <c r="G63" i="5"/>
  <c r="C63" i="5"/>
  <c r="F63" i="5"/>
  <c r="E63" i="5"/>
  <c r="H62" i="5" a="1"/>
  <c r="I62" i="5" l="1"/>
  <c r="K62" i="5"/>
  <c r="H62" i="5"/>
  <c r="L62" i="5"/>
  <c r="J62" i="5"/>
  <c r="C62" i="5" a="1"/>
  <c r="D62" i="5" l="1"/>
  <c r="G62" i="5"/>
  <c r="E62" i="5"/>
  <c r="C62" i="5"/>
  <c r="F62" i="5"/>
  <c r="H61" i="5" a="1"/>
  <c r="I61" i="5" l="1"/>
  <c r="J61" i="5"/>
  <c r="H61" i="5"/>
  <c r="L61" i="5"/>
  <c r="K61" i="5"/>
  <c r="C61" i="5" a="1"/>
  <c r="D61" i="5" l="1"/>
  <c r="G61" i="5"/>
  <c r="C61" i="5"/>
  <c r="F61" i="5"/>
  <c r="E61" i="5"/>
  <c r="H60" i="5" a="1"/>
  <c r="I60" i="5" l="1"/>
  <c r="K60" i="5"/>
  <c r="H60" i="5"/>
  <c r="L60" i="5"/>
  <c r="J60" i="5"/>
  <c r="C60" i="5" a="1"/>
  <c r="D60" i="5" l="1"/>
  <c r="G60" i="5"/>
  <c r="C60" i="5"/>
  <c r="F60" i="5"/>
  <c r="E60" i="5"/>
  <c r="H59" i="5" a="1"/>
  <c r="H59" i="5" l="1"/>
  <c r="K59" i="5"/>
  <c r="L59" i="5"/>
  <c r="J59" i="5"/>
  <c r="I59" i="5"/>
  <c r="C59" i="5" a="1"/>
  <c r="C59" i="5" l="1"/>
  <c r="F59" i="5"/>
  <c r="E59" i="5"/>
  <c r="G59" i="5"/>
  <c r="D59" i="5"/>
  <c r="H58" i="5" a="1"/>
  <c r="H58" i="5" l="1"/>
  <c r="L58" i="5"/>
  <c r="J58" i="5"/>
  <c r="I58" i="5"/>
  <c r="K58" i="5"/>
  <c r="C58" i="5" a="1"/>
  <c r="C58" i="5" l="1"/>
  <c r="G58" i="5"/>
  <c r="E58" i="5"/>
  <c r="D58" i="5"/>
  <c r="F58" i="5"/>
  <c r="H57" i="5" a="1"/>
  <c r="H57" i="5" l="1"/>
  <c r="L57" i="5"/>
  <c r="K57" i="5"/>
  <c r="J57" i="5"/>
  <c r="I57" i="5"/>
  <c r="C57" i="5" a="1"/>
  <c r="C57" i="5" l="1"/>
  <c r="G57" i="5"/>
  <c r="F57" i="5"/>
  <c r="E57" i="5"/>
  <c r="D57" i="5"/>
  <c r="H56" i="5" a="1"/>
  <c r="I56" i="5" l="1"/>
  <c r="H56" i="5"/>
  <c r="K56" i="5"/>
  <c r="J56" i="5"/>
  <c r="L56" i="5"/>
  <c r="C56" i="5" a="1"/>
  <c r="C56" i="5" l="1"/>
  <c r="G56" i="5"/>
  <c r="F56" i="5"/>
  <c r="E56" i="5"/>
  <c r="D56" i="5"/>
  <c r="H55" i="5" a="1"/>
  <c r="I55" i="5" l="1"/>
  <c r="J55" i="5"/>
  <c r="H55" i="5"/>
  <c r="L55" i="5"/>
  <c r="K55" i="5"/>
  <c r="C55" i="5" a="1"/>
  <c r="D55" i="5" l="1"/>
  <c r="C55" i="5"/>
  <c r="G55" i="5"/>
  <c r="F55" i="5"/>
  <c r="E55" i="5"/>
  <c r="H54" i="5" a="1"/>
  <c r="H54" i="5" l="1"/>
  <c r="L54" i="5"/>
  <c r="K54" i="5"/>
  <c r="J54" i="5"/>
  <c r="I54" i="5"/>
  <c r="C54" i="5" a="1"/>
  <c r="G54" i="5" l="1"/>
  <c r="E54" i="5"/>
  <c r="D54" i="5"/>
  <c r="C54" i="5"/>
  <c r="F54" i="5"/>
  <c r="H53" i="5" a="1"/>
  <c r="I53" i="5" l="1"/>
  <c r="H53" i="5"/>
  <c r="L53" i="5"/>
  <c r="K53" i="5"/>
  <c r="J53" i="5"/>
  <c r="C53" i="5" a="1"/>
  <c r="C53" i="5" l="1"/>
  <c r="G53" i="5"/>
  <c r="F53" i="5"/>
  <c r="E53" i="5"/>
  <c r="D53" i="5"/>
  <c r="H52" i="5" a="1"/>
  <c r="I52" i="5" l="1"/>
  <c r="H52" i="5"/>
  <c r="L52" i="5"/>
  <c r="K52" i="5"/>
  <c r="J52" i="5"/>
  <c r="C52" i="5" a="1"/>
  <c r="C52" i="5" l="1"/>
  <c r="E52" i="5"/>
  <c r="G52" i="5"/>
  <c r="F52" i="5"/>
  <c r="D52" i="5"/>
  <c r="H51" i="5" a="1"/>
  <c r="I51" i="5" l="1"/>
  <c r="H51" i="5"/>
  <c r="L51" i="5"/>
  <c r="K51" i="5"/>
  <c r="J51" i="5"/>
  <c r="C51" i="5" a="1"/>
  <c r="D51" i="5" l="1"/>
  <c r="F51" i="5"/>
  <c r="C51" i="5"/>
  <c r="G51" i="5"/>
  <c r="E51" i="5"/>
  <c r="H50" i="5" a="1"/>
  <c r="H50" i="5" l="1"/>
  <c r="L50" i="5"/>
  <c r="K50" i="5"/>
  <c r="J50" i="5"/>
  <c r="I50" i="5"/>
  <c r="C50" i="5" a="1"/>
  <c r="D50" i="5" l="1"/>
  <c r="C50" i="5"/>
  <c r="G50" i="5"/>
  <c r="F50" i="5"/>
  <c r="E50" i="5"/>
  <c r="H49" i="5" a="1"/>
  <c r="I49" i="5" l="1"/>
  <c r="H49" i="5"/>
  <c r="L49" i="5"/>
  <c r="K49" i="5"/>
  <c r="J49" i="5"/>
  <c r="C49" i="5" a="1"/>
  <c r="D49" i="5" l="1"/>
  <c r="C49" i="5"/>
  <c r="G49" i="5"/>
  <c r="F49" i="5"/>
  <c r="E49" i="5"/>
  <c r="H48" i="5" a="1"/>
  <c r="I48" i="5" l="1"/>
  <c r="K48" i="5"/>
  <c r="H48" i="5"/>
  <c r="L48" i="5"/>
  <c r="J48" i="5"/>
  <c r="C48" i="5" a="1"/>
  <c r="D48" i="5" l="1"/>
  <c r="C48" i="5"/>
  <c r="G48" i="5"/>
  <c r="F48" i="5"/>
  <c r="E48" i="5"/>
  <c r="H47" i="5" a="1"/>
  <c r="I47" i="5" l="1"/>
  <c r="H47" i="5"/>
  <c r="L47" i="5"/>
  <c r="K47" i="5"/>
  <c r="J47" i="5"/>
  <c r="C47" i="5" a="1"/>
  <c r="D47" i="5" l="1"/>
  <c r="C47" i="5"/>
  <c r="G47" i="5"/>
  <c r="F47" i="5"/>
  <c r="E47" i="5"/>
  <c r="H46" i="5" a="1"/>
  <c r="I46" i="5" l="1"/>
  <c r="J46" i="5"/>
  <c r="H46" i="5"/>
  <c r="L46" i="5"/>
  <c r="K46" i="5"/>
  <c r="C46" i="5" a="1"/>
  <c r="D46" i="5" l="1"/>
  <c r="E46" i="5"/>
  <c r="C46" i="5"/>
  <c r="G46" i="5"/>
  <c r="F46" i="5"/>
  <c r="H45" i="5" a="1"/>
  <c r="I45" i="5" l="1"/>
  <c r="H45" i="5"/>
  <c r="L45" i="5"/>
  <c r="K45" i="5"/>
  <c r="J45" i="5"/>
  <c r="C45" i="5" a="1"/>
  <c r="C45" i="5" l="1"/>
  <c r="G45" i="5"/>
  <c r="F45" i="5"/>
  <c r="E45" i="5"/>
  <c r="D45" i="5"/>
  <c r="H44" i="5" a="1"/>
  <c r="I44" i="5" l="1"/>
  <c r="H44" i="5"/>
  <c r="L44" i="5"/>
  <c r="K44" i="5"/>
  <c r="J44" i="5"/>
  <c r="C44" i="5" a="1"/>
  <c r="D44" i="5" l="1"/>
  <c r="G44" i="5"/>
  <c r="F44" i="5"/>
  <c r="E44" i="5"/>
  <c r="C44" i="5"/>
  <c r="H43" i="5" a="1"/>
  <c r="I43" i="5" l="1"/>
  <c r="L43" i="5"/>
  <c r="J43" i="5"/>
  <c r="H43" i="5"/>
  <c r="K43" i="5"/>
  <c r="C43" i="5" a="1"/>
  <c r="C43" i="5" l="1"/>
  <c r="G43" i="5"/>
  <c r="F43" i="5"/>
  <c r="E43" i="5"/>
  <c r="D43" i="5"/>
  <c r="H42" i="5" a="1"/>
  <c r="L42" i="5" l="1"/>
  <c r="K42" i="5"/>
  <c r="J42" i="5"/>
  <c r="I42" i="5"/>
  <c r="H42" i="5"/>
  <c r="C42" i="5" a="1"/>
  <c r="D42" i="5" l="1"/>
  <c r="G42" i="5"/>
  <c r="E42" i="5"/>
  <c r="C42" i="5"/>
  <c r="F42" i="5"/>
  <c r="H41" i="5" a="1"/>
  <c r="I41" i="5" l="1"/>
  <c r="H41" i="5"/>
  <c r="L41" i="5"/>
  <c r="K41" i="5"/>
  <c r="J41" i="5"/>
  <c r="C41" i="5" a="1"/>
  <c r="D41" i="5" l="1"/>
  <c r="C41" i="5"/>
  <c r="G41" i="5"/>
  <c r="F41" i="5"/>
  <c r="E41" i="5"/>
  <c r="H40" i="5" a="1"/>
  <c r="I40" i="5" l="1"/>
  <c r="H40" i="5"/>
  <c r="L40" i="5"/>
  <c r="K40" i="5"/>
  <c r="J40" i="5"/>
  <c r="C40" i="5" a="1"/>
  <c r="D40" i="5" l="1"/>
  <c r="C40" i="5"/>
  <c r="G40" i="5"/>
  <c r="F40" i="5"/>
  <c r="E40" i="5"/>
  <c r="H39" i="5" a="1"/>
  <c r="H39" i="5" l="1"/>
  <c r="L39" i="5"/>
  <c r="K39" i="5"/>
  <c r="J39" i="5"/>
  <c r="I39" i="5"/>
  <c r="C39" i="5" a="1"/>
  <c r="C39" i="5" l="1"/>
  <c r="F39" i="5"/>
  <c r="E39" i="5"/>
  <c r="D39" i="5"/>
  <c r="G39" i="5"/>
  <c r="H38" i="5" a="1"/>
  <c r="H38" i="5" l="1"/>
  <c r="L38" i="5"/>
  <c r="K38" i="5"/>
  <c r="J38" i="5"/>
  <c r="I38" i="5"/>
  <c r="C38" i="5" a="1"/>
  <c r="D38" i="5" l="1"/>
  <c r="C38" i="5"/>
  <c r="G38" i="5"/>
  <c r="F38" i="5"/>
  <c r="E38" i="5"/>
  <c r="H37" i="5" a="1"/>
  <c r="L37" i="5" l="1"/>
  <c r="J37" i="5"/>
  <c r="I37" i="5"/>
  <c r="K37" i="5"/>
  <c r="H37" i="5"/>
  <c r="C37" i="5" a="1"/>
  <c r="D37" i="5" l="1"/>
  <c r="F37" i="5"/>
  <c r="C37" i="5"/>
  <c r="G37" i="5"/>
  <c r="E37" i="5"/>
  <c r="H36" i="5" a="1"/>
  <c r="I36" i="5" l="1"/>
  <c r="J36" i="5"/>
  <c r="H36" i="5"/>
  <c r="L36" i="5"/>
  <c r="K36" i="5"/>
  <c r="C36" i="5" a="1"/>
  <c r="D36" i="5" l="1"/>
  <c r="F36" i="5"/>
  <c r="E36" i="5"/>
  <c r="C36" i="5"/>
  <c r="G36" i="5"/>
  <c r="H35" i="5" a="1"/>
  <c r="I35" i="5" l="1"/>
  <c r="K35" i="5"/>
  <c r="H35" i="5"/>
  <c r="L35" i="5"/>
  <c r="J35" i="5"/>
  <c r="C35" i="5" a="1"/>
  <c r="D35" i="5" l="1"/>
  <c r="C35" i="5"/>
  <c r="G35" i="5"/>
  <c r="F35" i="5"/>
  <c r="E35" i="5"/>
  <c r="H34" i="5" a="1"/>
  <c r="I34" i="5" l="1"/>
  <c r="L34" i="5"/>
  <c r="J34" i="5"/>
  <c r="H34" i="5"/>
  <c r="K34" i="5"/>
  <c r="C34" i="5" a="1"/>
  <c r="D34" i="5" l="1"/>
  <c r="F34" i="5"/>
  <c r="C34" i="5"/>
  <c r="G34" i="5"/>
  <c r="E34" i="5"/>
  <c r="H33" i="5" a="1"/>
  <c r="H33" i="5" l="1"/>
  <c r="J33" i="5"/>
  <c r="L33" i="5"/>
  <c r="K33" i="5"/>
  <c r="I33" i="5"/>
  <c r="C33" i="5" a="1"/>
  <c r="C33" i="5" l="1"/>
  <c r="G33" i="5"/>
  <c r="F33" i="5"/>
  <c r="E33" i="5"/>
  <c r="D33" i="5"/>
  <c r="H32" i="5" a="1"/>
  <c r="I32" i="5" l="1"/>
  <c r="H32" i="5"/>
  <c r="L32" i="5"/>
  <c r="K32" i="5"/>
  <c r="J32" i="5"/>
  <c r="C32" i="5" a="1"/>
  <c r="C32" i="5" l="1"/>
  <c r="G32" i="5"/>
  <c r="E32" i="5"/>
  <c r="D32" i="5"/>
  <c r="F32" i="5"/>
  <c r="H31" i="5" a="1"/>
  <c r="H31" i="5" l="1"/>
  <c r="L31" i="5"/>
  <c r="J31" i="5"/>
  <c r="I31" i="5"/>
  <c r="K31" i="5"/>
  <c r="C31" i="5" a="1"/>
  <c r="C31" i="5" l="1"/>
  <c r="G31" i="5"/>
  <c r="E31" i="5"/>
  <c r="D31" i="5"/>
  <c r="F31" i="5"/>
  <c r="H30" i="5" a="1"/>
  <c r="H30" i="5" l="1"/>
  <c r="L30" i="5"/>
  <c r="J30" i="5"/>
  <c r="I30" i="5"/>
  <c r="K30" i="5"/>
  <c r="C30" i="5" a="1"/>
  <c r="C30" i="5" l="1"/>
  <c r="G30" i="5"/>
  <c r="F30" i="5"/>
  <c r="E30" i="5"/>
  <c r="D30" i="5"/>
  <c r="H29" i="5" a="1"/>
  <c r="I29" i="5" l="1"/>
  <c r="H29" i="5"/>
  <c r="L29" i="5"/>
  <c r="K29" i="5"/>
  <c r="J29" i="5"/>
  <c r="C29" i="5" a="1"/>
  <c r="D29" i="5" l="1"/>
  <c r="F29" i="5"/>
  <c r="C29" i="5"/>
  <c r="G29" i="5"/>
  <c r="E29" i="5"/>
  <c r="H28" i="5" a="1"/>
  <c r="I28" i="5" l="1"/>
  <c r="L28" i="5"/>
  <c r="K28" i="5"/>
  <c r="H28" i="5"/>
  <c r="J28" i="5"/>
  <c r="C28" i="5" a="1"/>
  <c r="C28" i="5" l="1"/>
  <c r="F28" i="5"/>
  <c r="E28" i="5"/>
  <c r="D28" i="5"/>
  <c r="G28" i="5"/>
  <c r="H27" i="5" a="1"/>
  <c r="H27" i="5" l="1"/>
  <c r="L27" i="5"/>
  <c r="K27" i="5"/>
  <c r="J27" i="5"/>
  <c r="I27" i="5"/>
  <c r="C27" i="5" a="1"/>
  <c r="C27" i="5" l="1"/>
  <c r="G27" i="5"/>
  <c r="F27" i="5"/>
  <c r="E27" i="5"/>
  <c r="D27" i="5"/>
  <c r="H26" i="5" a="1"/>
  <c r="H26" i="5" l="1"/>
  <c r="L26" i="5"/>
  <c r="K26" i="5"/>
  <c r="J26" i="5"/>
  <c r="I26" i="5"/>
  <c r="C26" i="5" a="1"/>
  <c r="C26" i="5" l="1"/>
  <c r="G26" i="5"/>
  <c r="F26" i="5"/>
  <c r="E26" i="5"/>
  <c r="D26" i="5"/>
  <c r="H25" i="5" a="1"/>
  <c r="H25" i="5" l="1"/>
  <c r="L25" i="5"/>
  <c r="J25" i="5"/>
  <c r="I25" i="5"/>
  <c r="K25" i="5"/>
  <c r="C25" i="5" a="1"/>
  <c r="D25" i="5" l="1"/>
  <c r="C25" i="5"/>
  <c r="G25" i="5"/>
  <c r="F25" i="5"/>
  <c r="E25" i="5"/>
  <c r="H24" i="5" a="1"/>
  <c r="I24" i="5" l="1"/>
  <c r="H24" i="5"/>
  <c r="L24" i="5"/>
  <c r="K24" i="5"/>
  <c r="J24" i="5"/>
  <c r="C24" i="5" a="1"/>
  <c r="C24" i="5" l="1"/>
  <c r="G24" i="5"/>
  <c r="F24" i="5"/>
  <c r="E24" i="5"/>
  <c r="D24" i="5"/>
  <c r="H23" i="5" a="1"/>
  <c r="I23" i="5" l="1"/>
  <c r="L23" i="5"/>
  <c r="K23" i="5"/>
  <c r="J23" i="5"/>
  <c r="H23" i="5"/>
  <c r="C23" i="5" a="1"/>
  <c r="D23" i="5" l="1"/>
  <c r="C23" i="5"/>
  <c r="G23" i="5"/>
  <c r="E23" i="5"/>
  <c r="F23" i="5"/>
  <c r="H22" i="5" a="1"/>
  <c r="I22" i="5" l="1"/>
  <c r="H22" i="5"/>
  <c r="L22" i="5"/>
  <c r="K22" i="5"/>
  <c r="J22" i="5"/>
  <c r="C22" i="5" a="1"/>
  <c r="D22" i="5" l="1"/>
  <c r="F22" i="5"/>
  <c r="C22" i="5"/>
  <c r="G22" i="5"/>
  <c r="E22" i="5"/>
  <c r="H21" i="5" a="1"/>
  <c r="H21" i="5" l="1"/>
  <c r="L21" i="5"/>
  <c r="K21" i="5"/>
  <c r="J21" i="5"/>
  <c r="I21" i="5"/>
  <c r="C21" i="5" a="1"/>
  <c r="C21" i="5" l="1"/>
  <c r="G21" i="5"/>
  <c r="F21" i="5"/>
  <c r="E21" i="5"/>
  <c r="D21" i="5"/>
  <c r="H20" i="5" a="1"/>
  <c r="I20" i="5" l="1"/>
  <c r="H20" i="5"/>
  <c r="L20" i="5"/>
  <c r="K20" i="5"/>
  <c r="J20" i="5"/>
  <c r="C20" i="5" a="1"/>
  <c r="D20" i="5" l="1"/>
  <c r="G20" i="5"/>
  <c r="E20" i="5"/>
  <c r="C20" i="5"/>
  <c r="F20" i="5"/>
  <c r="H19" i="5" a="1"/>
  <c r="H19" i="5" l="1"/>
  <c r="L19" i="5"/>
  <c r="J19" i="5"/>
  <c r="I19" i="5"/>
  <c r="K19" i="5"/>
  <c r="C19" i="5" a="1"/>
  <c r="C19" i="5" l="1"/>
  <c r="F19" i="5"/>
  <c r="G19" i="5"/>
  <c r="E19" i="5"/>
  <c r="D19" i="5"/>
  <c r="H18" i="5" a="1"/>
  <c r="H18" i="5" l="1"/>
  <c r="L18" i="5"/>
  <c r="K18" i="5"/>
  <c r="J18" i="5"/>
  <c r="I18" i="5"/>
  <c r="C18" i="5" a="1"/>
  <c r="C18" i="5" l="1"/>
  <c r="G18" i="5"/>
  <c r="F18" i="5"/>
  <c r="E18" i="5"/>
  <c r="D18" i="5"/>
  <c r="H17" i="5" a="1"/>
  <c r="I17" i="5" l="1"/>
  <c r="L17" i="5"/>
  <c r="J17" i="5"/>
  <c r="H17" i="5"/>
  <c r="K17" i="5"/>
  <c r="C17" i="5" a="1"/>
  <c r="C17" i="5" l="1"/>
  <c r="G17" i="5"/>
  <c r="F17" i="5"/>
  <c r="E17" i="5"/>
  <c r="D17" i="5"/>
  <c r="H16" i="5" a="1"/>
  <c r="I16" i="5" l="1"/>
  <c r="H16" i="5"/>
  <c r="L16" i="5"/>
  <c r="K16" i="5"/>
  <c r="J16" i="5"/>
  <c r="C16" i="5" a="1"/>
  <c r="D16" i="5" l="1"/>
  <c r="F16" i="5"/>
  <c r="C16" i="5"/>
  <c r="G16" i="5"/>
  <c r="E16" i="5"/>
  <c r="H15" i="5" a="1"/>
  <c r="I15" i="5" l="1"/>
  <c r="L15" i="5"/>
  <c r="K15" i="5"/>
  <c r="J15" i="5"/>
  <c r="H15" i="5"/>
  <c r="C15" i="5" a="1"/>
  <c r="D15" i="5" l="1"/>
  <c r="G15" i="5"/>
  <c r="C15" i="5"/>
  <c r="F15" i="5"/>
  <c r="E15" i="5"/>
  <c r="H14" i="5" a="1"/>
  <c r="I14" i="5" l="1"/>
  <c r="H14" i="5"/>
  <c r="L14" i="5"/>
  <c r="K14" i="5"/>
  <c r="J14" i="5"/>
  <c r="C14" i="5" a="1"/>
  <c r="D14" i="5" l="1"/>
  <c r="G14" i="5"/>
  <c r="E14" i="5"/>
  <c r="C14" i="5"/>
  <c r="F14" i="5"/>
  <c r="H13" i="5" a="1"/>
  <c r="I13" i="5" l="1"/>
  <c r="K13" i="5"/>
  <c r="H13" i="5"/>
  <c r="L13" i="5"/>
  <c r="J13" i="5"/>
  <c r="C13" i="5" a="1"/>
  <c r="D13" i="5" l="1"/>
  <c r="F13" i="5"/>
  <c r="C13" i="5"/>
  <c r="G13" i="5"/>
  <c r="E13" i="5"/>
  <c r="H12" i="5" a="1"/>
  <c r="I12" i="5" l="1"/>
  <c r="L12" i="5"/>
  <c r="H12" i="5"/>
  <c r="K12" i="5"/>
  <c r="J12" i="5"/>
  <c r="C12" i="5" a="1"/>
  <c r="D12" i="5" l="1"/>
  <c r="F12" i="5"/>
  <c r="C12" i="5"/>
  <c r="G12" i="5"/>
  <c r="E12" i="5"/>
  <c r="H11" i="5" a="1"/>
  <c r="I11" i="5" l="1"/>
  <c r="L11" i="5"/>
  <c r="J11" i="5"/>
  <c r="H11" i="5"/>
  <c r="K11" i="5"/>
  <c r="C11" i="5" a="1"/>
  <c r="D11" i="5" l="1"/>
  <c r="C11" i="5"/>
  <c r="G11" i="5"/>
  <c r="F11" i="5"/>
  <c r="E11" i="5"/>
  <c r="H10" i="5" a="1"/>
  <c r="I10" i="5" l="1"/>
  <c r="K10" i="5"/>
  <c r="H10" i="5"/>
  <c r="L10" i="5"/>
  <c r="J10" i="5"/>
  <c r="C10" i="5" a="1"/>
  <c r="D10" i="5" l="1"/>
  <c r="F10" i="5"/>
  <c r="C10" i="5"/>
  <c r="G10" i="5"/>
  <c r="E10" i="5"/>
  <c r="H9" i="5" a="1"/>
  <c r="I9" i="5" l="1"/>
  <c r="J9" i="5"/>
  <c r="H9" i="5"/>
  <c r="L9" i="5"/>
  <c r="K9" i="5"/>
  <c r="C9" i="5" a="1"/>
  <c r="D9" i="5" l="1"/>
  <c r="F9" i="5"/>
  <c r="C9" i="5"/>
  <c r="G9" i="5"/>
  <c r="E9" i="5"/>
  <c r="H8" i="5" a="1"/>
  <c r="I8" i="5" l="1"/>
  <c r="L8" i="5"/>
  <c r="J8" i="5"/>
  <c r="H8" i="5"/>
  <c r="K8" i="5"/>
  <c r="C8" i="5" a="1"/>
  <c r="D8" i="5" l="1"/>
  <c r="F8" i="5"/>
  <c r="C8" i="5"/>
  <c r="G8" i="5"/>
  <c r="E8" i="5"/>
  <c r="H7" i="5" a="1"/>
  <c r="I7" i="5" l="1"/>
  <c r="J7" i="5"/>
  <c r="H7" i="5"/>
  <c r="L7" i="5"/>
  <c r="K7" i="5"/>
  <c r="C7" i="5" a="1"/>
  <c r="D7" i="5" l="1"/>
  <c r="C7" i="5"/>
  <c r="G7" i="5"/>
  <c r="E7" i="5"/>
  <c r="F7" i="5"/>
  <c r="H6" i="5" a="1"/>
  <c r="I6" i="5" l="1"/>
  <c r="L6" i="5"/>
  <c r="J6" i="5"/>
  <c r="H6" i="5"/>
  <c r="K6" i="5"/>
  <c r="C6" i="5" a="1"/>
  <c r="D6" i="5" l="1"/>
  <c r="C6" i="5"/>
  <c r="G6" i="5"/>
  <c r="F6" i="5"/>
  <c r="E6" i="5"/>
  <c r="H5" i="5" a="1"/>
  <c r="I5" i="5" l="1"/>
  <c r="H5" i="5"/>
  <c r="L5" i="5"/>
  <c r="K5" i="5"/>
  <c r="J5" i="5"/>
  <c r="C5" i="5" a="1"/>
  <c r="D5" i="5" l="1"/>
  <c r="F5" i="5"/>
  <c r="C5" i="5"/>
  <c r="G5" i="5"/>
  <c r="E5" i="5"/>
  <c r="H4" i="5" a="1"/>
  <c r="I4" i="5" l="1"/>
  <c r="H4" i="5"/>
  <c r="L4" i="5"/>
  <c r="K4" i="5"/>
  <c r="J4" i="5"/>
  <c r="C4" i="5" a="1"/>
  <c r="D4" i="5" l="1"/>
  <c r="C4" i="5"/>
  <c r="G4" i="5"/>
  <c r="F4" i="5"/>
  <c r="E4" i="5"/>
  <c r="H3" i="5" a="1"/>
  <c r="I3" i="5" l="1"/>
  <c r="H3" i="5"/>
  <c r="L3" i="5"/>
  <c r="K3" i="5"/>
  <c r="J3" i="5"/>
  <c r="C3" i="5" a="1"/>
  <c r="D3" i="5" l="1"/>
  <c r="C3" i="5"/>
  <c r="G3" i="5"/>
  <c r="F3" i="5"/>
  <c r="E3" i="5"/>
  <c r="H91" i="5" a="1"/>
  <c r="H91" i="5" l="1"/>
  <c r="C91" i="5" a="1"/>
  <c r="AG91" i="3" a="1"/>
  <c r="C91" i="5" l="1"/>
  <c r="AG91" i="3"/>
  <c r="AF91" i="3" a="1"/>
  <c r="AF91" i="3" l="1"/>
  <c r="AE91" i="3" a="1"/>
  <c r="AE91" i="3" l="1"/>
  <c r="AD91" i="3" a="1"/>
  <c r="AD91" i="3" l="1"/>
  <c r="AC91" i="3" a="1"/>
  <c r="AC91" i="3" l="1"/>
  <c r="AB91" i="3" a="1"/>
  <c r="AB91" i="3" l="1"/>
  <c r="AA91" i="3" a="1"/>
  <c r="AA91" i="3" l="1"/>
  <c r="Z91" i="3" a="1"/>
  <c r="Z91" i="3" l="1"/>
  <c r="Y91" i="3" a="1"/>
  <c r="Y91" i="3" l="1"/>
  <c r="X91" i="3" a="1"/>
  <c r="X91" i="3" l="1"/>
  <c r="W91" i="3" a="1"/>
  <c r="W91" i="3" l="1"/>
  <c r="V91" i="3" a="1"/>
  <c r="V91" i="3" l="1"/>
  <c r="U91" i="3" a="1"/>
  <c r="U91" i="3" l="1"/>
  <c r="T91" i="3" a="1"/>
  <c r="T91" i="3" l="1"/>
  <c r="S91" i="3" a="1"/>
  <c r="S91" i="3" l="1"/>
  <c r="R91" i="3" a="1"/>
  <c r="R91" i="3" l="1"/>
  <c r="Q91" i="3" a="1"/>
  <c r="Q91" i="3" l="1"/>
  <c r="P91" i="3" a="1"/>
  <c r="P91" i="3" l="1"/>
  <c r="O91" i="3" a="1"/>
  <c r="O91" i="3" l="1"/>
  <c r="N91" i="3" a="1"/>
  <c r="N91" i="3" l="1"/>
  <c r="M91" i="3" a="1"/>
  <c r="M91" i="3" l="1"/>
  <c r="L91" i="3" a="1"/>
  <c r="L91" i="3" l="1"/>
  <c r="K91" i="3" a="1"/>
  <c r="K91" i="3" l="1"/>
  <c r="J91" i="3" a="1"/>
  <c r="J91" i="3" l="1"/>
  <c r="I91" i="3" a="1"/>
  <c r="I91" i="3" l="1"/>
  <c r="H91" i="3" a="1"/>
  <c r="H91" i="3" l="1"/>
  <c r="G91" i="3" a="1"/>
  <c r="G91" i="3" l="1"/>
  <c r="F91" i="3" a="1"/>
  <c r="F91" i="3" l="1"/>
  <c r="E91" i="3" a="1"/>
  <c r="E91" i="3" l="1"/>
  <c r="D91" i="3" a="1"/>
  <c r="D91" i="3" l="1"/>
  <c r="AG90" i="3" a="1"/>
  <c r="AG90" i="3" l="1"/>
  <c r="AF90" i="3" a="1"/>
  <c r="AF90" i="3" l="1"/>
  <c r="AE90" i="3" a="1"/>
  <c r="AE90" i="3" l="1"/>
  <c r="AD90" i="3" a="1"/>
  <c r="AD90" i="3" l="1"/>
  <c r="AC90" i="3" a="1"/>
  <c r="AC90" i="3" l="1"/>
  <c r="AB90" i="3" a="1"/>
  <c r="AB90" i="3" l="1"/>
  <c r="AA90" i="3" a="1"/>
  <c r="AA90" i="3" l="1"/>
  <c r="Z90" i="3" a="1"/>
  <c r="Z90" i="3" l="1"/>
  <c r="Y90" i="3" a="1"/>
  <c r="Y90" i="3" l="1"/>
  <c r="X90" i="3" a="1"/>
  <c r="X90" i="3" l="1"/>
  <c r="W90" i="3" a="1"/>
  <c r="W90" i="3" l="1"/>
  <c r="V90" i="3" a="1"/>
  <c r="V90" i="3" l="1"/>
  <c r="U90" i="3" a="1"/>
  <c r="U90" i="3" l="1"/>
  <c r="T90" i="3" a="1"/>
  <c r="T90" i="3" l="1"/>
  <c r="S90" i="3" a="1"/>
  <c r="S90" i="3" l="1"/>
  <c r="R90" i="3" a="1"/>
  <c r="R90" i="3" l="1"/>
  <c r="Q90" i="3" a="1"/>
  <c r="Q90" i="3" l="1"/>
  <c r="P90" i="3" a="1"/>
  <c r="P90" i="3" l="1"/>
  <c r="O90" i="3" a="1"/>
  <c r="O90" i="3" l="1"/>
  <c r="N90" i="3" a="1"/>
  <c r="N90" i="3" l="1"/>
  <c r="M90" i="3" a="1"/>
  <c r="M90" i="3" l="1"/>
  <c r="L90" i="3" a="1"/>
  <c r="L90" i="3" l="1"/>
  <c r="K90" i="3" a="1"/>
  <c r="K90" i="3" l="1"/>
  <c r="J90" i="3" a="1"/>
  <c r="J90" i="3" l="1"/>
  <c r="I90" i="3" a="1"/>
  <c r="I90" i="3" l="1"/>
  <c r="H90" i="3" a="1"/>
  <c r="H90" i="3" l="1"/>
  <c r="G90" i="3" a="1"/>
  <c r="G90" i="3" l="1"/>
  <c r="F90" i="3" a="1"/>
  <c r="F90" i="3" l="1"/>
  <c r="E90" i="3" a="1"/>
  <c r="E90" i="3" l="1"/>
  <c r="D90" i="3" a="1"/>
  <c r="D90" i="3" l="1"/>
  <c r="AG89" i="3" a="1"/>
  <c r="AG89" i="3" l="1"/>
  <c r="AF89" i="3" a="1"/>
  <c r="AF89" i="3" l="1"/>
  <c r="AE89" i="3" a="1"/>
  <c r="AE89" i="3" l="1"/>
  <c r="AD89" i="3" a="1"/>
  <c r="AD89" i="3" l="1"/>
  <c r="AC89" i="3" a="1"/>
  <c r="AC89" i="3" l="1"/>
  <c r="AB89" i="3" a="1"/>
  <c r="AB89" i="3" l="1"/>
  <c r="AA89" i="3" a="1"/>
  <c r="AA89" i="3" l="1"/>
  <c r="Z89" i="3" a="1"/>
  <c r="Z89" i="3" l="1"/>
  <c r="Y89" i="3" a="1"/>
  <c r="Y89" i="3" l="1"/>
  <c r="X89" i="3" a="1"/>
  <c r="X89" i="3" l="1"/>
  <c r="W89" i="3" a="1"/>
  <c r="W89" i="3" l="1"/>
  <c r="V89" i="3" a="1"/>
  <c r="V89" i="3" l="1"/>
  <c r="U89" i="3" a="1"/>
  <c r="U89" i="3" l="1"/>
  <c r="T89" i="3" a="1"/>
  <c r="T89" i="3" l="1"/>
  <c r="S89" i="3" a="1"/>
  <c r="S89" i="3" l="1"/>
  <c r="R89" i="3" a="1"/>
  <c r="R89" i="3" l="1"/>
  <c r="Q89" i="3" a="1"/>
  <c r="Q89" i="3" l="1"/>
  <c r="P89" i="3" a="1"/>
  <c r="P89" i="3" l="1"/>
  <c r="O89" i="3" a="1"/>
  <c r="O89" i="3" l="1"/>
  <c r="N89" i="3" a="1"/>
  <c r="N89" i="3" l="1"/>
  <c r="M89" i="3" a="1"/>
  <c r="M89" i="3" l="1"/>
  <c r="L89" i="3" a="1"/>
  <c r="L89" i="3" l="1"/>
  <c r="K89" i="3" a="1"/>
  <c r="K89" i="3" l="1"/>
  <c r="J89" i="3" a="1"/>
  <c r="J89" i="3" l="1"/>
  <c r="I89" i="3" a="1"/>
  <c r="I89" i="3" l="1"/>
  <c r="H89" i="3" a="1"/>
  <c r="H89" i="3" l="1"/>
  <c r="G89" i="3" a="1"/>
  <c r="G89" i="3" l="1"/>
  <c r="F89" i="3" a="1"/>
  <c r="F89" i="3" l="1"/>
  <c r="E89" i="3" a="1"/>
  <c r="E89" i="3" l="1"/>
  <c r="D89" i="3" a="1"/>
  <c r="D89" i="3" l="1"/>
  <c r="AG88" i="3" a="1"/>
  <c r="AG88" i="3" l="1"/>
  <c r="AF88" i="3" a="1"/>
  <c r="AF88" i="3" l="1"/>
  <c r="AE88" i="3" a="1"/>
  <c r="AE88" i="3" l="1"/>
  <c r="AD88" i="3" a="1"/>
  <c r="AD88" i="3" l="1"/>
  <c r="AC88" i="3" a="1"/>
  <c r="AC88" i="3" l="1"/>
  <c r="AB88" i="3" a="1"/>
  <c r="AB88" i="3" l="1"/>
  <c r="AA88" i="3" a="1"/>
  <c r="AA88" i="3" l="1"/>
  <c r="Z88" i="3" a="1"/>
  <c r="Z88" i="3" l="1"/>
  <c r="Y88" i="3" a="1"/>
  <c r="Y88" i="3" l="1"/>
  <c r="X88" i="3" a="1"/>
  <c r="X88" i="3" l="1"/>
  <c r="W88" i="3" a="1"/>
  <c r="W88" i="3" l="1"/>
  <c r="V88" i="3" a="1"/>
  <c r="V88" i="3" l="1"/>
  <c r="U88" i="3" a="1"/>
  <c r="U88" i="3" l="1"/>
  <c r="T88" i="3" a="1"/>
  <c r="T88" i="3" l="1"/>
  <c r="S88" i="3" a="1"/>
  <c r="S88" i="3" l="1"/>
  <c r="R88" i="3" a="1"/>
  <c r="R88" i="3" l="1"/>
  <c r="Q88" i="3" a="1"/>
  <c r="Q88" i="3" l="1"/>
  <c r="P88" i="3" a="1"/>
  <c r="P88" i="3" l="1"/>
  <c r="O88" i="3" a="1"/>
  <c r="O88" i="3" l="1"/>
  <c r="N88" i="3" a="1"/>
  <c r="N88" i="3" l="1"/>
  <c r="M88" i="3" a="1"/>
  <c r="M88" i="3" l="1"/>
  <c r="L88" i="3" a="1"/>
  <c r="L88" i="3" l="1"/>
  <c r="K88" i="3" a="1"/>
  <c r="K88" i="3" l="1"/>
  <c r="J88" i="3" a="1"/>
  <c r="J88" i="3" l="1"/>
  <c r="I88" i="3" a="1"/>
  <c r="I88" i="3" l="1"/>
  <c r="H88" i="3" a="1"/>
  <c r="H88" i="3" l="1"/>
  <c r="G88" i="3" a="1"/>
  <c r="G88" i="3" l="1"/>
  <c r="F88" i="3" a="1"/>
  <c r="F88" i="3" l="1"/>
  <c r="E88" i="3" a="1"/>
  <c r="E88" i="3" l="1"/>
  <c r="D88" i="3" a="1"/>
  <c r="D88" i="3" l="1"/>
  <c r="AG87" i="3" a="1"/>
  <c r="AG87" i="3" l="1"/>
  <c r="AF87" i="3" a="1"/>
  <c r="AF87" i="3" l="1"/>
  <c r="AE87" i="3" a="1"/>
  <c r="AE87" i="3" l="1"/>
  <c r="AD87" i="3" a="1"/>
  <c r="AD87" i="3" l="1"/>
  <c r="AC87" i="3" a="1"/>
  <c r="AC87" i="3" l="1"/>
  <c r="AB87" i="3" a="1"/>
  <c r="AB87" i="3" l="1"/>
  <c r="AA87" i="3" a="1"/>
  <c r="AA87" i="3" l="1"/>
  <c r="Z87" i="3" a="1"/>
  <c r="Z87" i="3" l="1"/>
  <c r="Y87" i="3" a="1"/>
  <c r="Y87" i="3" l="1"/>
  <c r="X87" i="3" a="1"/>
  <c r="X87" i="3" l="1"/>
  <c r="W87" i="3" a="1"/>
  <c r="W87" i="3" l="1"/>
  <c r="V87" i="3" a="1"/>
  <c r="V87" i="3" l="1"/>
  <c r="U87" i="3" a="1"/>
  <c r="U87" i="3" l="1"/>
  <c r="T87" i="3" a="1"/>
  <c r="T87" i="3" l="1"/>
  <c r="S87" i="3" a="1"/>
  <c r="S87" i="3" l="1"/>
  <c r="R87" i="3" a="1"/>
  <c r="R87" i="3" l="1"/>
  <c r="Q87" i="3" a="1"/>
  <c r="Q87" i="3" l="1"/>
  <c r="P87" i="3" a="1"/>
  <c r="P87" i="3" l="1"/>
  <c r="O87" i="3" a="1"/>
  <c r="O87" i="3" l="1"/>
  <c r="N87" i="3" a="1"/>
  <c r="N87" i="3" l="1"/>
  <c r="M87" i="3" a="1"/>
  <c r="M87" i="3" l="1"/>
  <c r="L87" i="3" a="1"/>
  <c r="L87" i="3" l="1"/>
  <c r="K87" i="3" a="1"/>
  <c r="K87" i="3" l="1"/>
  <c r="J87" i="3" a="1"/>
  <c r="J87" i="3" l="1"/>
  <c r="I87" i="3" a="1"/>
  <c r="I87" i="3" l="1"/>
  <c r="H87" i="3" a="1"/>
  <c r="H87" i="3" l="1"/>
  <c r="G87" i="3" a="1"/>
  <c r="G87" i="3" l="1"/>
  <c r="F87" i="3" a="1"/>
  <c r="F87" i="3" l="1"/>
  <c r="E87" i="3" a="1"/>
  <c r="E87" i="3" l="1"/>
  <c r="D87" i="3" a="1"/>
  <c r="D87" i="3" l="1"/>
  <c r="AG86" i="3" a="1"/>
  <c r="AG86" i="3" l="1"/>
  <c r="AF86" i="3" a="1"/>
  <c r="AF86" i="3" l="1"/>
  <c r="AE86" i="3" a="1"/>
  <c r="AE86" i="3" l="1"/>
  <c r="AD86" i="3" a="1"/>
  <c r="AD86" i="3" l="1"/>
  <c r="AC86" i="3" a="1"/>
  <c r="AC86" i="3" l="1"/>
  <c r="AB86" i="3" a="1"/>
  <c r="AB86" i="3" l="1"/>
  <c r="AA86" i="3" a="1"/>
  <c r="AA86" i="3" l="1"/>
  <c r="Z86" i="3" a="1"/>
  <c r="Z86" i="3" l="1"/>
  <c r="Y86" i="3" a="1"/>
  <c r="Y86" i="3" l="1"/>
  <c r="X86" i="3" a="1"/>
  <c r="X86" i="3" l="1"/>
  <c r="W86" i="3" a="1"/>
  <c r="W86" i="3" l="1"/>
  <c r="V86" i="3" a="1"/>
  <c r="V86" i="3" l="1"/>
  <c r="U86" i="3" a="1"/>
  <c r="U86" i="3" l="1"/>
  <c r="T86" i="3" a="1"/>
  <c r="T86" i="3" l="1"/>
  <c r="S86" i="3" a="1"/>
  <c r="S86" i="3" l="1"/>
  <c r="R86" i="3" a="1"/>
  <c r="R86" i="3" l="1"/>
  <c r="Q86" i="3" a="1"/>
  <c r="Q86" i="3" l="1"/>
  <c r="P86" i="3" a="1"/>
  <c r="P86" i="3" l="1"/>
  <c r="O86" i="3" a="1"/>
  <c r="O86" i="3" l="1"/>
  <c r="N86" i="3" a="1"/>
  <c r="N86" i="3" l="1"/>
  <c r="M86" i="3" a="1"/>
  <c r="M86" i="3" l="1"/>
  <c r="L86" i="3" a="1"/>
  <c r="L86" i="3" l="1"/>
  <c r="K86" i="3" a="1"/>
  <c r="K86" i="3" l="1"/>
  <c r="J86" i="3" a="1"/>
  <c r="J86" i="3" l="1"/>
  <c r="I86" i="3" a="1"/>
  <c r="I86" i="3" l="1"/>
  <c r="H86" i="3" a="1"/>
  <c r="H86" i="3" l="1"/>
  <c r="G86" i="3" a="1"/>
  <c r="G86" i="3" l="1"/>
  <c r="F86" i="3" a="1"/>
  <c r="F86" i="3" l="1"/>
  <c r="E86" i="3" a="1"/>
  <c r="E86" i="3" l="1"/>
  <c r="D86" i="3" a="1"/>
  <c r="D86" i="3" l="1"/>
  <c r="AG85" i="3" a="1"/>
  <c r="AG85" i="3" l="1"/>
  <c r="AF85" i="3" a="1"/>
  <c r="AF85" i="3" l="1"/>
  <c r="AE85" i="3" a="1"/>
  <c r="AE85" i="3" l="1"/>
  <c r="AD85" i="3" a="1"/>
  <c r="AD85" i="3" l="1"/>
  <c r="AC85" i="3" a="1"/>
  <c r="AC85" i="3" l="1"/>
  <c r="AB85" i="3" a="1"/>
  <c r="AB85" i="3" l="1"/>
  <c r="AA85" i="3" a="1"/>
  <c r="AA85" i="3" l="1"/>
  <c r="Z85" i="3" a="1"/>
  <c r="Z85" i="3" l="1"/>
  <c r="Y85" i="3" a="1"/>
  <c r="Y85" i="3" l="1"/>
  <c r="X85" i="3" a="1"/>
  <c r="X85" i="3" l="1"/>
  <c r="W85" i="3" a="1"/>
  <c r="W85" i="3" l="1"/>
  <c r="V85" i="3" a="1"/>
  <c r="V85" i="3" l="1"/>
  <c r="U85" i="3" a="1"/>
  <c r="U85" i="3" l="1"/>
  <c r="T85" i="3" a="1"/>
  <c r="T85" i="3" l="1"/>
  <c r="S85" i="3" a="1"/>
  <c r="S85" i="3" l="1"/>
  <c r="R85" i="3" a="1"/>
  <c r="R85" i="3" l="1"/>
  <c r="Q85" i="3" a="1"/>
  <c r="Q85" i="3" l="1"/>
  <c r="P85" i="3" a="1"/>
  <c r="P85" i="3" l="1"/>
  <c r="O85" i="3" a="1"/>
  <c r="O85" i="3" l="1"/>
  <c r="N85" i="3" a="1"/>
  <c r="N85" i="3" l="1"/>
  <c r="M85" i="3" a="1"/>
  <c r="M85" i="3" l="1"/>
  <c r="L85" i="3" a="1"/>
  <c r="L85" i="3" l="1"/>
  <c r="K85" i="3" a="1"/>
  <c r="K85" i="3" l="1"/>
  <c r="J85" i="3" a="1"/>
  <c r="J85" i="3" l="1"/>
  <c r="I85" i="3" a="1"/>
  <c r="I85" i="3" l="1"/>
  <c r="H85" i="3" a="1"/>
  <c r="H85" i="3" l="1"/>
  <c r="G85" i="3" a="1"/>
  <c r="G85" i="3" l="1"/>
  <c r="F85" i="3" a="1"/>
  <c r="F85" i="3" l="1"/>
  <c r="E85" i="3" a="1"/>
  <c r="E85" i="3" l="1"/>
  <c r="D85" i="3" a="1"/>
  <c r="D85" i="3" l="1"/>
  <c r="AG84" i="3" a="1"/>
  <c r="AG84" i="3" l="1"/>
  <c r="AF84" i="3" a="1"/>
  <c r="AF84" i="3" l="1"/>
  <c r="AE84" i="3" a="1"/>
  <c r="AE84" i="3" l="1"/>
  <c r="AD84" i="3" a="1"/>
  <c r="AD84" i="3" l="1"/>
  <c r="AC84" i="3" a="1"/>
  <c r="AC84" i="3" l="1"/>
  <c r="AB84" i="3" a="1"/>
  <c r="AB84" i="3" l="1"/>
  <c r="AA84" i="3" a="1"/>
  <c r="AA84" i="3" l="1"/>
  <c r="Z84" i="3" a="1"/>
  <c r="Z84" i="3" l="1"/>
  <c r="Y84" i="3" a="1"/>
  <c r="Y84" i="3" l="1"/>
  <c r="X84" i="3" a="1"/>
  <c r="X84" i="3" l="1"/>
  <c r="W84" i="3" a="1"/>
  <c r="W84" i="3" l="1"/>
  <c r="V84" i="3" a="1"/>
  <c r="V84" i="3" l="1"/>
  <c r="U84" i="3" a="1"/>
  <c r="U84" i="3" l="1"/>
  <c r="T84" i="3" a="1"/>
  <c r="T84" i="3" l="1"/>
  <c r="S84" i="3" a="1"/>
  <c r="S84" i="3" l="1"/>
  <c r="R84" i="3" a="1"/>
  <c r="R84" i="3" l="1"/>
  <c r="Q84" i="3" a="1"/>
  <c r="Q84" i="3" l="1"/>
  <c r="P84" i="3" a="1"/>
  <c r="P84" i="3" l="1"/>
  <c r="O84" i="3" a="1"/>
  <c r="O84" i="3" l="1"/>
  <c r="N84" i="3" a="1"/>
  <c r="N84" i="3" l="1"/>
  <c r="M84" i="3" a="1"/>
  <c r="M84" i="3" l="1"/>
  <c r="L84" i="3" a="1"/>
  <c r="L84" i="3" l="1"/>
  <c r="K84" i="3" a="1"/>
  <c r="K84" i="3" l="1"/>
  <c r="J84" i="3" a="1"/>
  <c r="J84" i="3" l="1"/>
  <c r="I84" i="3" a="1"/>
  <c r="I84" i="3" l="1"/>
  <c r="H84" i="3" a="1"/>
  <c r="H84" i="3" l="1"/>
  <c r="G84" i="3" a="1"/>
  <c r="G84" i="3" l="1"/>
  <c r="F84" i="3" a="1"/>
  <c r="F84" i="3" l="1"/>
  <c r="E84" i="3" a="1"/>
  <c r="E84" i="3" l="1"/>
  <c r="D84" i="3" a="1"/>
  <c r="D84" i="3" l="1"/>
  <c r="AG83" i="3" a="1"/>
  <c r="AG83" i="3" l="1"/>
  <c r="AF83" i="3" a="1"/>
  <c r="AF83" i="3" l="1"/>
  <c r="AE83" i="3" a="1"/>
  <c r="AE83" i="3" l="1"/>
  <c r="AD83" i="3" a="1"/>
  <c r="AD83" i="3" l="1"/>
  <c r="AC83" i="3" a="1"/>
  <c r="AC83" i="3" l="1"/>
  <c r="AB83" i="3" a="1"/>
  <c r="AB83" i="3" l="1"/>
  <c r="AA83" i="3" a="1"/>
  <c r="AA83" i="3" l="1"/>
  <c r="Z83" i="3" a="1"/>
  <c r="Z83" i="3" l="1"/>
  <c r="Y83" i="3" a="1"/>
  <c r="Y83" i="3" l="1"/>
  <c r="X83" i="3" a="1"/>
  <c r="X83" i="3" l="1"/>
  <c r="W83" i="3" a="1"/>
  <c r="W83" i="3" l="1"/>
  <c r="V83" i="3" a="1"/>
  <c r="V83" i="3" l="1"/>
  <c r="U83" i="3" a="1"/>
  <c r="U83" i="3" l="1"/>
  <c r="T83" i="3" a="1"/>
  <c r="T83" i="3" l="1"/>
  <c r="S83" i="3" a="1"/>
  <c r="S83" i="3" l="1"/>
  <c r="R83" i="3" a="1"/>
  <c r="R83" i="3" l="1"/>
  <c r="Q83" i="3" a="1"/>
  <c r="Q83" i="3" l="1"/>
  <c r="P83" i="3" a="1"/>
  <c r="P83" i="3" l="1"/>
  <c r="O83" i="3" a="1"/>
  <c r="O83" i="3" l="1"/>
  <c r="N83" i="3" a="1"/>
  <c r="N83" i="3" l="1"/>
  <c r="M83" i="3" a="1"/>
  <c r="M83" i="3" l="1"/>
  <c r="L83" i="3" a="1"/>
  <c r="L83" i="3" l="1"/>
  <c r="K83" i="3" a="1"/>
  <c r="K83" i="3" l="1"/>
  <c r="J83" i="3" a="1"/>
  <c r="J83" i="3" l="1"/>
  <c r="I83" i="3" a="1"/>
  <c r="I83" i="3" l="1"/>
  <c r="H83" i="3" a="1"/>
  <c r="H83" i="3" l="1"/>
  <c r="G83" i="3" a="1"/>
  <c r="G83" i="3" l="1"/>
  <c r="F83" i="3" a="1"/>
  <c r="F83" i="3" l="1"/>
  <c r="E83" i="3" a="1"/>
  <c r="E83" i="3" l="1"/>
  <c r="D83" i="3" a="1"/>
  <c r="D83" i="3" l="1"/>
  <c r="AG82" i="3" a="1"/>
  <c r="AG82" i="3" l="1"/>
  <c r="AF82" i="3" a="1"/>
  <c r="AF82" i="3" l="1"/>
  <c r="AE82" i="3" a="1"/>
  <c r="AE82" i="3" l="1"/>
  <c r="AD82" i="3" a="1"/>
  <c r="AD82" i="3" l="1"/>
  <c r="AC82" i="3" a="1"/>
  <c r="AC82" i="3" l="1"/>
  <c r="AB82" i="3" a="1"/>
  <c r="AB82" i="3" l="1"/>
  <c r="AA82" i="3" a="1"/>
  <c r="AA82" i="3" l="1"/>
  <c r="Z82" i="3" a="1"/>
  <c r="Z82" i="3" l="1"/>
  <c r="Y82" i="3" a="1"/>
  <c r="Y82" i="3" l="1"/>
  <c r="X82" i="3" a="1"/>
  <c r="X82" i="3" l="1"/>
  <c r="W82" i="3" a="1"/>
  <c r="W82" i="3" l="1"/>
  <c r="V82" i="3" a="1"/>
  <c r="V82" i="3" l="1"/>
  <c r="U82" i="3" a="1"/>
  <c r="U82" i="3" l="1"/>
  <c r="T82" i="3" a="1"/>
  <c r="T82" i="3" l="1"/>
  <c r="S82" i="3" a="1"/>
  <c r="S82" i="3" l="1"/>
  <c r="R82" i="3" a="1"/>
  <c r="R82" i="3" l="1"/>
  <c r="Q82" i="3" a="1"/>
  <c r="Q82" i="3" l="1"/>
  <c r="P82" i="3" a="1"/>
  <c r="P82" i="3" l="1"/>
  <c r="O82" i="3" a="1"/>
  <c r="O82" i="3" l="1"/>
  <c r="N82" i="3" a="1"/>
  <c r="N82" i="3" l="1"/>
  <c r="M82" i="3" a="1"/>
  <c r="M82" i="3" l="1"/>
  <c r="L82" i="3" a="1"/>
  <c r="L82" i="3" l="1"/>
  <c r="K82" i="3" a="1"/>
  <c r="K82" i="3" l="1"/>
  <c r="J82" i="3" a="1"/>
  <c r="J82" i="3" l="1"/>
  <c r="I82" i="3" a="1"/>
  <c r="I82" i="3" l="1"/>
  <c r="H82" i="3" a="1"/>
  <c r="H82" i="3" l="1"/>
  <c r="G82" i="3" a="1"/>
  <c r="G82" i="3" l="1"/>
  <c r="F82" i="3" a="1"/>
  <c r="F82" i="3" l="1"/>
  <c r="E82" i="3" a="1"/>
  <c r="E82" i="3" l="1"/>
  <c r="D82" i="3" a="1"/>
  <c r="D82" i="3" l="1"/>
  <c r="AG81" i="3" a="1"/>
  <c r="AG81" i="3" l="1"/>
  <c r="AF81" i="3" a="1"/>
  <c r="AF81" i="3" l="1"/>
  <c r="AE81" i="3" a="1"/>
  <c r="AE81" i="3" l="1"/>
  <c r="AD81" i="3" a="1"/>
  <c r="AD81" i="3" l="1"/>
  <c r="AC81" i="3" a="1"/>
  <c r="AC81" i="3" l="1"/>
  <c r="AB81" i="3" a="1"/>
  <c r="AB81" i="3" l="1"/>
  <c r="AA81" i="3" a="1"/>
  <c r="AA81" i="3" l="1"/>
  <c r="Z81" i="3" a="1"/>
  <c r="Z81" i="3" l="1"/>
  <c r="Y81" i="3" a="1"/>
  <c r="Y81" i="3" l="1"/>
  <c r="X81" i="3" a="1"/>
  <c r="X81" i="3" l="1"/>
  <c r="W81" i="3" a="1"/>
  <c r="W81" i="3" l="1"/>
  <c r="V81" i="3" a="1"/>
  <c r="V81" i="3" l="1"/>
  <c r="U81" i="3" a="1"/>
  <c r="U81" i="3" l="1"/>
  <c r="T81" i="3" a="1"/>
  <c r="T81" i="3" l="1"/>
  <c r="S81" i="3" a="1"/>
  <c r="S81" i="3" l="1"/>
  <c r="R81" i="3" a="1"/>
  <c r="R81" i="3" l="1"/>
  <c r="Q81" i="3" a="1"/>
  <c r="Q81" i="3" l="1"/>
  <c r="P81" i="3" a="1"/>
  <c r="P81" i="3" l="1"/>
  <c r="O81" i="3" a="1"/>
  <c r="O81" i="3" l="1"/>
  <c r="N81" i="3" a="1"/>
  <c r="N81" i="3" l="1"/>
  <c r="M81" i="3" a="1"/>
  <c r="M81" i="3" l="1"/>
  <c r="L81" i="3" a="1"/>
  <c r="L81" i="3" l="1"/>
  <c r="K81" i="3" a="1"/>
  <c r="K81" i="3" l="1"/>
  <c r="J81" i="3" a="1"/>
  <c r="J81" i="3" l="1"/>
  <c r="I81" i="3" a="1"/>
  <c r="I81" i="3" l="1"/>
  <c r="H81" i="3" a="1"/>
  <c r="H81" i="3" l="1"/>
  <c r="G81" i="3" a="1"/>
  <c r="G81" i="3" l="1"/>
  <c r="F81" i="3" a="1"/>
  <c r="F81" i="3" l="1"/>
  <c r="E81" i="3" a="1"/>
  <c r="E81" i="3" l="1"/>
  <c r="D81" i="3" a="1"/>
  <c r="D81" i="3" l="1"/>
  <c r="AG80" i="3" a="1"/>
  <c r="AG80" i="3" l="1"/>
  <c r="AF80" i="3" a="1"/>
  <c r="AF80" i="3" l="1"/>
  <c r="AE80" i="3" a="1"/>
  <c r="AE80" i="3" l="1"/>
  <c r="AD80" i="3" a="1"/>
  <c r="AD80" i="3" l="1"/>
  <c r="AC80" i="3" a="1"/>
  <c r="AC80" i="3" l="1"/>
  <c r="AB80" i="3" a="1"/>
  <c r="AB80" i="3" l="1"/>
  <c r="AA80" i="3" a="1"/>
  <c r="AA80" i="3" l="1"/>
  <c r="Z80" i="3" a="1"/>
  <c r="Z80" i="3" l="1"/>
  <c r="Y80" i="3" a="1"/>
  <c r="Y80" i="3" l="1"/>
  <c r="X80" i="3" a="1"/>
  <c r="X80" i="3" l="1"/>
  <c r="W80" i="3" a="1"/>
  <c r="W80" i="3" l="1"/>
  <c r="V80" i="3" a="1"/>
  <c r="V80" i="3" l="1"/>
  <c r="U80" i="3" a="1"/>
  <c r="U80" i="3" l="1"/>
  <c r="T80" i="3" a="1"/>
  <c r="T80" i="3" l="1"/>
  <c r="S80" i="3" a="1"/>
  <c r="S80" i="3" l="1"/>
  <c r="R80" i="3" a="1"/>
  <c r="R80" i="3" l="1"/>
  <c r="Q80" i="3" a="1"/>
  <c r="Q80" i="3" l="1"/>
  <c r="P80" i="3" a="1"/>
  <c r="P80" i="3" l="1"/>
  <c r="O80" i="3" a="1"/>
  <c r="O80" i="3" l="1"/>
  <c r="N80" i="3" a="1"/>
  <c r="N80" i="3" l="1"/>
  <c r="M80" i="3" a="1"/>
  <c r="M80" i="3" l="1"/>
  <c r="L80" i="3" a="1"/>
  <c r="L80" i="3" l="1"/>
  <c r="K80" i="3" a="1"/>
  <c r="K80" i="3" l="1"/>
  <c r="J80" i="3" a="1"/>
  <c r="J80" i="3" l="1"/>
  <c r="I80" i="3" a="1"/>
  <c r="I80" i="3" l="1"/>
  <c r="H80" i="3" a="1"/>
  <c r="H80" i="3" l="1"/>
  <c r="G80" i="3" a="1"/>
  <c r="G80" i="3" l="1"/>
  <c r="F80" i="3" a="1"/>
  <c r="F80" i="3" l="1"/>
  <c r="E80" i="3" a="1"/>
  <c r="E80" i="3" l="1"/>
  <c r="D80" i="3" a="1"/>
  <c r="D80" i="3" l="1"/>
  <c r="AG79" i="3" a="1"/>
  <c r="AG79" i="3" l="1"/>
  <c r="AF79" i="3" a="1"/>
  <c r="AF79" i="3" l="1"/>
  <c r="AE79" i="3" a="1"/>
  <c r="AE79" i="3" l="1"/>
  <c r="AD79" i="3" a="1"/>
  <c r="AD79" i="3" l="1"/>
  <c r="AC79" i="3" a="1"/>
  <c r="AC79" i="3" l="1"/>
  <c r="AB79" i="3" a="1"/>
  <c r="AB79" i="3" l="1"/>
  <c r="AA79" i="3" a="1"/>
  <c r="AA79" i="3" l="1"/>
  <c r="Z79" i="3" a="1"/>
  <c r="Z79" i="3" l="1"/>
  <c r="Y79" i="3" a="1"/>
  <c r="Y79" i="3" l="1"/>
  <c r="X79" i="3" a="1"/>
  <c r="X79" i="3" l="1"/>
  <c r="W79" i="3" a="1"/>
  <c r="W79" i="3" l="1"/>
  <c r="V79" i="3" a="1"/>
  <c r="V79" i="3" l="1"/>
  <c r="U79" i="3" a="1"/>
  <c r="U79" i="3" l="1"/>
  <c r="T79" i="3" a="1"/>
  <c r="T79" i="3" l="1"/>
  <c r="S79" i="3" a="1"/>
  <c r="S79" i="3" l="1"/>
  <c r="R79" i="3" a="1"/>
  <c r="R79" i="3" l="1"/>
  <c r="Q79" i="3" a="1"/>
  <c r="Q79" i="3" l="1"/>
  <c r="P79" i="3" a="1"/>
  <c r="P79" i="3" l="1"/>
  <c r="O79" i="3" a="1"/>
  <c r="O79" i="3" l="1"/>
  <c r="N79" i="3" a="1"/>
  <c r="N79" i="3" l="1"/>
  <c r="M79" i="3" a="1"/>
  <c r="M79" i="3" l="1"/>
  <c r="L79" i="3" a="1"/>
  <c r="L79" i="3" l="1"/>
  <c r="K79" i="3" a="1"/>
  <c r="K79" i="3" l="1"/>
  <c r="J79" i="3" a="1"/>
  <c r="J79" i="3" l="1"/>
  <c r="I79" i="3" a="1"/>
  <c r="I79" i="3" l="1"/>
  <c r="H79" i="3" a="1"/>
  <c r="H79" i="3" l="1"/>
  <c r="G79" i="3" a="1"/>
  <c r="G79" i="3" l="1"/>
  <c r="F79" i="3" a="1"/>
  <c r="F79" i="3" l="1"/>
  <c r="E79" i="3" a="1"/>
  <c r="E79" i="3" l="1"/>
  <c r="D79" i="3" a="1"/>
  <c r="D79" i="3" l="1"/>
  <c r="AG78" i="3" a="1"/>
  <c r="AG78" i="3" l="1"/>
  <c r="AF78" i="3" a="1"/>
  <c r="AF78" i="3" l="1"/>
  <c r="AE78" i="3" a="1"/>
  <c r="AE78" i="3" l="1"/>
  <c r="AD78" i="3" a="1"/>
  <c r="AD78" i="3" l="1"/>
  <c r="AC78" i="3" a="1"/>
  <c r="AC78" i="3" l="1"/>
  <c r="AB78" i="3" a="1"/>
  <c r="AB78" i="3" l="1"/>
  <c r="AA78" i="3" a="1"/>
  <c r="AA78" i="3" l="1"/>
  <c r="Z78" i="3" a="1"/>
  <c r="Z78" i="3" l="1"/>
  <c r="Y78" i="3" a="1"/>
  <c r="Y78" i="3" l="1"/>
  <c r="X78" i="3" a="1"/>
  <c r="X78" i="3" l="1"/>
  <c r="W78" i="3" a="1"/>
  <c r="W78" i="3" l="1"/>
  <c r="V78" i="3" a="1"/>
  <c r="V78" i="3" l="1"/>
  <c r="U78" i="3" a="1"/>
  <c r="U78" i="3" l="1"/>
  <c r="T78" i="3" a="1"/>
  <c r="T78" i="3" l="1"/>
  <c r="S78" i="3" a="1"/>
  <c r="S78" i="3" l="1"/>
  <c r="R78" i="3" a="1"/>
  <c r="R78" i="3" l="1"/>
  <c r="Q78" i="3" a="1"/>
  <c r="Q78" i="3" l="1"/>
  <c r="P78" i="3" a="1"/>
  <c r="P78" i="3" l="1"/>
  <c r="O78" i="3" a="1"/>
  <c r="O78" i="3" l="1"/>
  <c r="N78" i="3" a="1"/>
  <c r="N78" i="3" l="1"/>
  <c r="M78" i="3" a="1"/>
  <c r="M78" i="3" l="1"/>
  <c r="L78" i="3" a="1"/>
  <c r="L78" i="3" l="1"/>
  <c r="K78" i="3" a="1"/>
  <c r="K78" i="3" l="1"/>
  <c r="J78" i="3" a="1"/>
  <c r="J78" i="3" l="1"/>
  <c r="I78" i="3" a="1"/>
  <c r="I78" i="3" l="1"/>
  <c r="H78" i="3" a="1"/>
  <c r="H78" i="3" l="1"/>
  <c r="G78" i="3" a="1"/>
  <c r="G78" i="3" l="1"/>
  <c r="F78" i="3" a="1"/>
  <c r="F78" i="3" l="1"/>
  <c r="E78" i="3" a="1"/>
  <c r="E78" i="3" l="1"/>
  <c r="D78" i="3" a="1"/>
  <c r="D78" i="3" l="1"/>
  <c r="AG77" i="3" a="1"/>
  <c r="AG77" i="3" l="1"/>
  <c r="AF77" i="3" a="1"/>
  <c r="AF77" i="3" l="1"/>
  <c r="AE77" i="3" a="1"/>
  <c r="AE77" i="3" l="1"/>
  <c r="AD77" i="3" a="1"/>
  <c r="AD77" i="3" l="1"/>
  <c r="AC77" i="3" a="1"/>
  <c r="AC77" i="3" l="1"/>
  <c r="AB77" i="3" a="1"/>
  <c r="AB77" i="3" l="1"/>
  <c r="AA77" i="3" a="1"/>
  <c r="AA77" i="3" l="1"/>
  <c r="Z77" i="3" a="1"/>
  <c r="Z77" i="3" l="1"/>
  <c r="Y77" i="3" a="1"/>
  <c r="Y77" i="3" l="1"/>
  <c r="X77" i="3" a="1"/>
  <c r="X77" i="3" l="1"/>
  <c r="W77" i="3" a="1"/>
  <c r="W77" i="3" l="1"/>
  <c r="V77" i="3" a="1"/>
  <c r="V77" i="3" l="1"/>
  <c r="U77" i="3" a="1"/>
  <c r="U77" i="3" l="1"/>
  <c r="T77" i="3" a="1"/>
  <c r="T77" i="3" l="1"/>
  <c r="S77" i="3" a="1"/>
  <c r="S77" i="3" l="1"/>
  <c r="R77" i="3" a="1"/>
  <c r="R77" i="3" l="1"/>
  <c r="Q77" i="3" a="1"/>
  <c r="Q77" i="3" l="1"/>
  <c r="P77" i="3" a="1"/>
  <c r="P77" i="3" l="1"/>
  <c r="O77" i="3" a="1"/>
  <c r="O77" i="3" l="1"/>
  <c r="N77" i="3" a="1"/>
  <c r="N77" i="3" l="1"/>
  <c r="M77" i="3" a="1"/>
  <c r="M77" i="3" l="1"/>
  <c r="L77" i="3" a="1"/>
  <c r="L77" i="3" l="1"/>
  <c r="K77" i="3" a="1"/>
  <c r="K77" i="3" l="1"/>
  <c r="J77" i="3" a="1"/>
  <c r="J77" i="3" l="1"/>
  <c r="I77" i="3" a="1"/>
  <c r="I77" i="3" l="1"/>
  <c r="H77" i="3" a="1"/>
  <c r="H77" i="3" l="1"/>
  <c r="G77" i="3" a="1"/>
  <c r="G77" i="3" l="1"/>
  <c r="F77" i="3" a="1"/>
  <c r="F77" i="3" l="1"/>
  <c r="E77" i="3" a="1"/>
  <c r="E77" i="3" l="1"/>
  <c r="D77" i="3" a="1"/>
  <c r="D77" i="3" l="1"/>
  <c r="AG76" i="3" a="1"/>
  <c r="AG76" i="3" l="1"/>
  <c r="AF76" i="3" a="1"/>
  <c r="AF76" i="3" l="1"/>
  <c r="AE76" i="3" a="1"/>
  <c r="AE76" i="3" l="1"/>
  <c r="AD76" i="3" a="1"/>
  <c r="AD76" i="3" l="1"/>
  <c r="AC76" i="3" a="1"/>
  <c r="AC76" i="3" l="1"/>
  <c r="AB76" i="3" a="1"/>
  <c r="AB76" i="3" l="1"/>
  <c r="AA76" i="3" a="1"/>
  <c r="AA76" i="3" l="1"/>
  <c r="Z76" i="3" a="1"/>
  <c r="Z76" i="3" l="1"/>
  <c r="Y76" i="3" a="1"/>
  <c r="Y76" i="3" l="1"/>
  <c r="X76" i="3" a="1"/>
  <c r="X76" i="3" l="1"/>
  <c r="W76" i="3" a="1"/>
  <c r="W76" i="3" l="1"/>
  <c r="V76" i="3" a="1"/>
  <c r="V76" i="3" l="1"/>
  <c r="U76" i="3" a="1"/>
  <c r="U76" i="3" l="1"/>
  <c r="T76" i="3" a="1"/>
  <c r="T76" i="3" l="1"/>
  <c r="S76" i="3" a="1"/>
  <c r="S76" i="3" l="1"/>
  <c r="R76" i="3" a="1"/>
  <c r="R76" i="3" l="1"/>
  <c r="Q76" i="3" a="1"/>
  <c r="Q76" i="3" l="1"/>
  <c r="P76" i="3" a="1"/>
  <c r="P76" i="3" l="1"/>
  <c r="O76" i="3" a="1"/>
  <c r="O76" i="3" l="1"/>
  <c r="N76" i="3" a="1"/>
  <c r="N76" i="3" l="1"/>
  <c r="M76" i="3" a="1"/>
  <c r="M76" i="3" l="1"/>
  <c r="L76" i="3" a="1"/>
  <c r="L76" i="3" l="1"/>
  <c r="K76" i="3" a="1"/>
  <c r="K76" i="3" l="1"/>
  <c r="J76" i="3" a="1"/>
  <c r="J76" i="3" l="1"/>
  <c r="I76" i="3" a="1"/>
  <c r="I76" i="3" l="1"/>
  <c r="H76" i="3" a="1"/>
  <c r="H76" i="3" l="1"/>
  <c r="G76" i="3" a="1"/>
  <c r="G76" i="3" l="1"/>
  <c r="F76" i="3" a="1"/>
  <c r="F76" i="3" l="1"/>
  <c r="E76" i="3" a="1"/>
  <c r="E76" i="3" l="1"/>
  <c r="D76" i="3" a="1"/>
  <c r="D76" i="3" l="1"/>
  <c r="AG75" i="3" a="1"/>
  <c r="AG75" i="3" l="1"/>
  <c r="AF75" i="3" a="1"/>
  <c r="AF75" i="3" l="1"/>
  <c r="AE75" i="3" a="1"/>
  <c r="AE75" i="3" l="1"/>
  <c r="AD75" i="3" a="1"/>
  <c r="AD75" i="3" l="1"/>
  <c r="AC75" i="3" a="1"/>
  <c r="AC75" i="3" l="1"/>
  <c r="AB75" i="3" a="1"/>
  <c r="AB75" i="3" l="1"/>
  <c r="AA75" i="3" a="1"/>
  <c r="AA75" i="3" l="1"/>
  <c r="Z75" i="3" a="1"/>
  <c r="Z75" i="3" l="1"/>
  <c r="Y75" i="3" a="1"/>
  <c r="Y75" i="3" l="1"/>
  <c r="X75" i="3" a="1"/>
  <c r="X75" i="3" l="1"/>
  <c r="W75" i="3" a="1"/>
  <c r="W75" i="3" l="1"/>
  <c r="V75" i="3" a="1"/>
  <c r="V75" i="3" l="1"/>
  <c r="U75" i="3" a="1"/>
  <c r="U75" i="3" l="1"/>
  <c r="T75" i="3" a="1"/>
  <c r="T75" i="3" l="1"/>
  <c r="S75" i="3" a="1"/>
  <c r="S75" i="3" l="1"/>
  <c r="R75" i="3" a="1"/>
  <c r="R75" i="3" l="1"/>
  <c r="Q75" i="3" a="1"/>
  <c r="Q75" i="3" l="1"/>
  <c r="P75" i="3" a="1"/>
  <c r="P75" i="3" l="1"/>
  <c r="O75" i="3" a="1"/>
  <c r="O75" i="3" l="1"/>
  <c r="N75" i="3" a="1"/>
  <c r="N75" i="3" l="1"/>
  <c r="M75" i="3" a="1"/>
  <c r="M75" i="3" l="1"/>
  <c r="L75" i="3" a="1"/>
  <c r="L75" i="3" l="1"/>
  <c r="K75" i="3" a="1"/>
  <c r="K75" i="3" l="1"/>
  <c r="J75" i="3" a="1"/>
  <c r="J75" i="3" l="1"/>
  <c r="I75" i="3" a="1"/>
  <c r="I75" i="3" l="1"/>
  <c r="H75" i="3" a="1"/>
  <c r="H75" i="3" l="1"/>
  <c r="G75" i="3" a="1"/>
  <c r="G75" i="3" l="1"/>
  <c r="F75" i="3" a="1"/>
  <c r="F75" i="3" l="1"/>
  <c r="E75" i="3" a="1"/>
  <c r="E75" i="3" l="1"/>
  <c r="D75" i="3" a="1"/>
  <c r="D75" i="3" l="1"/>
  <c r="AG74" i="3" a="1"/>
  <c r="AG74" i="3" l="1"/>
  <c r="AF74" i="3" a="1"/>
  <c r="AF74" i="3" l="1"/>
  <c r="AE74" i="3" a="1"/>
  <c r="AE74" i="3" l="1"/>
  <c r="AD74" i="3" a="1"/>
  <c r="AD74" i="3" l="1"/>
  <c r="AC74" i="3" a="1"/>
  <c r="AC74" i="3" l="1"/>
  <c r="AB74" i="3" a="1"/>
  <c r="AB74" i="3" l="1"/>
  <c r="AA74" i="3" a="1"/>
  <c r="AA74" i="3" l="1"/>
  <c r="Z74" i="3" a="1"/>
  <c r="Z74" i="3" l="1"/>
  <c r="Y74" i="3" a="1"/>
  <c r="Y74" i="3" l="1"/>
  <c r="X74" i="3" a="1"/>
  <c r="X74" i="3" l="1"/>
  <c r="W74" i="3" a="1"/>
  <c r="W74" i="3" l="1"/>
  <c r="V74" i="3" a="1"/>
  <c r="V74" i="3" l="1"/>
  <c r="U74" i="3" a="1"/>
  <c r="U74" i="3" l="1"/>
  <c r="T74" i="3" a="1"/>
  <c r="T74" i="3" l="1"/>
  <c r="S74" i="3" a="1"/>
  <c r="S74" i="3" l="1"/>
  <c r="R74" i="3" a="1"/>
  <c r="R74" i="3" l="1"/>
  <c r="Q74" i="3" a="1"/>
  <c r="Q74" i="3" l="1"/>
  <c r="P74" i="3" a="1"/>
  <c r="P74" i="3" l="1"/>
  <c r="O74" i="3" a="1"/>
  <c r="O74" i="3" l="1"/>
  <c r="N74" i="3" a="1"/>
  <c r="N74" i="3" l="1"/>
  <c r="M74" i="3" a="1"/>
  <c r="M74" i="3" l="1"/>
  <c r="L74" i="3" a="1"/>
  <c r="L74" i="3" l="1"/>
  <c r="K74" i="3" a="1"/>
  <c r="K74" i="3" l="1"/>
  <c r="J74" i="3" a="1"/>
  <c r="J74" i="3" l="1"/>
  <c r="I74" i="3" a="1"/>
  <c r="I74" i="3" l="1"/>
  <c r="H74" i="3" a="1"/>
  <c r="H74" i="3" l="1"/>
  <c r="G74" i="3" a="1"/>
  <c r="G74" i="3" l="1"/>
  <c r="F74" i="3" a="1"/>
  <c r="F74" i="3" l="1"/>
  <c r="E74" i="3" a="1"/>
  <c r="E74" i="3" l="1"/>
  <c r="D74" i="3" a="1"/>
  <c r="D74" i="3" l="1"/>
  <c r="AG73" i="3" a="1"/>
  <c r="AG73" i="3" l="1"/>
  <c r="AF73" i="3" a="1"/>
  <c r="AF73" i="3" l="1"/>
  <c r="AE73" i="3" a="1"/>
  <c r="AE73" i="3" l="1"/>
  <c r="AD73" i="3" a="1"/>
  <c r="AD73" i="3" l="1"/>
  <c r="AC73" i="3" a="1"/>
  <c r="AC73" i="3" l="1"/>
  <c r="AB73" i="3" a="1"/>
  <c r="AB73" i="3" l="1"/>
  <c r="AA73" i="3" a="1"/>
  <c r="AA73" i="3" l="1"/>
  <c r="Z73" i="3" a="1"/>
  <c r="Z73" i="3" l="1"/>
  <c r="Y73" i="3" a="1"/>
  <c r="Y73" i="3" l="1"/>
  <c r="X73" i="3" a="1"/>
  <c r="X73" i="3" l="1"/>
  <c r="W73" i="3" a="1"/>
  <c r="W73" i="3" l="1"/>
  <c r="V73" i="3" a="1"/>
  <c r="V73" i="3" l="1"/>
  <c r="U73" i="3" a="1"/>
  <c r="U73" i="3" l="1"/>
  <c r="T73" i="3" a="1"/>
  <c r="T73" i="3" l="1"/>
  <c r="S73" i="3" a="1"/>
  <c r="S73" i="3" l="1"/>
  <c r="R73" i="3" a="1"/>
  <c r="R73" i="3" l="1"/>
  <c r="Q73" i="3" a="1"/>
  <c r="Q73" i="3" l="1"/>
  <c r="P73" i="3" a="1"/>
  <c r="P73" i="3" l="1"/>
  <c r="O73" i="3" a="1"/>
  <c r="O73" i="3" l="1"/>
  <c r="N73" i="3" a="1"/>
  <c r="N73" i="3" l="1"/>
  <c r="M73" i="3" a="1"/>
  <c r="M73" i="3" l="1"/>
  <c r="L73" i="3" a="1"/>
  <c r="L73" i="3" l="1"/>
  <c r="K73" i="3" a="1"/>
  <c r="K73" i="3" l="1"/>
  <c r="J73" i="3" a="1"/>
  <c r="J73" i="3" l="1"/>
  <c r="I73" i="3" a="1"/>
  <c r="I73" i="3" l="1"/>
  <c r="H73" i="3" a="1"/>
  <c r="H73" i="3" l="1"/>
  <c r="G73" i="3" a="1"/>
  <c r="G73" i="3" l="1"/>
  <c r="F73" i="3" a="1"/>
  <c r="F73" i="3" l="1"/>
  <c r="E73" i="3" a="1"/>
  <c r="E73" i="3" l="1"/>
  <c r="D73" i="3" a="1"/>
  <c r="D73" i="3" l="1"/>
  <c r="AG72" i="3" a="1"/>
  <c r="AG72" i="3" l="1"/>
  <c r="AF72" i="3" a="1"/>
  <c r="AF72" i="3" l="1"/>
  <c r="AE72" i="3" a="1"/>
  <c r="AE72" i="3" l="1"/>
  <c r="AD72" i="3" a="1"/>
  <c r="AD72" i="3" l="1"/>
  <c r="AC72" i="3" a="1"/>
  <c r="AC72" i="3" l="1"/>
  <c r="AB72" i="3" a="1"/>
  <c r="AB72" i="3" l="1"/>
  <c r="AA72" i="3" a="1"/>
  <c r="AA72" i="3" l="1"/>
  <c r="Z72" i="3" a="1"/>
  <c r="Z72" i="3" l="1"/>
  <c r="Y72" i="3" a="1"/>
  <c r="Y72" i="3" l="1"/>
  <c r="X72" i="3" a="1"/>
  <c r="X72" i="3" l="1"/>
  <c r="W72" i="3" a="1"/>
  <c r="W72" i="3" l="1"/>
  <c r="V72" i="3" a="1"/>
  <c r="V72" i="3" l="1"/>
  <c r="U72" i="3" a="1"/>
  <c r="U72" i="3" l="1"/>
  <c r="T72" i="3" a="1"/>
  <c r="T72" i="3" l="1"/>
  <c r="S72" i="3" a="1"/>
  <c r="S72" i="3" l="1"/>
  <c r="R72" i="3" a="1"/>
  <c r="R72" i="3" l="1"/>
  <c r="Q72" i="3" a="1"/>
  <c r="Q72" i="3" l="1"/>
  <c r="P72" i="3" a="1"/>
  <c r="P72" i="3" l="1"/>
  <c r="O72" i="3" a="1"/>
  <c r="O72" i="3" l="1"/>
  <c r="N72" i="3" a="1"/>
  <c r="N72" i="3" l="1"/>
  <c r="M72" i="3" a="1"/>
  <c r="M72" i="3" l="1"/>
  <c r="L72" i="3" a="1"/>
  <c r="L72" i="3" l="1"/>
  <c r="K72" i="3" a="1"/>
  <c r="K72" i="3" l="1"/>
  <c r="J72" i="3" a="1"/>
  <c r="J72" i="3" l="1"/>
  <c r="I72" i="3" a="1"/>
  <c r="I72" i="3" l="1"/>
  <c r="H72" i="3" a="1"/>
  <c r="H72" i="3" l="1"/>
  <c r="G72" i="3" a="1"/>
  <c r="G72" i="3" l="1"/>
  <c r="F72" i="3" a="1"/>
  <c r="F72" i="3" l="1"/>
  <c r="E72" i="3" a="1"/>
  <c r="E72" i="3" l="1"/>
  <c r="D72" i="3" a="1"/>
  <c r="D72" i="3" l="1"/>
  <c r="AG71" i="3" a="1"/>
  <c r="AG71" i="3" l="1"/>
  <c r="AF71" i="3" a="1"/>
  <c r="AF71" i="3" l="1"/>
  <c r="AE71" i="3" a="1"/>
  <c r="AE71" i="3" l="1"/>
  <c r="AD71" i="3" a="1"/>
  <c r="AD71" i="3" l="1"/>
  <c r="AC71" i="3" a="1"/>
  <c r="AC71" i="3" l="1"/>
  <c r="AB71" i="3" a="1"/>
  <c r="AB71" i="3" l="1"/>
  <c r="AA71" i="3" a="1"/>
  <c r="AA71" i="3" l="1"/>
  <c r="Z71" i="3" a="1"/>
  <c r="Z71" i="3" l="1"/>
  <c r="Y71" i="3" a="1"/>
  <c r="Y71" i="3" l="1"/>
  <c r="X71" i="3" a="1"/>
  <c r="X71" i="3" l="1"/>
  <c r="W71" i="3" a="1"/>
  <c r="W71" i="3" l="1"/>
  <c r="V71" i="3" a="1"/>
  <c r="V71" i="3" l="1"/>
  <c r="U71" i="3" a="1"/>
  <c r="U71" i="3" l="1"/>
  <c r="T71" i="3" a="1"/>
  <c r="T71" i="3" l="1"/>
  <c r="S71" i="3" a="1"/>
  <c r="S71" i="3" l="1"/>
  <c r="R71" i="3" a="1"/>
  <c r="R71" i="3" l="1"/>
  <c r="Q71" i="3" a="1"/>
  <c r="Q71" i="3" l="1"/>
  <c r="P71" i="3" a="1"/>
  <c r="P71" i="3" l="1"/>
  <c r="O71" i="3" a="1"/>
  <c r="O71" i="3" l="1"/>
  <c r="N71" i="3" a="1"/>
  <c r="N71" i="3" l="1"/>
  <c r="M71" i="3" a="1"/>
  <c r="M71" i="3" l="1"/>
  <c r="L71" i="3" a="1"/>
  <c r="L71" i="3" l="1"/>
  <c r="K71" i="3" a="1"/>
  <c r="K71" i="3" l="1"/>
  <c r="J71" i="3" a="1"/>
  <c r="J71" i="3" l="1"/>
  <c r="I71" i="3" a="1"/>
  <c r="I71" i="3" l="1"/>
  <c r="H71" i="3" a="1"/>
  <c r="H71" i="3" l="1"/>
  <c r="G71" i="3" a="1"/>
  <c r="G71" i="3" l="1"/>
  <c r="F71" i="3" a="1"/>
  <c r="F71" i="3" l="1"/>
  <c r="E71" i="3" a="1"/>
  <c r="E71" i="3" l="1"/>
  <c r="D71" i="3" a="1"/>
  <c r="D71" i="3" l="1"/>
  <c r="AG70" i="3" a="1"/>
  <c r="AG70" i="3" l="1"/>
  <c r="AF70" i="3" a="1"/>
  <c r="AF70" i="3" l="1"/>
  <c r="AE70" i="3" a="1"/>
  <c r="AE70" i="3" l="1"/>
  <c r="AD70" i="3" a="1"/>
  <c r="AD70" i="3" l="1"/>
  <c r="AC70" i="3" a="1"/>
  <c r="AC70" i="3" l="1"/>
  <c r="AB70" i="3" a="1"/>
  <c r="AB70" i="3" l="1"/>
  <c r="AA70" i="3" a="1"/>
  <c r="AA70" i="3" l="1"/>
  <c r="Z70" i="3" a="1"/>
  <c r="Z70" i="3" l="1"/>
  <c r="Y70" i="3" a="1"/>
  <c r="Y70" i="3" l="1"/>
  <c r="X70" i="3" a="1"/>
  <c r="X70" i="3" l="1"/>
  <c r="W70" i="3" a="1"/>
  <c r="W70" i="3" l="1"/>
  <c r="V70" i="3" a="1"/>
  <c r="V70" i="3" l="1"/>
  <c r="U70" i="3" a="1"/>
  <c r="U70" i="3" l="1"/>
  <c r="T70" i="3" a="1"/>
  <c r="T70" i="3" l="1"/>
  <c r="S70" i="3" a="1"/>
  <c r="S70" i="3" l="1"/>
  <c r="R70" i="3" a="1"/>
  <c r="R70" i="3" l="1"/>
  <c r="Q70" i="3" a="1"/>
  <c r="Q70" i="3" l="1"/>
  <c r="P70" i="3" a="1"/>
  <c r="P70" i="3" l="1"/>
  <c r="O70" i="3" a="1"/>
  <c r="O70" i="3" l="1"/>
  <c r="N70" i="3" a="1"/>
  <c r="N70" i="3" l="1"/>
  <c r="M70" i="3" a="1"/>
  <c r="M70" i="3" l="1"/>
  <c r="L70" i="3" a="1"/>
  <c r="L70" i="3" l="1"/>
  <c r="K70" i="3" a="1"/>
  <c r="K70" i="3" l="1"/>
  <c r="J70" i="3" a="1"/>
  <c r="J70" i="3" l="1"/>
  <c r="I70" i="3" a="1"/>
  <c r="I70" i="3" l="1"/>
  <c r="H70" i="3" a="1"/>
  <c r="H70" i="3" l="1"/>
  <c r="G70" i="3" a="1"/>
  <c r="G70" i="3" l="1"/>
  <c r="F70" i="3" a="1"/>
  <c r="F70" i="3" l="1"/>
  <c r="E70" i="3" a="1"/>
  <c r="E70" i="3" l="1"/>
  <c r="D70" i="3" a="1"/>
  <c r="D70" i="3" l="1"/>
  <c r="AG69" i="3" a="1"/>
  <c r="AG69" i="3" l="1"/>
  <c r="AF69" i="3" a="1"/>
  <c r="AF69" i="3" l="1"/>
  <c r="AE69" i="3" a="1"/>
  <c r="AE69" i="3" l="1"/>
  <c r="AD69" i="3" a="1"/>
  <c r="AD69" i="3" l="1"/>
  <c r="AC69" i="3" a="1"/>
  <c r="AC69" i="3" l="1"/>
  <c r="AB69" i="3" a="1"/>
  <c r="AB69" i="3" l="1"/>
  <c r="AA69" i="3" a="1"/>
  <c r="AA69" i="3" l="1"/>
  <c r="Z69" i="3" a="1"/>
  <c r="Z69" i="3" l="1"/>
  <c r="Y69" i="3" a="1"/>
  <c r="Y69" i="3" l="1"/>
  <c r="X69" i="3" a="1"/>
  <c r="X69" i="3" l="1"/>
  <c r="W69" i="3" a="1"/>
  <c r="W69" i="3" l="1"/>
  <c r="V69" i="3" a="1"/>
  <c r="V69" i="3" l="1"/>
  <c r="U69" i="3" a="1"/>
  <c r="U69" i="3" l="1"/>
  <c r="T69" i="3" a="1"/>
  <c r="T69" i="3" l="1"/>
  <c r="S69" i="3" a="1"/>
  <c r="S69" i="3" l="1"/>
  <c r="R69" i="3" a="1"/>
  <c r="R69" i="3" l="1"/>
  <c r="Q69" i="3" a="1"/>
  <c r="Q69" i="3" l="1"/>
  <c r="P69" i="3" a="1"/>
  <c r="P69" i="3" l="1"/>
  <c r="O69" i="3" a="1"/>
  <c r="O69" i="3" l="1"/>
  <c r="N69" i="3" a="1"/>
  <c r="N69" i="3" l="1"/>
  <c r="M69" i="3" a="1"/>
  <c r="M69" i="3" l="1"/>
  <c r="L69" i="3" a="1"/>
  <c r="L69" i="3" l="1"/>
  <c r="K69" i="3" a="1"/>
  <c r="K69" i="3" l="1"/>
  <c r="J69" i="3" a="1"/>
  <c r="J69" i="3" l="1"/>
  <c r="I69" i="3" a="1"/>
  <c r="I69" i="3" l="1"/>
  <c r="H69" i="3" a="1"/>
  <c r="H69" i="3" l="1"/>
  <c r="G69" i="3" a="1"/>
  <c r="G69" i="3" l="1"/>
  <c r="F69" i="3" a="1"/>
  <c r="F69" i="3" l="1"/>
  <c r="E69" i="3" a="1"/>
  <c r="E69" i="3" l="1"/>
  <c r="D69" i="3" a="1"/>
  <c r="D69" i="3" l="1"/>
  <c r="AG68" i="3" a="1"/>
  <c r="AG68" i="3" l="1"/>
  <c r="AF68" i="3" a="1"/>
  <c r="AF68" i="3" l="1"/>
  <c r="AE68" i="3" a="1"/>
  <c r="AE68" i="3" l="1"/>
  <c r="AD68" i="3" a="1"/>
  <c r="AD68" i="3" l="1"/>
  <c r="AC68" i="3" a="1"/>
  <c r="AC68" i="3" l="1"/>
  <c r="AB68" i="3" a="1"/>
  <c r="AB68" i="3" l="1"/>
  <c r="AA68" i="3" a="1"/>
  <c r="AA68" i="3" l="1"/>
  <c r="Z68" i="3" a="1"/>
  <c r="Z68" i="3" l="1"/>
  <c r="Y68" i="3" a="1"/>
  <c r="Y68" i="3" l="1"/>
  <c r="X68" i="3" a="1"/>
  <c r="X68" i="3" l="1"/>
  <c r="W68" i="3" a="1"/>
  <c r="W68" i="3" l="1"/>
  <c r="V68" i="3" a="1"/>
  <c r="V68" i="3" l="1"/>
  <c r="U68" i="3" a="1"/>
  <c r="U68" i="3" l="1"/>
  <c r="T68" i="3" a="1"/>
  <c r="T68" i="3" l="1"/>
  <c r="S68" i="3" a="1"/>
  <c r="S68" i="3" l="1"/>
  <c r="R68" i="3" a="1"/>
  <c r="R68" i="3" l="1"/>
  <c r="Q68" i="3" a="1"/>
  <c r="Q68" i="3" l="1"/>
  <c r="P68" i="3" a="1"/>
  <c r="P68" i="3" l="1"/>
  <c r="O68" i="3" a="1"/>
  <c r="O68" i="3" l="1"/>
  <c r="N68" i="3" a="1"/>
  <c r="N68" i="3" l="1"/>
  <c r="M68" i="3" a="1"/>
  <c r="M68" i="3" l="1"/>
  <c r="L68" i="3" a="1"/>
  <c r="L68" i="3" l="1"/>
  <c r="K68" i="3" a="1"/>
  <c r="K68" i="3" l="1"/>
  <c r="J68" i="3" a="1"/>
  <c r="J68" i="3" l="1"/>
  <c r="I68" i="3" a="1"/>
  <c r="I68" i="3" l="1"/>
  <c r="H68" i="3" a="1"/>
  <c r="H68" i="3" l="1"/>
  <c r="G68" i="3" a="1"/>
  <c r="G68" i="3" l="1"/>
  <c r="F68" i="3" a="1"/>
  <c r="F68" i="3" l="1"/>
  <c r="E68" i="3" a="1"/>
  <c r="E68" i="3" l="1"/>
  <c r="D68" i="3" a="1"/>
  <c r="D68" i="3" l="1"/>
  <c r="AG67" i="3" a="1"/>
  <c r="AG67" i="3" l="1"/>
  <c r="AF67" i="3" a="1"/>
  <c r="AF67" i="3" l="1"/>
  <c r="AE67" i="3" a="1"/>
  <c r="AE67" i="3" l="1"/>
  <c r="AD67" i="3" a="1"/>
  <c r="AD67" i="3" l="1"/>
  <c r="AC67" i="3" a="1"/>
  <c r="AC67" i="3" l="1"/>
  <c r="AB67" i="3" a="1"/>
  <c r="AB67" i="3" l="1"/>
  <c r="AA67" i="3" a="1"/>
  <c r="AA67" i="3" l="1"/>
  <c r="Z67" i="3" a="1"/>
  <c r="Z67" i="3" l="1"/>
  <c r="Y67" i="3" a="1"/>
  <c r="Y67" i="3" l="1"/>
  <c r="X67" i="3" a="1"/>
  <c r="X67" i="3" l="1"/>
  <c r="W67" i="3" a="1"/>
  <c r="W67" i="3" l="1"/>
  <c r="V67" i="3" a="1"/>
  <c r="V67" i="3" l="1"/>
  <c r="U67" i="3" a="1"/>
  <c r="U67" i="3" l="1"/>
  <c r="T67" i="3" a="1"/>
  <c r="T67" i="3" l="1"/>
  <c r="S67" i="3" a="1"/>
  <c r="S67" i="3" l="1"/>
  <c r="R67" i="3" a="1"/>
  <c r="R67" i="3" l="1"/>
  <c r="Q67" i="3" a="1"/>
  <c r="Q67" i="3" l="1"/>
  <c r="P67" i="3" a="1"/>
  <c r="P67" i="3" l="1"/>
  <c r="O67" i="3" a="1"/>
  <c r="O67" i="3" l="1"/>
  <c r="N67" i="3" a="1"/>
  <c r="N67" i="3" l="1"/>
  <c r="M67" i="3" a="1"/>
  <c r="M67" i="3" l="1"/>
  <c r="L67" i="3" a="1"/>
  <c r="L67" i="3" l="1"/>
  <c r="K67" i="3" a="1"/>
  <c r="K67" i="3" l="1"/>
  <c r="J67" i="3" a="1"/>
  <c r="J67" i="3" l="1"/>
  <c r="I67" i="3" a="1"/>
  <c r="I67" i="3" l="1"/>
  <c r="H67" i="3" a="1"/>
  <c r="H67" i="3" l="1"/>
  <c r="G67" i="3" a="1"/>
  <c r="G67" i="3" l="1"/>
  <c r="F67" i="3" a="1"/>
  <c r="F67" i="3" l="1"/>
  <c r="E67" i="3" a="1"/>
  <c r="E67" i="3" l="1"/>
  <c r="D67" i="3" a="1"/>
  <c r="D67" i="3" l="1"/>
  <c r="AG66" i="3" a="1"/>
  <c r="AG66" i="3" l="1"/>
  <c r="AF66" i="3" a="1"/>
  <c r="AF66" i="3" l="1"/>
  <c r="AE66" i="3" a="1"/>
  <c r="AE66" i="3" l="1"/>
  <c r="AD66" i="3" a="1"/>
  <c r="AD66" i="3" l="1"/>
  <c r="AC66" i="3" a="1"/>
  <c r="AC66" i="3" l="1"/>
  <c r="AB66" i="3" a="1"/>
  <c r="AB66" i="3" l="1"/>
  <c r="AA66" i="3" a="1"/>
  <c r="AA66" i="3" l="1"/>
  <c r="Z66" i="3" a="1"/>
  <c r="Z66" i="3" l="1"/>
  <c r="Y66" i="3" a="1"/>
  <c r="Y66" i="3" l="1"/>
  <c r="X66" i="3" a="1"/>
  <c r="X66" i="3" l="1"/>
  <c r="W66" i="3" a="1"/>
  <c r="W66" i="3" l="1"/>
  <c r="V66" i="3" a="1"/>
  <c r="V66" i="3" l="1"/>
  <c r="U66" i="3" a="1"/>
  <c r="U66" i="3" l="1"/>
  <c r="T66" i="3" a="1"/>
  <c r="T66" i="3" l="1"/>
  <c r="S66" i="3" a="1"/>
  <c r="S66" i="3" l="1"/>
  <c r="R66" i="3" a="1"/>
  <c r="R66" i="3" l="1"/>
  <c r="Q66" i="3" a="1"/>
  <c r="Q66" i="3" l="1"/>
  <c r="P66" i="3" a="1"/>
  <c r="P66" i="3" l="1"/>
  <c r="O66" i="3" a="1"/>
  <c r="O66" i="3" l="1"/>
  <c r="N66" i="3" a="1"/>
  <c r="N66" i="3" l="1"/>
  <c r="M66" i="3" a="1"/>
  <c r="M66" i="3" l="1"/>
  <c r="L66" i="3" a="1"/>
  <c r="L66" i="3" l="1"/>
  <c r="K66" i="3" a="1"/>
  <c r="K66" i="3" l="1"/>
  <c r="J66" i="3" a="1"/>
  <c r="J66" i="3" l="1"/>
  <c r="I66" i="3" a="1"/>
  <c r="I66" i="3" l="1"/>
  <c r="H66" i="3" a="1"/>
  <c r="H66" i="3" l="1"/>
  <c r="G66" i="3" a="1"/>
  <c r="G66" i="3" l="1"/>
  <c r="F66" i="3" a="1"/>
  <c r="F66" i="3" l="1"/>
  <c r="E66" i="3" a="1"/>
  <c r="E66" i="3" l="1"/>
  <c r="D66" i="3" a="1"/>
  <c r="D66" i="3" l="1"/>
  <c r="AG65" i="3" a="1"/>
  <c r="AG65" i="3" l="1"/>
  <c r="AF65" i="3" a="1"/>
  <c r="AF65" i="3" l="1"/>
  <c r="AE65" i="3" a="1"/>
  <c r="AE65" i="3" l="1"/>
  <c r="AD65" i="3" a="1"/>
  <c r="AD65" i="3" l="1"/>
  <c r="AC65" i="3" a="1"/>
  <c r="AC65" i="3" l="1"/>
  <c r="AB65" i="3" a="1"/>
  <c r="AB65" i="3" l="1"/>
  <c r="AA65" i="3" a="1"/>
  <c r="AA65" i="3" l="1"/>
  <c r="Z65" i="3" a="1"/>
  <c r="Z65" i="3" l="1"/>
  <c r="Y65" i="3" a="1"/>
  <c r="Y65" i="3" l="1"/>
  <c r="X65" i="3" a="1"/>
  <c r="X65" i="3" l="1"/>
  <c r="W65" i="3" a="1"/>
  <c r="W65" i="3" l="1"/>
  <c r="V65" i="3" a="1"/>
  <c r="V65" i="3" l="1"/>
  <c r="U65" i="3" a="1"/>
  <c r="U65" i="3" l="1"/>
  <c r="T65" i="3" a="1"/>
  <c r="T65" i="3" l="1"/>
  <c r="S65" i="3" a="1"/>
  <c r="S65" i="3" l="1"/>
  <c r="R65" i="3" a="1"/>
  <c r="R65" i="3" l="1"/>
  <c r="Q65" i="3" a="1"/>
  <c r="Q65" i="3" l="1"/>
  <c r="P65" i="3" a="1"/>
  <c r="P65" i="3" l="1"/>
  <c r="O65" i="3" a="1"/>
  <c r="O65" i="3" l="1"/>
  <c r="N65" i="3" a="1"/>
  <c r="N65" i="3" l="1"/>
  <c r="M65" i="3" a="1"/>
  <c r="M65" i="3" l="1"/>
  <c r="L65" i="3" a="1"/>
  <c r="L65" i="3" l="1"/>
  <c r="K65" i="3" a="1"/>
  <c r="K65" i="3" l="1"/>
  <c r="J65" i="3" a="1"/>
  <c r="J65" i="3" l="1"/>
  <c r="I65" i="3" a="1"/>
  <c r="I65" i="3" l="1"/>
  <c r="H65" i="3" a="1"/>
  <c r="H65" i="3" l="1"/>
  <c r="G65" i="3" a="1"/>
  <c r="G65" i="3" l="1"/>
  <c r="F65" i="3" a="1"/>
  <c r="F65" i="3" l="1"/>
  <c r="E65" i="3" a="1"/>
  <c r="E65" i="3" l="1"/>
  <c r="D65" i="3" a="1"/>
  <c r="D65" i="3" l="1"/>
  <c r="AG64" i="3" a="1"/>
  <c r="AG64" i="3" l="1"/>
  <c r="AF64" i="3" a="1"/>
  <c r="AF64" i="3" l="1"/>
  <c r="AE64" i="3" a="1"/>
  <c r="AE64" i="3" l="1"/>
  <c r="AD64" i="3" a="1"/>
  <c r="AD64" i="3" l="1"/>
  <c r="AC64" i="3" a="1"/>
  <c r="AC64" i="3" l="1"/>
  <c r="AB64" i="3" a="1"/>
  <c r="AB64" i="3" l="1"/>
  <c r="AA64" i="3" a="1"/>
  <c r="AA64" i="3" l="1"/>
  <c r="Z64" i="3" a="1"/>
  <c r="Z64" i="3" l="1"/>
  <c r="Y64" i="3" a="1"/>
  <c r="Y64" i="3" l="1"/>
  <c r="X64" i="3" a="1"/>
  <c r="X64" i="3" l="1"/>
  <c r="W64" i="3" a="1"/>
  <c r="W64" i="3" l="1"/>
  <c r="V64" i="3" a="1"/>
  <c r="V64" i="3" l="1"/>
  <c r="U64" i="3" a="1"/>
  <c r="U64" i="3" l="1"/>
  <c r="T64" i="3" a="1"/>
  <c r="T64" i="3" l="1"/>
  <c r="S64" i="3" a="1"/>
  <c r="S64" i="3" l="1"/>
  <c r="R64" i="3" a="1"/>
  <c r="R64" i="3" l="1"/>
  <c r="Q64" i="3" a="1"/>
  <c r="Q64" i="3" l="1"/>
  <c r="P64" i="3" a="1"/>
  <c r="P64" i="3" l="1"/>
  <c r="O64" i="3" a="1"/>
  <c r="O64" i="3" l="1"/>
  <c r="N64" i="3" a="1"/>
  <c r="N64" i="3" l="1"/>
  <c r="M64" i="3" a="1"/>
  <c r="M64" i="3" l="1"/>
  <c r="L64" i="3" a="1"/>
  <c r="L64" i="3" l="1"/>
  <c r="K64" i="3" a="1"/>
  <c r="K64" i="3" l="1"/>
  <c r="J64" i="3" a="1"/>
  <c r="J64" i="3" l="1"/>
  <c r="I64" i="3" a="1"/>
  <c r="I64" i="3" l="1"/>
  <c r="H64" i="3" a="1"/>
  <c r="H64" i="3" l="1"/>
  <c r="G64" i="3" a="1"/>
  <c r="G64" i="3" l="1"/>
  <c r="F64" i="3" a="1"/>
  <c r="F64" i="3" l="1"/>
  <c r="E64" i="3" a="1"/>
  <c r="E64" i="3" l="1"/>
  <c r="D64" i="3" a="1"/>
  <c r="D64" i="3" l="1"/>
  <c r="AG63" i="3" a="1"/>
  <c r="AG63" i="3" l="1"/>
  <c r="AF63" i="3" a="1"/>
  <c r="AF63" i="3" l="1"/>
  <c r="AE63" i="3" a="1"/>
  <c r="AE63" i="3" l="1"/>
  <c r="AD63" i="3" a="1"/>
  <c r="AD63" i="3" l="1"/>
  <c r="AC63" i="3" a="1"/>
  <c r="AC63" i="3" l="1"/>
  <c r="AB63" i="3" a="1"/>
  <c r="AB63" i="3" l="1"/>
  <c r="AA63" i="3" a="1"/>
  <c r="AA63" i="3" l="1"/>
  <c r="Z63" i="3" a="1"/>
  <c r="Z63" i="3" l="1"/>
  <c r="Y63" i="3" a="1"/>
  <c r="Y63" i="3" l="1"/>
  <c r="X63" i="3" a="1"/>
  <c r="X63" i="3" l="1"/>
  <c r="W63" i="3" a="1"/>
  <c r="W63" i="3" l="1"/>
  <c r="V63" i="3" a="1"/>
  <c r="V63" i="3" l="1"/>
  <c r="U63" i="3" a="1"/>
  <c r="U63" i="3" l="1"/>
  <c r="T63" i="3" a="1"/>
  <c r="T63" i="3" l="1"/>
  <c r="S63" i="3" a="1"/>
  <c r="S63" i="3" l="1"/>
  <c r="R63" i="3" a="1"/>
  <c r="R63" i="3" l="1"/>
  <c r="Q63" i="3" a="1"/>
  <c r="Q63" i="3" l="1"/>
  <c r="P63" i="3" a="1"/>
  <c r="P63" i="3" l="1"/>
  <c r="O63" i="3" a="1"/>
  <c r="O63" i="3" l="1"/>
  <c r="N63" i="3" a="1"/>
  <c r="N63" i="3" l="1"/>
  <c r="M63" i="3" a="1"/>
  <c r="M63" i="3" l="1"/>
  <c r="L63" i="3" a="1"/>
  <c r="L63" i="3" l="1"/>
  <c r="K63" i="3" a="1"/>
  <c r="K63" i="3" l="1"/>
  <c r="J63" i="3" a="1"/>
  <c r="J63" i="3" l="1"/>
  <c r="I63" i="3" a="1"/>
  <c r="I63" i="3" l="1"/>
  <c r="H63" i="3" a="1"/>
  <c r="H63" i="3" l="1"/>
  <c r="G63" i="3" a="1"/>
  <c r="G63" i="3" l="1"/>
  <c r="F63" i="3" a="1"/>
  <c r="F63" i="3" l="1"/>
  <c r="E63" i="3" a="1"/>
  <c r="E63" i="3" l="1"/>
  <c r="D63" i="3" a="1"/>
  <c r="D63" i="3" l="1"/>
  <c r="AG62" i="3" a="1"/>
  <c r="AG62" i="3" l="1"/>
  <c r="AF62" i="3" a="1"/>
  <c r="AF62" i="3" l="1"/>
  <c r="AE62" i="3" a="1"/>
  <c r="AE62" i="3" l="1"/>
  <c r="AD62" i="3" a="1"/>
  <c r="AD62" i="3" l="1"/>
  <c r="AC62" i="3" a="1"/>
  <c r="AC62" i="3" l="1"/>
  <c r="AB62" i="3" a="1"/>
  <c r="AB62" i="3" l="1"/>
  <c r="AA62" i="3" a="1"/>
  <c r="AA62" i="3" l="1"/>
  <c r="Z62" i="3" a="1"/>
  <c r="Z62" i="3" l="1"/>
  <c r="Y62" i="3" a="1"/>
  <c r="Y62" i="3" l="1"/>
  <c r="X62" i="3" a="1"/>
  <c r="X62" i="3" l="1"/>
  <c r="W62" i="3" a="1"/>
  <c r="W62" i="3" l="1"/>
  <c r="V62" i="3" a="1"/>
  <c r="V62" i="3" l="1"/>
  <c r="U62" i="3" a="1"/>
  <c r="U62" i="3" l="1"/>
  <c r="T62" i="3" a="1"/>
  <c r="T62" i="3" l="1"/>
  <c r="S62" i="3" a="1"/>
  <c r="S62" i="3" l="1"/>
  <c r="R62" i="3" a="1"/>
  <c r="R62" i="3" l="1"/>
  <c r="Q62" i="3" a="1"/>
  <c r="Q62" i="3" l="1"/>
  <c r="P62" i="3" a="1"/>
  <c r="P62" i="3" l="1"/>
  <c r="O62" i="3" a="1"/>
  <c r="O62" i="3" l="1"/>
  <c r="N62" i="3" a="1"/>
  <c r="N62" i="3" l="1"/>
  <c r="M62" i="3" a="1"/>
  <c r="M62" i="3" l="1"/>
  <c r="L62" i="3" a="1"/>
  <c r="L62" i="3" l="1"/>
  <c r="K62" i="3" a="1"/>
  <c r="K62" i="3" l="1"/>
  <c r="J62" i="3" a="1"/>
  <c r="J62" i="3" l="1"/>
  <c r="I62" i="3" a="1"/>
  <c r="I62" i="3" l="1"/>
  <c r="H62" i="3" a="1"/>
  <c r="H62" i="3" l="1"/>
  <c r="G62" i="3" a="1"/>
  <c r="G62" i="3" l="1"/>
  <c r="F62" i="3" a="1"/>
  <c r="F62" i="3" l="1"/>
  <c r="E62" i="3" a="1"/>
  <c r="E62" i="3" l="1"/>
  <c r="D62" i="3" a="1"/>
  <c r="D62" i="3" l="1"/>
  <c r="AG61" i="3" a="1"/>
  <c r="AG61" i="3" l="1"/>
  <c r="AF61" i="3" a="1"/>
  <c r="AF61" i="3" l="1"/>
  <c r="AE61" i="3" a="1"/>
  <c r="AE61" i="3" l="1"/>
  <c r="AD61" i="3" a="1"/>
  <c r="AD61" i="3" l="1"/>
  <c r="AC61" i="3" a="1"/>
  <c r="AC61" i="3" l="1"/>
  <c r="AB61" i="3" a="1"/>
  <c r="AB61" i="3" l="1"/>
  <c r="AA61" i="3" a="1"/>
  <c r="AA61" i="3" l="1"/>
  <c r="Z61" i="3" a="1"/>
  <c r="Z61" i="3" l="1"/>
  <c r="Y61" i="3" a="1"/>
  <c r="Y61" i="3" l="1"/>
  <c r="X61" i="3" a="1"/>
  <c r="X61" i="3" l="1"/>
  <c r="W61" i="3" a="1"/>
  <c r="W61" i="3" l="1"/>
  <c r="V61" i="3" a="1"/>
  <c r="V61" i="3" l="1"/>
  <c r="U61" i="3" a="1"/>
  <c r="U61" i="3" l="1"/>
  <c r="T61" i="3" a="1"/>
  <c r="T61" i="3" l="1"/>
  <c r="S61" i="3" a="1"/>
  <c r="S61" i="3" l="1"/>
  <c r="R61" i="3" a="1"/>
  <c r="R61" i="3" l="1"/>
  <c r="Q61" i="3" a="1"/>
  <c r="Q61" i="3" l="1"/>
  <c r="P61" i="3" a="1"/>
  <c r="P61" i="3" l="1"/>
  <c r="O61" i="3" a="1"/>
  <c r="O61" i="3" l="1"/>
  <c r="N61" i="3" a="1"/>
  <c r="N61" i="3" l="1"/>
  <c r="M61" i="3" a="1"/>
  <c r="M61" i="3" l="1"/>
  <c r="L61" i="3" a="1"/>
  <c r="L61" i="3" l="1"/>
  <c r="K61" i="3" a="1"/>
  <c r="K61" i="3" l="1"/>
  <c r="J61" i="3" a="1"/>
  <c r="J61" i="3" l="1"/>
  <c r="I61" i="3" a="1"/>
  <c r="I61" i="3" l="1"/>
  <c r="H61" i="3" a="1"/>
  <c r="H61" i="3" l="1"/>
  <c r="G61" i="3" a="1"/>
  <c r="G61" i="3" l="1"/>
  <c r="F61" i="3" a="1"/>
  <c r="F61" i="3" l="1"/>
  <c r="E61" i="3" a="1"/>
  <c r="E61" i="3" l="1"/>
  <c r="D61" i="3" a="1"/>
  <c r="D61" i="3" l="1"/>
  <c r="AG60" i="3" a="1"/>
  <c r="AG60" i="3" l="1"/>
  <c r="AF60" i="3" a="1"/>
  <c r="AF60" i="3" l="1"/>
  <c r="AE60" i="3" a="1"/>
  <c r="AE60" i="3" l="1"/>
  <c r="AD60" i="3" a="1"/>
  <c r="AD60" i="3" l="1"/>
  <c r="AC60" i="3" a="1"/>
  <c r="AC60" i="3" l="1"/>
  <c r="AB60" i="3" a="1"/>
  <c r="AB60" i="3" l="1"/>
  <c r="AA60" i="3" a="1"/>
  <c r="AA60" i="3" l="1"/>
  <c r="Z60" i="3" a="1"/>
  <c r="Z60" i="3" l="1"/>
  <c r="Y60" i="3" a="1"/>
  <c r="Y60" i="3" l="1"/>
  <c r="X60" i="3" a="1"/>
  <c r="X60" i="3" l="1"/>
  <c r="W60" i="3" a="1"/>
  <c r="W60" i="3" l="1"/>
  <c r="V60" i="3" a="1"/>
  <c r="V60" i="3" l="1"/>
  <c r="U60" i="3" a="1"/>
  <c r="U60" i="3" l="1"/>
  <c r="T60" i="3" a="1"/>
  <c r="T60" i="3" l="1"/>
  <c r="S60" i="3" a="1"/>
  <c r="S60" i="3" l="1"/>
  <c r="R60" i="3" a="1"/>
  <c r="R60" i="3" l="1"/>
  <c r="Q60" i="3" a="1"/>
  <c r="Q60" i="3" l="1"/>
  <c r="P60" i="3" a="1"/>
  <c r="P60" i="3" l="1"/>
  <c r="O60" i="3" a="1"/>
  <c r="O60" i="3" l="1"/>
  <c r="N60" i="3" a="1"/>
  <c r="N60" i="3" l="1"/>
  <c r="M60" i="3" a="1"/>
  <c r="M60" i="3" l="1"/>
  <c r="L60" i="3" a="1"/>
  <c r="L60" i="3" l="1"/>
  <c r="K60" i="3" a="1"/>
  <c r="K60" i="3" l="1"/>
  <c r="J60" i="3" a="1"/>
  <c r="J60" i="3" l="1"/>
  <c r="I60" i="3" a="1"/>
  <c r="I60" i="3" l="1"/>
  <c r="H60" i="3" a="1"/>
  <c r="H60" i="3" l="1"/>
  <c r="G60" i="3" a="1"/>
  <c r="G60" i="3" l="1"/>
  <c r="F60" i="3" a="1"/>
  <c r="F60" i="3" l="1"/>
  <c r="E60" i="3" a="1"/>
  <c r="E60" i="3" l="1"/>
  <c r="D60" i="3" a="1"/>
  <c r="D60" i="3" l="1"/>
  <c r="AG59" i="3" a="1"/>
  <c r="AG59" i="3" l="1"/>
  <c r="AF59" i="3" a="1"/>
  <c r="AF59" i="3" l="1"/>
  <c r="AE59" i="3" a="1"/>
  <c r="AE59" i="3" l="1"/>
  <c r="AD59" i="3" a="1"/>
  <c r="AD59" i="3" l="1"/>
  <c r="AC59" i="3" a="1"/>
  <c r="AC59" i="3" l="1"/>
  <c r="AB59" i="3" a="1"/>
  <c r="AB59" i="3" l="1"/>
  <c r="AA59" i="3" a="1"/>
  <c r="AA59" i="3" l="1"/>
  <c r="Z59" i="3" a="1"/>
  <c r="Z59" i="3" l="1"/>
  <c r="Y59" i="3" a="1"/>
  <c r="Y59" i="3" l="1"/>
  <c r="X59" i="3" a="1"/>
  <c r="X59" i="3" l="1"/>
  <c r="W59" i="3" a="1"/>
  <c r="W59" i="3" l="1"/>
  <c r="V59" i="3" a="1"/>
  <c r="V59" i="3" l="1"/>
  <c r="U59" i="3" a="1"/>
  <c r="U59" i="3" l="1"/>
  <c r="T59" i="3" a="1"/>
  <c r="T59" i="3" l="1"/>
  <c r="S59" i="3" a="1"/>
  <c r="S59" i="3" l="1"/>
  <c r="R59" i="3" a="1"/>
  <c r="R59" i="3" l="1"/>
  <c r="Q59" i="3" a="1"/>
  <c r="Q59" i="3" l="1"/>
  <c r="P59" i="3" a="1"/>
  <c r="P59" i="3" l="1"/>
  <c r="O59" i="3" a="1"/>
  <c r="O59" i="3" l="1"/>
  <c r="N59" i="3" a="1"/>
  <c r="N59" i="3" l="1"/>
  <c r="M59" i="3" a="1"/>
  <c r="M59" i="3" l="1"/>
  <c r="L59" i="3" a="1"/>
  <c r="L59" i="3" l="1"/>
  <c r="K59" i="3" a="1"/>
  <c r="K59" i="3" l="1"/>
  <c r="J59" i="3" a="1"/>
  <c r="J59" i="3" l="1"/>
  <c r="I59" i="3" a="1"/>
  <c r="I59" i="3" l="1"/>
  <c r="H59" i="3" a="1"/>
  <c r="H59" i="3" l="1"/>
  <c r="G59" i="3" a="1"/>
  <c r="G59" i="3" l="1"/>
  <c r="F59" i="3" a="1"/>
  <c r="F59" i="3" l="1"/>
  <c r="E59" i="3" a="1"/>
  <c r="E59" i="3" l="1"/>
  <c r="D59" i="3" a="1"/>
  <c r="D59" i="3" l="1"/>
  <c r="AG58" i="3" a="1"/>
  <c r="AG58" i="3" l="1"/>
  <c r="AF58" i="3" a="1"/>
  <c r="AF58" i="3" l="1"/>
  <c r="AE58" i="3" a="1"/>
  <c r="AE58" i="3" l="1"/>
  <c r="AD58" i="3" a="1"/>
  <c r="AD58" i="3" l="1"/>
  <c r="AC58" i="3" a="1"/>
  <c r="AC58" i="3" l="1"/>
  <c r="AB58" i="3" a="1"/>
  <c r="AB58" i="3" l="1"/>
  <c r="AA58" i="3" a="1"/>
  <c r="AA58" i="3" l="1"/>
  <c r="Z58" i="3" a="1"/>
  <c r="Z58" i="3" l="1"/>
  <c r="Y58" i="3" a="1"/>
  <c r="Y58" i="3" l="1"/>
  <c r="X58" i="3" a="1"/>
  <c r="X58" i="3" l="1"/>
  <c r="W58" i="3" a="1"/>
  <c r="W58" i="3" l="1"/>
  <c r="V58" i="3" a="1"/>
  <c r="V58" i="3" l="1"/>
  <c r="U58" i="3" a="1"/>
  <c r="U58" i="3" l="1"/>
  <c r="T58" i="3" a="1"/>
  <c r="T58" i="3" l="1"/>
  <c r="S58" i="3" a="1"/>
  <c r="S58" i="3" l="1"/>
  <c r="R58" i="3" a="1"/>
  <c r="R58" i="3" l="1"/>
  <c r="Q58" i="3" a="1"/>
  <c r="Q58" i="3" l="1"/>
  <c r="P58" i="3" a="1"/>
  <c r="P58" i="3" l="1"/>
  <c r="O58" i="3" a="1"/>
  <c r="O58" i="3" l="1"/>
  <c r="N58" i="3" a="1"/>
  <c r="N58" i="3" l="1"/>
  <c r="M58" i="3" a="1"/>
  <c r="M58" i="3" l="1"/>
  <c r="L58" i="3" a="1"/>
  <c r="L58" i="3" l="1"/>
  <c r="K58" i="3" a="1"/>
  <c r="K58" i="3" l="1"/>
  <c r="J58" i="3" a="1"/>
  <c r="J58" i="3" l="1"/>
  <c r="I58" i="3" a="1"/>
  <c r="I58" i="3" l="1"/>
  <c r="H58" i="3" a="1"/>
  <c r="H58" i="3" l="1"/>
  <c r="G58" i="3" a="1"/>
  <c r="G58" i="3" l="1"/>
  <c r="F58" i="3" a="1"/>
  <c r="F58" i="3" l="1"/>
  <c r="E58" i="3" a="1"/>
  <c r="E58" i="3" l="1"/>
  <c r="D58" i="3" a="1"/>
  <c r="D58" i="3" l="1"/>
  <c r="AG57" i="3" a="1"/>
  <c r="AG57" i="3" l="1"/>
  <c r="AF57" i="3" a="1"/>
  <c r="AF57" i="3" l="1"/>
  <c r="AE57" i="3" a="1"/>
  <c r="AE57" i="3" l="1"/>
  <c r="AD57" i="3" a="1"/>
  <c r="AD57" i="3" l="1"/>
  <c r="AC57" i="3" a="1"/>
  <c r="AC57" i="3" l="1"/>
  <c r="AB57" i="3" a="1"/>
  <c r="AB57" i="3" l="1"/>
  <c r="AA57" i="3" a="1"/>
  <c r="AA57" i="3" l="1"/>
  <c r="Z57" i="3" a="1"/>
  <c r="Z57" i="3" l="1"/>
  <c r="Y57" i="3" a="1"/>
  <c r="Y57" i="3" l="1"/>
  <c r="X57" i="3" a="1"/>
  <c r="X57" i="3" l="1"/>
  <c r="W57" i="3" a="1"/>
  <c r="W57" i="3" l="1"/>
  <c r="V57" i="3" a="1"/>
  <c r="V57" i="3" l="1"/>
  <c r="U57" i="3" a="1"/>
  <c r="U57" i="3" l="1"/>
  <c r="T57" i="3" a="1"/>
  <c r="T57" i="3" l="1"/>
  <c r="S57" i="3" a="1"/>
  <c r="S57" i="3" l="1"/>
  <c r="R57" i="3" a="1"/>
  <c r="R57" i="3" l="1"/>
  <c r="Q57" i="3" a="1"/>
  <c r="Q57" i="3" l="1"/>
  <c r="P57" i="3" a="1"/>
  <c r="P57" i="3" l="1"/>
  <c r="O57" i="3" a="1"/>
  <c r="O57" i="3" l="1"/>
  <c r="N57" i="3" a="1"/>
  <c r="N57" i="3" l="1"/>
  <c r="M57" i="3" a="1"/>
  <c r="M57" i="3" l="1"/>
  <c r="L57" i="3" a="1"/>
  <c r="L57" i="3" l="1"/>
  <c r="K57" i="3" a="1"/>
  <c r="K57" i="3" l="1"/>
  <c r="J57" i="3" a="1"/>
  <c r="J57" i="3" l="1"/>
  <c r="I57" i="3" a="1"/>
  <c r="I57" i="3" l="1"/>
  <c r="H57" i="3" a="1"/>
  <c r="H57" i="3" l="1"/>
  <c r="G57" i="3" a="1"/>
  <c r="G57" i="3" l="1"/>
  <c r="F57" i="3" a="1"/>
  <c r="F57" i="3" l="1"/>
  <c r="E57" i="3" a="1"/>
  <c r="E57" i="3" l="1"/>
  <c r="D57" i="3" a="1"/>
  <c r="D57" i="3" l="1"/>
  <c r="AG56" i="3" a="1"/>
  <c r="AG56" i="3" l="1"/>
  <c r="AF56" i="3" a="1"/>
  <c r="AF56" i="3" l="1"/>
  <c r="AE56" i="3" a="1"/>
  <c r="AE56" i="3" l="1"/>
  <c r="AD56" i="3" a="1"/>
  <c r="AD56" i="3" l="1"/>
  <c r="AC56" i="3" a="1"/>
  <c r="AC56" i="3" l="1"/>
  <c r="AB56" i="3" a="1"/>
  <c r="AB56" i="3" l="1"/>
  <c r="AA56" i="3" a="1"/>
  <c r="AA56" i="3" l="1"/>
  <c r="Z56" i="3" a="1"/>
  <c r="Z56" i="3" l="1"/>
  <c r="Y56" i="3" a="1"/>
  <c r="Y56" i="3" l="1"/>
  <c r="X56" i="3" a="1"/>
  <c r="X56" i="3" l="1"/>
  <c r="W56" i="3" a="1"/>
  <c r="W56" i="3" l="1"/>
  <c r="V56" i="3" a="1"/>
  <c r="V56" i="3" l="1"/>
  <c r="U56" i="3" a="1"/>
  <c r="U56" i="3" l="1"/>
  <c r="T56" i="3" a="1"/>
  <c r="T56" i="3" l="1"/>
  <c r="S56" i="3" a="1"/>
  <c r="S56" i="3" l="1"/>
  <c r="R56" i="3" a="1"/>
  <c r="R56" i="3" l="1"/>
  <c r="Q56" i="3" a="1"/>
  <c r="Q56" i="3" l="1"/>
  <c r="P56" i="3" a="1"/>
  <c r="P56" i="3" l="1"/>
  <c r="O56" i="3" a="1"/>
  <c r="O56" i="3" l="1"/>
  <c r="N56" i="3" a="1"/>
  <c r="N56" i="3" l="1"/>
  <c r="M56" i="3" a="1"/>
  <c r="M56" i="3" l="1"/>
  <c r="L56" i="3" a="1"/>
  <c r="L56" i="3" l="1"/>
  <c r="K56" i="3" a="1"/>
  <c r="K56" i="3" l="1"/>
  <c r="J56" i="3" a="1"/>
  <c r="J56" i="3" l="1"/>
  <c r="I56" i="3" a="1"/>
  <c r="I56" i="3" l="1"/>
  <c r="H56" i="3" a="1"/>
  <c r="H56" i="3" l="1"/>
  <c r="G56" i="3" a="1"/>
  <c r="G56" i="3" l="1"/>
  <c r="F56" i="3" a="1"/>
  <c r="F56" i="3" l="1"/>
  <c r="E56" i="3" a="1"/>
  <c r="E56" i="3" l="1"/>
  <c r="D56" i="3" a="1"/>
  <c r="D56" i="3" l="1"/>
  <c r="AG55" i="3" a="1"/>
  <c r="AG55" i="3" l="1"/>
  <c r="AF55" i="3" a="1"/>
  <c r="AF55" i="3" l="1"/>
  <c r="AE55" i="3" a="1"/>
  <c r="AE55" i="3" l="1"/>
  <c r="AD55" i="3" a="1"/>
  <c r="AD55" i="3" l="1"/>
  <c r="AC55" i="3" a="1"/>
  <c r="AC55" i="3" l="1"/>
  <c r="AB55" i="3" a="1"/>
  <c r="AB55" i="3" l="1"/>
  <c r="AA55" i="3" a="1"/>
  <c r="AA55" i="3" l="1"/>
  <c r="Z55" i="3" a="1"/>
  <c r="Z55" i="3" l="1"/>
  <c r="Y55" i="3" a="1"/>
  <c r="Y55" i="3" l="1"/>
  <c r="X55" i="3" a="1"/>
  <c r="X55" i="3" l="1"/>
  <c r="W55" i="3" a="1"/>
  <c r="W55" i="3" l="1"/>
  <c r="V55" i="3" a="1"/>
  <c r="V55" i="3" l="1"/>
  <c r="U55" i="3" a="1"/>
  <c r="U55" i="3" l="1"/>
  <c r="T55" i="3" a="1"/>
  <c r="T55" i="3" l="1"/>
  <c r="S55" i="3" a="1"/>
  <c r="S55" i="3" l="1"/>
  <c r="R55" i="3" a="1"/>
  <c r="R55" i="3" l="1"/>
  <c r="Q55" i="3" a="1"/>
  <c r="Q55" i="3" l="1"/>
  <c r="P55" i="3" a="1"/>
  <c r="P55" i="3" l="1"/>
  <c r="O55" i="3" a="1"/>
  <c r="O55" i="3" l="1"/>
  <c r="N55" i="3" a="1"/>
  <c r="N55" i="3" l="1"/>
  <c r="M55" i="3" a="1"/>
  <c r="M55" i="3" l="1"/>
  <c r="L55" i="3" a="1"/>
  <c r="L55" i="3" l="1"/>
  <c r="K55" i="3" a="1"/>
  <c r="K55" i="3" l="1"/>
  <c r="J55" i="3" a="1"/>
  <c r="J55" i="3" l="1"/>
  <c r="I55" i="3" a="1"/>
  <c r="I55" i="3" l="1"/>
  <c r="H55" i="3" a="1"/>
  <c r="H55" i="3" l="1"/>
  <c r="G55" i="3" a="1"/>
  <c r="G55" i="3" l="1"/>
  <c r="F55" i="3" a="1"/>
  <c r="F55" i="3" l="1"/>
  <c r="E55" i="3" a="1"/>
  <c r="E55" i="3" l="1"/>
  <c r="D55" i="3" a="1"/>
  <c r="D55" i="3" l="1"/>
  <c r="AG54" i="3" a="1"/>
  <c r="AG54" i="3" l="1"/>
  <c r="AF54" i="3" a="1"/>
  <c r="AF54" i="3" l="1"/>
  <c r="AE54" i="3" a="1"/>
  <c r="AE54" i="3" l="1"/>
  <c r="AD54" i="3" a="1"/>
  <c r="AD54" i="3" l="1"/>
  <c r="AC54" i="3" a="1"/>
  <c r="AC54" i="3" l="1"/>
  <c r="AB54" i="3" a="1"/>
  <c r="AB54" i="3" l="1"/>
  <c r="AA54" i="3" a="1"/>
  <c r="AA54" i="3" l="1"/>
  <c r="Z54" i="3" a="1"/>
  <c r="Z54" i="3" l="1"/>
  <c r="Y54" i="3" a="1"/>
  <c r="Y54" i="3" l="1"/>
  <c r="X54" i="3" a="1"/>
  <c r="X54" i="3" l="1"/>
  <c r="W54" i="3" a="1"/>
  <c r="W54" i="3" l="1"/>
  <c r="V54" i="3" a="1"/>
  <c r="V54" i="3" l="1"/>
  <c r="U54" i="3" a="1"/>
  <c r="U54" i="3" l="1"/>
  <c r="T54" i="3" a="1"/>
  <c r="T54" i="3" l="1"/>
  <c r="S54" i="3" a="1"/>
  <c r="S54" i="3" l="1"/>
  <c r="R54" i="3" a="1"/>
  <c r="R54" i="3" l="1"/>
  <c r="Q54" i="3" a="1"/>
  <c r="Q54" i="3" l="1"/>
  <c r="P54" i="3" a="1"/>
  <c r="P54" i="3" l="1"/>
  <c r="O54" i="3" a="1"/>
  <c r="O54" i="3" l="1"/>
  <c r="N54" i="3" a="1"/>
  <c r="N54" i="3" l="1"/>
  <c r="M54" i="3" a="1"/>
  <c r="M54" i="3" l="1"/>
  <c r="L54" i="3" a="1"/>
  <c r="L54" i="3" l="1"/>
  <c r="K54" i="3" a="1"/>
  <c r="K54" i="3" l="1"/>
  <c r="J54" i="3" a="1"/>
  <c r="J54" i="3" l="1"/>
  <c r="I54" i="3" a="1"/>
  <c r="I54" i="3" l="1"/>
  <c r="H54" i="3" a="1"/>
  <c r="H54" i="3" l="1"/>
  <c r="G54" i="3" a="1"/>
  <c r="G54" i="3" l="1"/>
  <c r="F54" i="3" a="1"/>
  <c r="F54" i="3" l="1"/>
  <c r="E54" i="3" a="1"/>
  <c r="E54" i="3" l="1"/>
  <c r="D54" i="3" a="1"/>
  <c r="D54" i="3" l="1"/>
  <c r="AG53" i="3" a="1"/>
  <c r="AG53" i="3" l="1"/>
  <c r="AF53" i="3" a="1"/>
  <c r="AF53" i="3" l="1"/>
  <c r="AE53" i="3" a="1"/>
  <c r="AE53" i="3" l="1"/>
  <c r="AD53" i="3" a="1"/>
  <c r="AD53" i="3" l="1"/>
  <c r="AC53" i="3" a="1"/>
  <c r="AC53" i="3" l="1"/>
  <c r="AB53" i="3" a="1"/>
  <c r="AB53" i="3" l="1"/>
  <c r="AA53" i="3" a="1"/>
  <c r="AA53" i="3" l="1"/>
  <c r="Z53" i="3" a="1"/>
  <c r="Z53" i="3" l="1"/>
  <c r="Y53" i="3" a="1"/>
  <c r="Y53" i="3" l="1"/>
  <c r="X53" i="3" a="1"/>
  <c r="X53" i="3" l="1"/>
  <c r="W53" i="3" a="1"/>
  <c r="W53" i="3" l="1"/>
  <c r="V53" i="3" a="1"/>
  <c r="V53" i="3" l="1"/>
  <c r="U53" i="3" a="1"/>
  <c r="U53" i="3" l="1"/>
  <c r="T53" i="3" a="1"/>
  <c r="T53" i="3" l="1"/>
  <c r="S53" i="3" a="1"/>
  <c r="S53" i="3" l="1"/>
  <c r="R53" i="3" a="1"/>
  <c r="R53" i="3" l="1"/>
  <c r="Q53" i="3" a="1"/>
  <c r="Q53" i="3" l="1"/>
  <c r="P53" i="3" a="1"/>
  <c r="P53" i="3" l="1"/>
  <c r="O53" i="3" a="1"/>
  <c r="O53" i="3" l="1"/>
  <c r="N53" i="3" a="1"/>
  <c r="N53" i="3" l="1"/>
  <c r="M53" i="3" a="1"/>
  <c r="M53" i="3" l="1"/>
  <c r="L53" i="3" a="1"/>
  <c r="L53" i="3" l="1"/>
  <c r="K53" i="3" a="1"/>
  <c r="K53" i="3" l="1"/>
  <c r="J53" i="3" a="1"/>
  <c r="J53" i="3" l="1"/>
  <c r="I53" i="3" a="1"/>
  <c r="I53" i="3" l="1"/>
  <c r="H53" i="3" a="1"/>
  <c r="H53" i="3" l="1"/>
  <c r="G53" i="3" a="1"/>
  <c r="G53" i="3" l="1"/>
  <c r="F53" i="3" a="1"/>
  <c r="F53" i="3" l="1"/>
  <c r="E53" i="3" a="1"/>
  <c r="E53" i="3" l="1"/>
  <c r="D53" i="3" a="1"/>
  <c r="D53" i="3" l="1"/>
  <c r="AG52" i="3" a="1"/>
  <c r="AG52" i="3" l="1"/>
  <c r="AF52" i="3" a="1"/>
  <c r="AF52" i="3" l="1"/>
  <c r="AE52" i="3" a="1"/>
  <c r="AE52" i="3" l="1"/>
  <c r="AD52" i="3" a="1"/>
  <c r="AD52" i="3" l="1"/>
  <c r="AC52" i="3" a="1"/>
  <c r="AC52" i="3" l="1"/>
  <c r="AB52" i="3" a="1"/>
  <c r="AB52" i="3" l="1"/>
  <c r="AA52" i="3" a="1"/>
  <c r="AA52" i="3" l="1"/>
  <c r="Z52" i="3" a="1"/>
  <c r="Z52" i="3" l="1"/>
  <c r="Y52" i="3" a="1"/>
  <c r="Y52" i="3" l="1"/>
  <c r="X52" i="3" a="1"/>
  <c r="X52" i="3" l="1"/>
  <c r="W52" i="3" a="1"/>
  <c r="W52" i="3" l="1"/>
  <c r="V52" i="3" a="1"/>
  <c r="V52" i="3" l="1"/>
  <c r="U52" i="3" a="1"/>
  <c r="U52" i="3" l="1"/>
  <c r="T52" i="3" a="1"/>
  <c r="T52" i="3" l="1"/>
  <c r="S52" i="3" a="1"/>
  <c r="S52" i="3" l="1"/>
  <c r="R52" i="3" a="1"/>
  <c r="R52" i="3" l="1"/>
  <c r="Q52" i="3" a="1"/>
  <c r="Q52" i="3" l="1"/>
  <c r="P52" i="3" a="1"/>
  <c r="P52" i="3" l="1"/>
  <c r="O52" i="3" a="1"/>
  <c r="O52" i="3" l="1"/>
  <c r="N52" i="3" a="1"/>
  <c r="N52" i="3" l="1"/>
  <c r="M52" i="3" a="1"/>
  <c r="M52" i="3" l="1"/>
  <c r="L52" i="3" a="1"/>
  <c r="L52" i="3" l="1"/>
  <c r="K52" i="3" a="1"/>
  <c r="K52" i="3" l="1"/>
  <c r="J52" i="3" a="1"/>
  <c r="J52" i="3" l="1"/>
  <c r="I52" i="3" a="1"/>
  <c r="I52" i="3" l="1"/>
  <c r="H52" i="3" a="1"/>
  <c r="H52" i="3" l="1"/>
  <c r="G52" i="3" a="1"/>
  <c r="G52" i="3" l="1"/>
  <c r="F52" i="3" a="1"/>
  <c r="F52" i="3" l="1"/>
  <c r="E52" i="3" a="1"/>
  <c r="E52" i="3" l="1"/>
  <c r="D52" i="3" a="1"/>
  <c r="D52" i="3" l="1"/>
  <c r="AG51" i="3" a="1"/>
  <c r="AG51" i="3" l="1"/>
  <c r="AF51" i="3" a="1"/>
  <c r="AF51" i="3" l="1"/>
  <c r="AE51" i="3" a="1"/>
  <c r="AE51" i="3" l="1"/>
  <c r="AD51" i="3" a="1"/>
  <c r="AD51" i="3" l="1"/>
  <c r="AC51" i="3" a="1"/>
  <c r="AC51" i="3" l="1"/>
  <c r="AB51" i="3" a="1"/>
  <c r="AB51" i="3" l="1"/>
  <c r="AA51" i="3" a="1"/>
  <c r="AA51" i="3" l="1"/>
  <c r="Z51" i="3" a="1"/>
  <c r="Z51" i="3" l="1"/>
  <c r="Y51" i="3" a="1"/>
  <c r="Y51" i="3" l="1"/>
  <c r="X51" i="3" a="1"/>
  <c r="X51" i="3" l="1"/>
  <c r="W51" i="3" a="1"/>
  <c r="W51" i="3" l="1"/>
  <c r="V51" i="3" a="1"/>
  <c r="V51" i="3" l="1"/>
  <c r="U51" i="3" a="1"/>
  <c r="U51" i="3" l="1"/>
  <c r="T51" i="3" a="1"/>
  <c r="T51" i="3" l="1"/>
  <c r="S51" i="3" a="1"/>
  <c r="S51" i="3" l="1"/>
  <c r="R51" i="3" a="1"/>
  <c r="R51" i="3" l="1"/>
  <c r="Q51" i="3" a="1"/>
  <c r="Q51" i="3" l="1"/>
  <c r="P51" i="3" a="1"/>
  <c r="P51" i="3" l="1"/>
  <c r="O51" i="3" a="1"/>
  <c r="O51" i="3" l="1"/>
  <c r="N51" i="3" a="1"/>
  <c r="N51" i="3" l="1"/>
  <c r="M51" i="3" a="1"/>
  <c r="M51" i="3" l="1"/>
  <c r="L51" i="3" a="1"/>
  <c r="L51" i="3" l="1"/>
  <c r="K51" i="3" a="1"/>
  <c r="K51" i="3" l="1"/>
  <c r="J51" i="3" a="1"/>
  <c r="J51" i="3" l="1"/>
  <c r="I51" i="3" a="1"/>
  <c r="I51" i="3" l="1"/>
  <c r="H51" i="3" a="1"/>
  <c r="H51" i="3" l="1"/>
  <c r="G51" i="3" a="1"/>
  <c r="G51" i="3" l="1"/>
  <c r="F51" i="3" a="1"/>
  <c r="F51" i="3" l="1"/>
  <c r="E51" i="3" a="1"/>
  <c r="E51" i="3" l="1"/>
  <c r="D51" i="3" a="1"/>
  <c r="D51" i="3" l="1"/>
  <c r="AG50" i="3" a="1"/>
  <c r="AG50" i="3" l="1"/>
  <c r="AF50" i="3" a="1"/>
  <c r="AF50" i="3" l="1"/>
  <c r="AE50" i="3" a="1"/>
  <c r="AE50" i="3" l="1"/>
  <c r="AD50" i="3" a="1"/>
  <c r="AD50" i="3" l="1"/>
  <c r="AC50" i="3" a="1"/>
  <c r="AC50" i="3" l="1"/>
  <c r="AB50" i="3" a="1"/>
  <c r="AB50" i="3" l="1"/>
  <c r="AA50" i="3" a="1"/>
  <c r="AA50" i="3" l="1"/>
  <c r="Z50" i="3" a="1"/>
  <c r="Z50" i="3" l="1"/>
  <c r="Y50" i="3" a="1"/>
  <c r="Y50" i="3" l="1"/>
  <c r="X50" i="3" a="1"/>
  <c r="X50" i="3" l="1"/>
  <c r="W50" i="3" a="1"/>
  <c r="W50" i="3" l="1"/>
  <c r="V50" i="3" a="1"/>
  <c r="V50" i="3" l="1"/>
  <c r="U50" i="3" a="1"/>
  <c r="U50" i="3" l="1"/>
  <c r="T50" i="3" a="1"/>
  <c r="T50" i="3" l="1"/>
  <c r="S50" i="3" a="1"/>
  <c r="S50" i="3" l="1"/>
  <c r="R50" i="3" a="1"/>
  <c r="R50" i="3" l="1"/>
  <c r="Q50" i="3" a="1"/>
  <c r="Q50" i="3" l="1"/>
  <c r="P50" i="3" a="1"/>
  <c r="P50" i="3" l="1"/>
  <c r="O50" i="3" a="1"/>
  <c r="O50" i="3" l="1"/>
  <c r="N50" i="3" a="1"/>
  <c r="N50" i="3" l="1"/>
  <c r="M50" i="3" a="1"/>
  <c r="M50" i="3" l="1"/>
  <c r="L50" i="3" a="1"/>
  <c r="L50" i="3" l="1"/>
  <c r="K50" i="3" a="1"/>
  <c r="K50" i="3" l="1"/>
  <c r="J50" i="3" a="1"/>
  <c r="J50" i="3" l="1"/>
  <c r="I50" i="3" a="1"/>
  <c r="I50" i="3" l="1"/>
  <c r="H50" i="3" a="1"/>
  <c r="H50" i="3" l="1"/>
  <c r="G50" i="3" a="1"/>
  <c r="G50" i="3" l="1"/>
  <c r="F50" i="3" a="1"/>
  <c r="F50" i="3" l="1"/>
  <c r="E50" i="3" a="1"/>
  <c r="E50" i="3" l="1"/>
  <c r="D50" i="3" a="1"/>
  <c r="D50" i="3" l="1"/>
  <c r="AG49" i="3" a="1"/>
  <c r="AG49" i="3" l="1"/>
  <c r="AF49" i="3" a="1"/>
  <c r="AF49" i="3" l="1"/>
  <c r="AE49" i="3" a="1"/>
  <c r="AE49" i="3" l="1"/>
  <c r="AD49" i="3" a="1"/>
  <c r="AD49" i="3" l="1"/>
  <c r="AC49" i="3" a="1"/>
  <c r="AC49" i="3" l="1"/>
  <c r="AB49" i="3" a="1"/>
  <c r="AB49" i="3" l="1"/>
  <c r="AA49" i="3" a="1"/>
  <c r="AA49" i="3" l="1"/>
  <c r="Z49" i="3" a="1"/>
  <c r="Z49" i="3" l="1"/>
  <c r="Y49" i="3" a="1"/>
  <c r="Y49" i="3" l="1"/>
  <c r="X49" i="3" a="1"/>
  <c r="X49" i="3" l="1"/>
  <c r="W49" i="3" a="1"/>
  <c r="W49" i="3" l="1"/>
  <c r="V49" i="3" a="1"/>
  <c r="V49" i="3" l="1"/>
  <c r="U49" i="3" a="1"/>
  <c r="U49" i="3" l="1"/>
  <c r="T49" i="3" a="1"/>
  <c r="T49" i="3" l="1"/>
  <c r="S49" i="3" a="1"/>
  <c r="S49" i="3" l="1"/>
  <c r="R49" i="3" a="1"/>
  <c r="R49" i="3" l="1"/>
  <c r="Q49" i="3" a="1"/>
  <c r="Q49" i="3" l="1"/>
  <c r="P49" i="3" a="1"/>
  <c r="P49" i="3" l="1"/>
  <c r="O49" i="3" a="1"/>
  <c r="O49" i="3" l="1"/>
  <c r="N49" i="3" a="1"/>
  <c r="N49" i="3" l="1"/>
  <c r="M49" i="3" a="1"/>
  <c r="M49" i="3" l="1"/>
  <c r="L49" i="3" a="1"/>
  <c r="L49" i="3" l="1"/>
  <c r="K49" i="3" a="1"/>
  <c r="K49" i="3" l="1"/>
  <c r="J49" i="3" a="1"/>
  <c r="J49" i="3" l="1"/>
  <c r="I49" i="3" a="1"/>
  <c r="I49" i="3" l="1"/>
  <c r="H49" i="3" a="1"/>
  <c r="H49" i="3" l="1"/>
  <c r="G49" i="3" a="1"/>
  <c r="G49" i="3" l="1"/>
  <c r="F49" i="3" a="1"/>
  <c r="F49" i="3" l="1"/>
  <c r="E49" i="3" a="1"/>
  <c r="E49" i="3" l="1"/>
  <c r="D49" i="3" a="1"/>
  <c r="D49" i="3" l="1"/>
  <c r="AG48" i="3" a="1"/>
  <c r="AG48" i="3" l="1"/>
  <c r="AF48" i="3" a="1"/>
  <c r="AF48" i="3" l="1"/>
  <c r="AE48" i="3" a="1"/>
  <c r="AE48" i="3" l="1"/>
  <c r="AD48" i="3" a="1"/>
  <c r="AD48" i="3" l="1"/>
  <c r="AC48" i="3" a="1"/>
  <c r="AC48" i="3" l="1"/>
  <c r="AB48" i="3" a="1"/>
  <c r="AB48" i="3" l="1"/>
  <c r="AA48" i="3" a="1"/>
  <c r="AA48" i="3" l="1"/>
  <c r="Z48" i="3" a="1"/>
  <c r="Z48" i="3" l="1"/>
  <c r="Y48" i="3" a="1"/>
  <c r="Y48" i="3" l="1"/>
  <c r="X48" i="3" a="1"/>
  <c r="X48" i="3" l="1"/>
  <c r="W48" i="3" a="1"/>
  <c r="W48" i="3" l="1"/>
  <c r="V48" i="3" a="1"/>
  <c r="V48" i="3" l="1"/>
  <c r="U48" i="3" a="1"/>
  <c r="U48" i="3" l="1"/>
  <c r="T48" i="3" a="1"/>
  <c r="T48" i="3" l="1"/>
  <c r="S48" i="3" a="1"/>
  <c r="S48" i="3" l="1"/>
  <c r="R48" i="3" a="1"/>
  <c r="R48" i="3" l="1"/>
  <c r="Q48" i="3" a="1"/>
  <c r="Q48" i="3" l="1"/>
  <c r="P48" i="3" a="1"/>
  <c r="P48" i="3" l="1"/>
  <c r="O48" i="3" a="1"/>
  <c r="O48" i="3" l="1"/>
  <c r="N48" i="3" a="1"/>
  <c r="N48" i="3" l="1"/>
  <c r="M48" i="3" a="1"/>
  <c r="M48" i="3" l="1"/>
  <c r="L48" i="3" a="1"/>
  <c r="L48" i="3" l="1"/>
  <c r="K48" i="3" a="1"/>
  <c r="K48" i="3" l="1"/>
  <c r="J48" i="3" a="1"/>
  <c r="J48" i="3" l="1"/>
  <c r="I48" i="3" a="1"/>
  <c r="I48" i="3" l="1"/>
  <c r="H48" i="3" a="1"/>
  <c r="H48" i="3" l="1"/>
  <c r="G48" i="3" a="1"/>
  <c r="G48" i="3" l="1"/>
  <c r="F48" i="3" a="1"/>
  <c r="F48" i="3" l="1"/>
  <c r="E48" i="3" a="1"/>
  <c r="E48" i="3" l="1"/>
  <c r="D48" i="3" a="1"/>
  <c r="D48" i="3" l="1"/>
  <c r="AG47" i="3" a="1"/>
  <c r="AG47" i="3" l="1"/>
  <c r="AF47" i="3" a="1"/>
  <c r="AF47" i="3" l="1"/>
  <c r="AE47" i="3" a="1"/>
  <c r="AE47" i="3" l="1"/>
  <c r="AD47" i="3" a="1"/>
  <c r="AD47" i="3" l="1"/>
  <c r="AC47" i="3" a="1"/>
  <c r="AC47" i="3" l="1"/>
  <c r="AB47" i="3" a="1"/>
  <c r="AB47" i="3" l="1"/>
  <c r="AA47" i="3" a="1"/>
  <c r="AA47" i="3" l="1"/>
  <c r="Z47" i="3" a="1"/>
  <c r="Z47" i="3" l="1"/>
  <c r="Y47" i="3" a="1"/>
  <c r="Y47" i="3" l="1"/>
  <c r="X47" i="3" a="1"/>
  <c r="X47" i="3" l="1"/>
  <c r="W47" i="3" a="1"/>
  <c r="W47" i="3" l="1"/>
  <c r="V47" i="3" a="1"/>
  <c r="V47" i="3" l="1"/>
  <c r="U47" i="3" a="1"/>
  <c r="U47" i="3" l="1"/>
  <c r="T47" i="3" a="1"/>
  <c r="T47" i="3" l="1"/>
  <c r="S47" i="3" a="1"/>
  <c r="S47" i="3" l="1"/>
  <c r="R47" i="3" a="1"/>
  <c r="R47" i="3" l="1"/>
  <c r="Q47" i="3" a="1"/>
  <c r="Q47" i="3" l="1"/>
  <c r="P47" i="3" a="1"/>
  <c r="P47" i="3" l="1"/>
  <c r="O47" i="3" a="1"/>
  <c r="O47" i="3" l="1"/>
  <c r="N47" i="3" a="1"/>
  <c r="N47" i="3" l="1"/>
  <c r="M47" i="3" a="1"/>
  <c r="M47" i="3" l="1"/>
  <c r="L47" i="3" a="1"/>
  <c r="L47" i="3" l="1"/>
  <c r="K47" i="3" a="1"/>
  <c r="K47" i="3" l="1"/>
  <c r="J47" i="3" a="1"/>
  <c r="J47" i="3" l="1"/>
  <c r="I47" i="3" a="1"/>
  <c r="I47" i="3" l="1"/>
  <c r="H47" i="3" a="1"/>
  <c r="H47" i="3" l="1"/>
  <c r="G47" i="3" a="1"/>
  <c r="G47" i="3" l="1"/>
  <c r="F47" i="3" a="1"/>
  <c r="F47" i="3" l="1"/>
  <c r="E47" i="3" a="1"/>
  <c r="E47" i="3" l="1"/>
  <c r="D47" i="3" a="1"/>
  <c r="D47" i="3" l="1"/>
  <c r="AG46" i="3" a="1"/>
  <c r="AG46" i="3" l="1"/>
  <c r="AF46" i="3" a="1"/>
  <c r="AF46" i="3" l="1"/>
  <c r="AE46" i="3" a="1"/>
  <c r="AE46" i="3" l="1"/>
  <c r="AD46" i="3" a="1"/>
  <c r="AD46" i="3" l="1"/>
  <c r="AC46" i="3" a="1"/>
  <c r="AC46" i="3" l="1"/>
  <c r="AB46" i="3" a="1"/>
  <c r="AB46" i="3" l="1"/>
  <c r="AA46" i="3" a="1"/>
  <c r="AA46" i="3" l="1"/>
  <c r="Z46" i="3" a="1"/>
  <c r="Z46" i="3" l="1"/>
  <c r="Y46" i="3" a="1"/>
  <c r="Y46" i="3" l="1"/>
  <c r="X46" i="3" a="1"/>
  <c r="X46" i="3" l="1"/>
  <c r="W46" i="3" a="1"/>
  <c r="W46" i="3" l="1"/>
  <c r="V46" i="3" a="1"/>
  <c r="V46" i="3" l="1"/>
  <c r="U46" i="3" a="1"/>
  <c r="U46" i="3" l="1"/>
  <c r="T46" i="3" a="1"/>
  <c r="T46" i="3" l="1"/>
  <c r="S46" i="3" a="1"/>
  <c r="S46" i="3" l="1"/>
  <c r="R46" i="3" a="1"/>
  <c r="R46" i="3" l="1"/>
  <c r="Q46" i="3" a="1"/>
  <c r="Q46" i="3" l="1"/>
  <c r="P46" i="3" a="1"/>
  <c r="P46" i="3" l="1"/>
  <c r="O46" i="3" a="1"/>
  <c r="O46" i="3" l="1"/>
  <c r="N46" i="3" a="1"/>
  <c r="N46" i="3" l="1"/>
  <c r="M46" i="3" a="1"/>
  <c r="M46" i="3" l="1"/>
  <c r="L46" i="3" a="1"/>
  <c r="L46" i="3" l="1"/>
  <c r="K46" i="3" a="1"/>
  <c r="K46" i="3" l="1"/>
  <c r="J46" i="3" a="1"/>
  <c r="J46" i="3" l="1"/>
  <c r="I46" i="3" a="1"/>
  <c r="I46" i="3" l="1"/>
  <c r="H46" i="3" a="1"/>
  <c r="H46" i="3" l="1"/>
  <c r="G46" i="3" a="1"/>
  <c r="G46" i="3" l="1"/>
  <c r="F46" i="3" a="1"/>
  <c r="F46" i="3" l="1"/>
  <c r="E46" i="3" a="1"/>
  <c r="E46" i="3" l="1"/>
  <c r="D46" i="3" a="1"/>
  <c r="D46" i="3" l="1"/>
  <c r="AG45" i="3" a="1"/>
  <c r="AG45" i="3" l="1"/>
  <c r="AF45" i="3" a="1"/>
  <c r="AF45" i="3" l="1"/>
  <c r="AE45" i="3" a="1"/>
  <c r="AE45" i="3" l="1"/>
  <c r="AD45" i="3" a="1"/>
  <c r="AD45" i="3" l="1"/>
  <c r="AC45" i="3" a="1"/>
  <c r="AC45" i="3" l="1"/>
  <c r="AB45" i="3" a="1"/>
  <c r="AB45" i="3" l="1"/>
  <c r="AA45" i="3" a="1"/>
  <c r="AA45" i="3" l="1"/>
  <c r="Z45" i="3" a="1"/>
  <c r="Z45" i="3" l="1"/>
  <c r="Y45" i="3" a="1"/>
  <c r="Y45" i="3" l="1"/>
  <c r="X45" i="3" a="1"/>
  <c r="X45" i="3" l="1"/>
  <c r="W45" i="3" a="1"/>
  <c r="W45" i="3" l="1"/>
  <c r="V45" i="3" a="1"/>
  <c r="V45" i="3" l="1"/>
  <c r="U45" i="3" a="1"/>
  <c r="U45" i="3" l="1"/>
  <c r="T45" i="3" a="1"/>
  <c r="T45" i="3" l="1"/>
  <c r="S45" i="3" a="1"/>
  <c r="S45" i="3" l="1"/>
  <c r="R45" i="3" a="1"/>
  <c r="R45" i="3" l="1"/>
  <c r="Q45" i="3" a="1"/>
  <c r="Q45" i="3" l="1"/>
  <c r="P45" i="3" a="1"/>
  <c r="P45" i="3" l="1"/>
  <c r="O45" i="3" a="1"/>
  <c r="O45" i="3" l="1"/>
  <c r="N45" i="3" a="1"/>
  <c r="N45" i="3" l="1"/>
  <c r="M45" i="3" a="1"/>
  <c r="M45" i="3" l="1"/>
  <c r="L45" i="3" a="1"/>
  <c r="L45" i="3" l="1"/>
  <c r="K45" i="3" a="1"/>
  <c r="K45" i="3" l="1"/>
  <c r="J45" i="3" a="1"/>
  <c r="J45" i="3" l="1"/>
  <c r="I45" i="3" a="1"/>
  <c r="I45" i="3" l="1"/>
  <c r="H45" i="3" a="1"/>
  <c r="H45" i="3" l="1"/>
  <c r="G45" i="3" a="1"/>
  <c r="G45" i="3" l="1"/>
  <c r="F45" i="3" a="1"/>
  <c r="F45" i="3" l="1"/>
  <c r="E45" i="3" a="1"/>
  <c r="E45" i="3" l="1"/>
  <c r="D45" i="3" a="1"/>
  <c r="D45" i="3" l="1"/>
  <c r="AG44" i="3" a="1"/>
  <c r="AG44" i="3" l="1"/>
  <c r="AF44" i="3" a="1"/>
  <c r="AF44" i="3" l="1"/>
  <c r="AE44" i="3" a="1"/>
  <c r="AE44" i="3" l="1"/>
  <c r="AD44" i="3" a="1"/>
  <c r="AD44" i="3" l="1"/>
  <c r="AC44" i="3" a="1"/>
  <c r="AC44" i="3" l="1"/>
  <c r="AB44" i="3" a="1"/>
  <c r="AB44" i="3" l="1"/>
  <c r="AA44" i="3" a="1"/>
  <c r="AA44" i="3" l="1"/>
  <c r="Z44" i="3" a="1"/>
  <c r="Z44" i="3" l="1"/>
  <c r="Y44" i="3" a="1"/>
  <c r="Y44" i="3" l="1"/>
  <c r="X44" i="3" a="1"/>
  <c r="X44" i="3" l="1"/>
  <c r="W44" i="3" a="1"/>
  <c r="W44" i="3" l="1"/>
  <c r="V44" i="3" a="1"/>
  <c r="V44" i="3" l="1"/>
  <c r="U44" i="3" a="1"/>
  <c r="U44" i="3" l="1"/>
  <c r="T44" i="3" a="1"/>
  <c r="T44" i="3" l="1"/>
  <c r="S44" i="3" a="1"/>
  <c r="S44" i="3" l="1"/>
  <c r="R44" i="3" a="1"/>
  <c r="R44" i="3" l="1"/>
  <c r="Q44" i="3" a="1"/>
  <c r="Q44" i="3" l="1"/>
  <c r="P44" i="3" a="1"/>
  <c r="P44" i="3" l="1"/>
  <c r="O44" i="3" a="1"/>
  <c r="O44" i="3" l="1"/>
  <c r="N44" i="3" a="1"/>
  <c r="N44" i="3" l="1"/>
  <c r="M44" i="3" a="1"/>
  <c r="M44" i="3" l="1"/>
  <c r="L44" i="3" a="1"/>
  <c r="L44" i="3" l="1"/>
  <c r="K44" i="3" a="1"/>
  <c r="K44" i="3" l="1"/>
  <c r="J44" i="3" a="1"/>
  <c r="J44" i="3" l="1"/>
  <c r="I44" i="3" a="1"/>
  <c r="I44" i="3" l="1"/>
  <c r="H44" i="3" a="1"/>
  <c r="H44" i="3" l="1"/>
  <c r="G44" i="3" a="1"/>
  <c r="G44" i="3" l="1"/>
  <c r="F44" i="3" a="1"/>
  <c r="F44" i="3" l="1"/>
  <c r="E44" i="3" a="1"/>
  <c r="E44" i="3" l="1"/>
  <c r="D44" i="3" a="1"/>
  <c r="D44" i="3" l="1"/>
  <c r="AG43" i="3" a="1"/>
  <c r="AG43" i="3" l="1"/>
  <c r="AF43" i="3" a="1"/>
  <c r="AF43" i="3" l="1"/>
  <c r="AE43" i="3" a="1"/>
  <c r="AE43" i="3" l="1"/>
  <c r="AD43" i="3" a="1"/>
  <c r="AD43" i="3" l="1"/>
  <c r="AC43" i="3" a="1"/>
  <c r="AC43" i="3" l="1"/>
  <c r="AB43" i="3" a="1"/>
  <c r="AB43" i="3" l="1"/>
  <c r="AA43" i="3" a="1"/>
  <c r="AA43" i="3" l="1"/>
  <c r="Z43" i="3" a="1"/>
  <c r="Z43" i="3" l="1"/>
  <c r="Y43" i="3" a="1"/>
  <c r="Y43" i="3" l="1"/>
  <c r="X43" i="3" a="1"/>
  <c r="X43" i="3" l="1"/>
  <c r="W43" i="3" a="1"/>
  <c r="W43" i="3" l="1"/>
  <c r="V43" i="3" a="1"/>
  <c r="V43" i="3" l="1"/>
  <c r="U43" i="3" a="1"/>
  <c r="U43" i="3" l="1"/>
  <c r="T43" i="3" a="1"/>
  <c r="T43" i="3" l="1"/>
  <c r="S43" i="3" a="1"/>
  <c r="S43" i="3" l="1"/>
  <c r="R43" i="3" a="1"/>
  <c r="R43" i="3" l="1"/>
  <c r="Q43" i="3" a="1"/>
  <c r="Q43" i="3" l="1"/>
  <c r="P43" i="3" a="1"/>
  <c r="P43" i="3" l="1"/>
  <c r="O43" i="3" a="1"/>
  <c r="O43" i="3" l="1"/>
  <c r="N43" i="3" a="1"/>
  <c r="N43" i="3" l="1"/>
  <c r="M43" i="3" a="1"/>
  <c r="M43" i="3" l="1"/>
  <c r="L43" i="3" a="1"/>
  <c r="L43" i="3" l="1"/>
  <c r="K43" i="3" a="1"/>
  <c r="K43" i="3" l="1"/>
  <c r="J43" i="3" a="1"/>
  <c r="J43" i="3" l="1"/>
  <c r="I43" i="3" a="1"/>
  <c r="I43" i="3" l="1"/>
  <c r="H43" i="3" a="1"/>
  <c r="H43" i="3" l="1"/>
  <c r="G43" i="3" a="1"/>
  <c r="G43" i="3" l="1"/>
  <c r="F43" i="3" a="1"/>
  <c r="F43" i="3" l="1"/>
  <c r="E43" i="3" a="1"/>
  <c r="E43" i="3" l="1"/>
  <c r="D43" i="3" a="1"/>
  <c r="D43" i="3" l="1"/>
  <c r="AG42" i="3" a="1"/>
  <c r="AG42" i="3" l="1"/>
  <c r="AF42" i="3" a="1"/>
  <c r="AF42" i="3" l="1"/>
  <c r="AE42" i="3" a="1"/>
  <c r="AE42" i="3" l="1"/>
  <c r="AD42" i="3" a="1"/>
  <c r="AD42" i="3" l="1"/>
  <c r="AC42" i="3" a="1"/>
  <c r="AC42" i="3" l="1"/>
  <c r="AB42" i="3" a="1"/>
  <c r="AB42" i="3" l="1"/>
  <c r="AA42" i="3" a="1"/>
  <c r="AA42" i="3" l="1"/>
  <c r="Z42" i="3" a="1"/>
  <c r="Z42" i="3" l="1"/>
  <c r="Y42" i="3" a="1"/>
  <c r="Y42" i="3" l="1"/>
  <c r="X42" i="3" a="1"/>
  <c r="X42" i="3" l="1"/>
  <c r="W42" i="3" a="1"/>
  <c r="W42" i="3" l="1"/>
  <c r="V42" i="3" a="1"/>
  <c r="V42" i="3" l="1"/>
  <c r="U42" i="3" a="1"/>
  <c r="U42" i="3" l="1"/>
  <c r="T42" i="3" a="1"/>
  <c r="T42" i="3" l="1"/>
  <c r="S42" i="3" a="1"/>
  <c r="S42" i="3" l="1"/>
  <c r="R42" i="3" a="1"/>
  <c r="R42" i="3" l="1"/>
  <c r="Q42" i="3" a="1"/>
  <c r="Q42" i="3" l="1"/>
  <c r="P42" i="3" a="1"/>
  <c r="P42" i="3" l="1"/>
  <c r="O42" i="3" a="1"/>
  <c r="O42" i="3" l="1"/>
  <c r="N42" i="3" a="1"/>
  <c r="N42" i="3" l="1"/>
  <c r="M42" i="3" a="1"/>
  <c r="M42" i="3" l="1"/>
  <c r="L42" i="3" a="1"/>
  <c r="L42" i="3" l="1"/>
  <c r="K42" i="3" a="1"/>
  <c r="K42" i="3" l="1"/>
  <c r="J42" i="3" a="1"/>
  <c r="J42" i="3" l="1"/>
  <c r="I42" i="3" a="1"/>
  <c r="I42" i="3" l="1"/>
  <c r="H42" i="3" a="1"/>
  <c r="H42" i="3" l="1"/>
  <c r="G42" i="3" a="1"/>
  <c r="G42" i="3" l="1"/>
  <c r="F42" i="3" a="1"/>
  <c r="F42" i="3" l="1"/>
  <c r="E42" i="3" a="1"/>
  <c r="E42" i="3" l="1"/>
  <c r="D42" i="3" a="1"/>
  <c r="D42" i="3" l="1"/>
  <c r="AG41" i="3" a="1"/>
  <c r="AG41" i="3" l="1"/>
  <c r="AF41" i="3" a="1"/>
  <c r="AF41" i="3" l="1"/>
  <c r="AE41" i="3" a="1"/>
  <c r="AE41" i="3" l="1"/>
  <c r="AD41" i="3" a="1"/>
  <c r="AD41" i="3" l="1"/>
  <c r="AC41" i="3" a="1"/>
  <c r="AC41" i="3" l="1"/>
  <c r="AB41" i="3" a="1"/>
  <c r="AB41" i="3" l="1"/>
  <c r="AA41" i="3" a="1"/>
  <c r="AA41" i="3" l="1"/>
  <c r="Z41" i="3" a="1"/>
  <c r="Z41" i="3" l="1"/>
  <c r="Y41" i="3" a="1"/>
  <c r="Y41" i="3" l="1"/>
  <c r="X41" i="3" a="1"/>
  <c r="X41" i="3" l="1"/>
  <c r="W41" i="3" a="1"/>
  <c r="W41" i="3" l="1"/>
  <c r="V41" i="3" a="1"/>
  <c r="V41" i="3" l="1"/>
  <c r="U41" i="3" a="1"/>
  <c r="U41" i="3" l="1"/>
  <c r="T41" i="3" a="1"/>
  <c r="T41" i="3" l="1"/>
  <c r="S41" i="3" a="1"/>
  <c r="S41" i="3" l="1"/>
  <c r="R41" i="3" a="1"/>
  <c r="R41" i="3" l="1"/>
  <c r="Q41" i="3" a="1"/>
  <c r="Q41" i="3" l="1"/>
  <c r="P41" i="3" a="1"/>
  <c r="P41" i="3" l="1"/>
  <c r="O41" i="3" a="1"/>
  <c r="O41" i="3" l="1"/>
  <c r="N41" i="3" a="1"/>
  <c r="N41" i="3" l="1"/>
  <c r="M41" i="3" a="1"/>
  <c r="M41" i="3" l="1"/>
  <c r="L41" i="3" a="1"/>
  <c r="L41" i="3" l="1"/>
  <c r="K41" i="3" a="1"/>
  <c r="K41" i="3" l="1"/>
  <c r="J41" i="3" a="1"/>
  <c r="J41" i="3" l="1"/>
  <c r="I41" i="3" a="1"/>
  <c r="I41" i="3" l="1"/>
  <c r="H41" i="3" a="1"/>
  <c r="H41" i="3" l="1"/>
  <c r="G41" i="3" a="1"/>
  <c r="G41" i="3" l="1"/>
  <c r="F41" i="3" a="1"/>
  <c r="F41" i="3" l="1"/>
  <c r="E41" i="3" a="1"/>
  <c r="E41" i="3" l="1"/>
  <c r="D41" i="3" a="1"/>
  <c r="D41" i="3" l="1"/>
  <c r="AG40" i="3" a="1"/>
  <c r="AG40" i="3" l="1"/>
  <c r="AF40" i="3" a="1"/>
  <c r="AF40" i="3" l="1"/>
  <c r="AE40" i="3" a="1"/>
  <c r="AE40" i="3" l="1"/>
  <c r="AD40" i="3" a="1"/>
  <c r="AD40" i="3" l="1"/>
  <c r="AC40" i="3" a="1"/>
  <c r="AC40" i="3" l="1"/>
  <c r="AB40" i="3" a="1"/>
  <c r="AB40" i="3" l="1"/>
  <c r="AA40" i="3" a="1"/>
  <c r="AA40" i="3" l="1"/>
  <c r="Z40" i="3" a="1"/>
  <c r="Z40" i="3" l="1"/>
  <c r="Y40" i="3" a="1"/>
  <c r="Y40" i="3" l="1"/>
  <c r="X40" i="3" a="1"/>
  <c r="X40" i="3" l="1"/>
  <c r="W40" i="3" a="1"/>
  <c r="W40" i="3" l="1"/>
  <c r="V40" i="3" a="1"/>
  <c r="V40" i="3" l="1"/>
  <c r="U40" i="3" a="1"/>
  <c r="U40" i="3" l="1"/>
  <c r="T40" i="3" a="1"/>
  <c r="T40" i="3" l="1"/>
  <c r="S40" i="3" a="1"/>
  <c r="S40" i="3" l="1"/>
  <c r="R40" i="3" a="1"/>
  <c r="R40" i="3" l="1"/>
  <c r="Q40" i="3" a="1"/>
  <c r="Q40" i="3" l="1"/>
  <c r="P40" i="3" a="1"/>
  <c r="P40" i="3" l="1"/>
  <c r="O40" i="3" a="1"/>
  <c r="O40" i="3" l="1"/>
  <c r="N40" i="3" a="1"/>
  <c r="N40" i="3" l="1"/>
  <c r="M40" i="3" a="1"/>
  <c r="M40" i="3" l="1"/>
  <c r="L40" i="3" a="1"/>
  <c r="L40" i="3" l="1"/>
  <c r="K40" i="3" a="1"/>
  <c r="K40" i="3" l="1"/>
  <c r="J40" i="3" a="1"/>
  <c r="J40" i="3" l="1"/>
  <c r="I40" i="3" a="1"/>
  <c r="I40" i="3" l="1"/>
  <c r="H40" i="3" a="1"/>
  <c r="H40" i="3" l="1"/>
  <c r="G40" i="3" a="1"/>
  <c r="G40" i="3" l="1"/>
  <c r="F40" i="3" a="1"/>
  <c r="F40" i="3" l="1"/>
  <c r="E40" i="3" a="1"/>
  <c r="E40" i="3" l="1"/>
  <c r="D40" i="3" a="1"/>
  <c r="D40" i="3" l="1"/>
  <c r="AG39" i="3" a="1"/>
  <c r="AG39" i="3" l="1"/>
  <c r="AF39" i="3" a="1"/>
  <c r="AF39" i="3" l="1"/>
  <c r="AE39" i="3" a="1"/>
  <c r="AE39" i="3" l="1"/>
  <c r="AD39" i="3" a="1"/>
  <c r="AD39" i="3" l="1"/>
  <c r="AC39" i="3" a="1"/>
  <c r="AC39" i="3" l="1"/>
  <c r="AB39" i="3" a="1"/>
  <c r="AB39" i="3" l="1"/>
  <c r="AA39" i="3" a="1"/>
  <c r="AA39" i="3" l="1"/>
  <c r="Z39" i="3" a="1"/>
  <c r="Z39" i="3" l="1"/>
  <c r="Y39" i="3" a="1"/>
  <c r="Y39" i="3" l="1"/>
  <c r="X39" i="3" a="1"/>
  <c r="X39" i="3" l="1"/>
  <c r="W39" i="3" a="1"/>
  <c r="W39" i="3" l="1"/>
  <c r="V39" i="3" a="1"/>
  <c r="V39" i="3" l="1"/>
  <c r="U39" i="3" a="1"/>
  <c r="U39" i="3" l="1"/>
  <c r="T39" i="3" a="1"/>
  <c r="T39" i="3" l="1"/>
  <c r="S39" i="3" a="1"/>
  <c r="S39" i="3" l="1"/>
  <c r="R39" i="3" a="1"/>
  <c r="R39" i="3" l="1"/>
  <c r="Q39" i="3" a="1"/>
  <c r="Q39" i="3" l="1"/>
  <c r="P39" i="3" a="1"/>
  <c r="P39" i="3" l="1"/>
  <c r="O39" i="3" a="1"/>
  <c r="O39" i="3" l="1"/>
  <c r="N39" i="3" a="1"/>
  <c r="N39" i="3" l="1"/>
  <c r="M39" i="3" a="1"/>
  <c r="M39" i="3" l="1"/>
  <c r="L39" i="3" a="1"/>
  <c r="L39" i="3" l="1"/>
  <c r="K39" i="3" a="1"/>
  <c r="K39" i="3" l="1"/>
  <c r="J39" i="3" a="1"/>
  <c r="J39" i="3" l="1"/>
  <c r="I39" i="3" a="1"/>
  <c r="I39" i="3" l="1"/>
  <c r="H39" i="3" a="1"/>
  <c r="H39" i="3" l="1"/>
  <c r="G39" i="3" a="1"/>
  <c r="G39" i="3" l="1"/>
  <c r="F39" i="3" a="1"/>
  <c r="F39" i="3" l="1"/>
  <c r="E39" i="3" a="1"/>
  <c r="E39" i="3" l="1"/>
  <c r="D39" i="3" a="1"/>
  <c r="D39" i="3" l="1"/>
  <c r="AG38" i="3" a="1"/>
  <c r="AG38" i="3" l="1"/>
  <c r="AF38" i="3" a="1"/>
  <c r="AF38" i="3" l="1"/>
  <c r="AE38" i="3" a="1"/>
  <c r="AE38" i="3" l="1"/>
  <c r="AD38" i="3" a="1"/>
  <c r="AD38" i="3" l="1"/>
  <c r="AC38" i="3" a="1"/>
  <c r="AC38" i="3" l="1"/>
  <c r="AB38" i="3" a="1"/>
  <c r="AB38" i="3" l="1"/>
  <c r="AA38" i="3" a="1"/>
  <c r="AA38" i="3" l="1"/>
  <c r="Z38" i="3" a="1"/>
  <c r="Z38" i="3" l="1"/>
  <c r="Y38" i="3" a="1"/>
  <c r="Y38" i="3" l="1"/>
  <c r="X38" i="3" a="1"/>
  <c r="X38" i="3" l="1"/>
  <c r="W38" i="3" a="1"/>
  <c r="W38" i="3" l="1"/>
  <c r="V38" i="3" a="1"/>
  <c r="V38" i="3" l="1"/>
  <c r="U38" i="3" a="1"/>
  <c r="U38" i="3" l="1"/>
  <c r="T38" i="3" a="1"/>
  <c r="T38" i="3" l="1"/>
  <c r="S38" i="3" a="1"/>
  <c r="S38" i="3" l="1"/>
  <c r="R38" i="3" a="1"/>
  <c r="R38" i="3" l="1"/>
  <c r="Q38" i="3" a="1"/>
  <c r="Q38" i="3" l="1"/>
  <c r="P38" i="3" a="1"/>
  <c r="P38" i="3" l="1"/>
  <c r="O38" i="3" a="1"/>
  <c r="O38" i="3" l="1"/>
  <c r="N38" i="3" a="1"/>
  <c r="N38" i="3" l="1"/>
  <c r="M38" i="3" a="1"/>
  <c r="M38" i="3" l="1"/>
  <c r="L38" i="3" a="1"/>
  <c r="L38" i="3" l="1"/>
  <c r="K38" i="3" a="1"/>
  <c r="K38" i="3" l="1"/>
  <c r="J38" i="3" a="1"/>
  <c r="J38" i="3" l="1"/>
  <c r="I38" i="3" a="1"/>
  <c r="I38" i="3" l="1"/>
  <c r="H38" i="3" a="1"/>
  <c r="H38" i="3" l="1"/>
  <c r="G38" i="3" a="1"/>
  <c r="G38" i="3" l="1"/>
  <c r="F38" i="3" a="1"/>
  <c r="F38" i="3" l="1"/>
  <c r="E38" i="3" a="1"/>
  <c r="E38" i="3" l="1"/>
  <c r="D38" i="3" a="1"/>
  <c r="D38" i="3" l="1"/>
  <c r="AG37" i="3" a="1"/>
  <c r="AG37" i="3" l="1"/>
  <c r="AF37" i="3" a="1"/>
  <c r="AF37" i="3" l="1"/>
  <c r="AE37" i="3" a="1"/>
  <c r="AE37" i="3" l="1"/>
  <c r="AD37" i="3" a="1"/>
  <c r="AD37" i="3" l="1"/>
  <c r="AC37" i="3" a="1"/>
  <c r="AC37" i="3" l="1"/>
  <c r="AB37" i="3" a="1"/>
  <c r="AB37" i="3" l="1"/>
  <c r="AA37" i="3" a="1"/>
  <c r="AA37" i="3" l="1"/>
  <c r="Z37" i="3" a="1"/>
  <c r="Z37" i="3" l="1"/>
  <c r="Y37" i="3" a="1"/>
  <c r="Y37" i="3" l="1"/>
  <c r="X37" i="3" a="1"/>
  <c r="X37" i="3" l="1"/>
  <c r="W37" i="3" a="1"/>
  <c r="W37" i="3" l="1"/>
  <c r="V37" i="3" a="1"/>
  <c r="V37" i="3" l="1"/>
  <c r="U37" i="3" a="1"/>
  <c r="U37" i="3" l="1"/>
  <c r="T37" i="3" a="1"/>
  <c r="T37" i="3" l="1"/>
  <c r="S37" i="3" a="1"/>
  <c r="S37" i="3" l="1"/>
  <c r="R37" i="3" a="1"/>
  <c r="R37" i="3" l="1"/>
  <c r="Q37" i="3" a="1"/>
  <c r="Q37" i="3" l="1"/>
  <c r="P37" i="3" a="1"/>
  <c r="P37" i="3" l="1"/>
  <c r="O37" i="3" a="1"/>
  <c r="O37" i="3" l="1"/>
  <c r="N37" i="3" a="1"/>
  <c r="N37" i="3" l="1"/>
  <c r="M37" i="3" a="1"/>
  <c r="M37" i="3" l="1"/>
  <c r="L37" i="3" a="1"/>
  <c r="L37" i="3" l="1"/>
  <c r="K37" i="3" a="1"/>
  <c r="K37" i="3" l="1"/>
  <c r="J37" i="3" a="1"/>
  <c r="J37" i="3" l="1"/>
  <c r="I37" i="3" a="1"/>
  <c r="I37" i="3" l="1"/>
  <c r="H37" i="3" a="1"/>
  <c r="H37" i="3" l="1"/>
  <c r="G37" i="3" a="1"/>
  <c r="G37" i="3" l="1"/>
  <c r="F37" i="3" a="1"/>
  <c r="F37" i="3" l="1"/>
  <c r="E37" i="3" a="1"/>
  <c r="E37" i="3" l="1"/>
  <c r="D37" i="3" a="1"/>
  <c r="D37" i="3" l="1"/>
  <c r="AG36" i="3" a="1"/>
  <c r="AG36" i="3" l="1"/>
  <c r="AF36" i="3" a="1"/>
  <c r="AF36" i="3" l="1"/>
  <c r="AE36" i="3" a="1"/>
  <c r="AE36" i="3" l="1"/>
  <c r="AD36" i="3" a="1"/>
  <c r="AD36" i="3" l="1"/>
  <c r="AC36" i="3" a="1"/>
  <c r="AC36" i="3" l="1"/>
  <c r="AB36" i="3" a="1"/>
  <c r="AB36" i="3" l="1"/>
  <c r="AA36" i="3" a="1"/>
  <c r="AA36" i="3" l="1"/>
  <c r="Z36" i="3" a="1"/>
  <c r="Z36" i="3" l="1"/>
  <c r="Y36" i="3" a="1"/>
  <c r="Y36" i="3" l="1"/>
  <c r="X36" i="3" a="1"/>
  <c r="X36" i="3" l="1"/>
  <c r="W36" i="3" a="1"/>
  <c r="W36" i="3" l="1"/>
  <c r="V36" i="3" a="1"/>
  <c r="V36" i="3" l="1"/>
  <c r="U36" i="3" a="1"/>
  <c r="U36" i="3" l="1"/>
  <c r="T36" i="3" a="1"/>
  <c r="T36" i="3" l="1"/>
  <c r="S36" i="3" a="1"/>
  <c r="S36" i="3" l="1"/>
  <c r="R36" i="3" a="1"/>
  <c r="R36" i="3" l="1"/>
  <c r="Q36" i="3" a="1"/>
  <c r="Q36" i="3" l="1"/>
  <c r="P36" i="3" a="1"/>
  <c r="P36" i="3" l="1"/>
  <c r="O36" i="3" a="1"/>
  <c r="O36" i="3" l="1"/>
  <c r="N36" i="3" a="1"/>
  <c r="N36" i="3" l="1"/>
  <c r="M36" i="3" a="1"/>
  <c r="M36" i="3" l="1"/>
  <c r="L36" i="3" a="1"/>
  <c r="L36" i="3" l="1"/>
  <c r="K36" i="3" a="1"/>
  <c r="K36" i="3" l="1"/>
  <c r="J36" i="3" a="1"/>
  <c r="J36" i="3" l="1"/>
  <c r="I36" i="3" a="1"/>
  <c r="I36" i="3" l="1"/>
  <c r="H36" i="3" a="1"/>
  <c r="H36" i="3" l="1"/>
  <c r="G36" i="3" a="1"/>
  <c r="G36" i="3" l="1"/>
  <c r="F36" i="3" a="1"/>
  <c r="F36" i="3" l="1"/>
  <c r="E36" i="3" a="1"/>
  <c r="E36" i="3" l="1"/>
  <c r="D36" i="3" a="1"/>
  <c r="D36" i="3" l="1"/>
  <c r="AG35" i="3" a="1"/>
  <c r="AG35" i="3" l="1"/>
  <c r="AF35" i="3" a="1"/>
  <c r="AF35" i="3" l="1"/>
  <c r="AE35" i="3" a="1"/>
  <c r="AE35" i="3" l="1"/>
  <c r="AD35" i="3" a="1"/>
  <c r="AD35" i="3" l="1"/>
  <c r="AC35" i="3" a="1"/>
  <c r="AC35" i="3" l="1"/>
  <c r="AB35" i="3" a="1"/>
  <c r="AB35" i="3" l="1"/>
  <c r="AA35" i="3" a="1"/>
  <c r="AA35" i="3" l="1"/>
  <c r="Z35" i="3" a="1"/>
  <c r="Z35" i="3" l="1"/>
  <c r="Y35" i="3" a="1"/>
  <c r="Y35" i="3" l="1"/>
  <c r="X35" i="3" a="1"/>
  <c r="X35" i="3" l="1"/>
  <c r="W35" i="3" a="1"/>
  <c r="W35" i="3" l="1"/>
  <c r="V35" i="3" a="1"/>
  <c r="V35" i="3" l="1"/>
  <c r="U35" i="3" a="1"/>
  <c r="U35" i="3" l="1"/>
  <c r="T35" i="3" a="1"/>
  <c r="T35" i="3" l="1"/>
  <c r="S35" i="3" a="1"/>
  <c r="S35" i="3" l="1"/>
  <c r="R35" i="3" a="1"/>
  <c r="R35" i="3" l="1"/>
  <c r="Q35" i="3" a="1"/>
  <c r="Q35" i="3" l="1"/>
  <c r="P35" i="3" a="1"/>
  <c r="P35" i="3" l="1"/>
  <c r="O35" i="3" a="1"/>
  <c r="O35" i="3" l="1"/>
  <c r="N35" i="3" a="1"/>
  <c r="N35" i="3" l="1"/>
  <c r="M35" i="3" a="1"/>
  <c r="M35" i="3" l="1"/>
  <c r="L35" i="3" a="1"/>
  <c r="L35" i="3" l="1"/>
  <c r="K35" i="3" a="1"/>
  <c r="K35" i="3" l="1"/>
  <c r="J35" i="3" a="1"/>
  <c r="J35" i="3" l="1"/>
  <c r="I35" i="3" a="1"/>
  <c r="I35" i="3" l="1"/>
  <c r="H35" i="3" a="1"/>
  <c r="H35" i="3" l="1"/>
  <c r="G35" i="3" a="1"/>
  <c r="G35" i="3" l="1"/>
  <c r="F35" i="3" a="1"/>
  <c r="F35" i="3" l="1"/>
  <c r="E35" i="3" a="1"/>
  <c r="E35" i="3" l="1"/>
  <c r="D35" i="3" a="1"/>
  <c r="D35" i="3" l="1"/>
  <c r="AG34" i="3" a="1"/>
  <c r="AG34" i="3" l="1"/>
  <c r="AF34" i="3" a="1"/>
  <c r="AF34" i="3" l="1"/>
  <c r="AE34" i="3" a="1"/>
  <c r="AE34" i="3" l="1"/>
  <c r="AD34" i="3" a="1"/>
  <c r="AD34" i="3" l="1"/>
  <c r="AC34" i="3" a="1"/>
  <c r="AC34" i="3" l="1"/>
  <c r="AB34" i="3" a="1"/>
  <c r="AB34" i="3" l="1"/>
  <c r="AA34" i="3" a="1"/>
  <c r="AA34" i="3" l="1"/>
  <c r="Z34" i="3" a="1"/>
  <c r="Z34" i="3" l="1"/>
  <c r="Y34" i="3" a="1"/>
  <c r="Y34" i="3" l="1"/>
  <c r="X34" i="3" a="1"/>
  <c r="X34" i="3" l="1"/>
  <c r="W34" i="3" a="1"/>
  <c r="W34" i="3" l="1"/>
  <c r="V34" i="3" a="1"/>
  <c r="V34" i="3" l="1"/>
  <c r="U34" i="3" a="1"/>
  <c r="U34" i="3" l="1"/>
  <c r="T34" i="3" a="1"/>
  <c r="T34" i="3" l="1"/>
  <c r="S34" i="3" a="1"/>
  <c r="S34" i="3" l="1"/>
  <c r="R34" i="3" a="1"/>
  <c r="R34" i="3" l="1"/>
  <c r="Q34" i="3" a="1"/>
  <c r="Q34" i="3" l="1"/>
  <c r="P34" i="3" a="1"/>
  <c r="P34" i="3" l="1"/>
  <c r="O34" i="3" a="1"/>
  <c r="O34" i="3" l="1"/>
  <c r="N34" i="3" a="1"/>
  <c r="N34" i="3" l="1"/>
  <c r="M34" i="3" a="1"/>
  <c r="M34" i="3" l="1"/>
  <c r="L34" i="3" a="1"/>
  <c r="L34" i="3" l="1"/>
  <c r="K34" i="3" a="1"/>
  <c r="K34" i="3" l="1"/>
  <c r="J34" i="3" a="1"/>
  <c r="J34" i="3" l="1"/>
  <c r="I34" i="3" a="1"/>
  <c r="I34" i="3" l="1"/>
  <c r="H34" i="3" a="1"/>
  <c r="H34" i="3" l="1"/>
  <c r="G34" i="3" a="1"/>
  <c r="G34" i="3" l="1"/>
  <c r="F34" i="3" a="1"/>
  <c r="F34" i="3" l="1"/>
  <c r="E34" i="3" a="1"/>
  <c r="E34" i="3" l="1"/>
  <c r="D34" i="3" a="1"/>
  <c r="D34" i="3" l="1"/>
  <c r="AG33" i="3" a="1"/>
  <c r="AG33" i="3" l="1"/>
  <c r="AF33" i="3" a="1"/>
  <c r="AF33" i="3" l="1"/>
  <c r="AE33" i="3" a="1"/>
  <c r="AE33" i="3" l="1"/>
  <c r="AD33" i="3" a="1"/>
  <c r="AD33" i="3" l="1"/>
  <c r="AC33" i="3" a="1"/>
  <c r="AC33" i="3" l="1"/>
  <c r="AB33" i="3" a="1"/>
  <c r="AB33" i="3" l="1"/>
  <c r="AA33" i="3" a="1"/>
  <c r="AA33" i="3" l="1"/>
  <c r="Z33" i="3" a="1"/>
  <c r="Z33" i="3" l="1"/>
  <c r="Y33" i="3" a="1"/>
  <c r="Y33" i="3" l="1"/>
  <c r="X33" i="3" a="1"/>
  <c r="X33" i="3" l="1"/>
  <c r="W33" i="3" a="1"/>
  <c r="W33" i="3" l="1"/>
  <c r="V33" i="3" a="1"/>
  <c r="V33" i="3" l="1"/>
  <c r="U33" i="3" a="1"/>
  <c r="U33" i="3" l="1"/>
  <c r="T33" i="3" a="1"/>
  <c r="T33" i="3" l="1"/>
  <c r="S33" i="3" a="1"/>
  <c r="S33" i="3" l="1"/>
  <c r="R33" i="3" a="1"/>
  <c r="R33" i="3" l="1"/>
  <c r="Q33" i="3" a="1"/>
  <c r="Q33" i="3" l="1"/>
  <c r="P33" i="3" a="1"/>
  <c r="P33" i="3" l="1"/>
  <c r="O33" i="3" a="1"/>
  <c r="O33" i="3" l="1"/>
  <c r="N33" i="3" a="1"/>
  <c r="N33" i="3" l="1"/>
  <c r="M33" i="3" a="1"/>
  <c r="M33" i="3" l="1"/>
  <c r="L33" i="3" a="1"/>
  <c r="L33" i="3" l="1"/>
  <c r="K33" i="3" a="1"/>
  <c r="K33" i="3" l="1"/>
  <c r="J33" i="3" a="1"/>
  <c r="J33" i="3" l="1"/>
  <c r="I33" i="3" a="1"/>
  <c r="I33" i="3" l="1"/>
  <c r="H33" i="3" a="1"/>
  <c r="H33" i="3" l="1"/>
  <c r="G33" i="3" a="1"/>
  <c r="G33" i="3" l="1"/>
  <c r="F33" i="3" a="1"/>
  <c r="F33" i="3" l="1"/>
  <c r="E33" i="3" a="1"/>
  <c r="E33" i="3" l="1"/>
  <c r="D33" i="3" a="1"/>
  <c r="D33" i="3" l="1"/>
  <c r="AG32" i="3" a="1"/>
  <c r="AG32" i="3" l="1"/>
  <c r="AF32" i="3" a="1"/>
  <c r="AF32" i="3" l="1"/>
  <c r="AE32" i="3" a="1"/>
  <c r="AE32" i="3" l="1"/>
  <c r="AD32" i="3" a="1"/>
  <c r="AD32" i="3" l="1"/>
  <c r="AC32" i="3" a="1"/>
  <c r="AC32" i="3" l="1"/>
  <c r="AB32" i="3" a="1"/>
  <c r="AB32" i="3" l="1"/>
  <c r="AA32" i="3" a="1"/>
  <c r="AA32" i="3" l="1"/>
  <c r="Z32" i="3" a="1"/>
  <c r="Z32" i="3" l="1"/>
  <c r="Y32" i="3" a="1"/>
  <c r="Y32" i="3" l="1"/>
  <c r="X32" i="3" a="1"/>
  <c r="X32" i="3" l="1"/>
  <c r="W32" i="3" a="1"/>
  <c r="W32" i="3" l="1"/>
  <c r="V32" i="3" a="1"/>
  <c r="V32" i="3" l="1"/>
  <c r="U32" i="3" a="1"/>
  <c r="U32" i="3" l="1"/>
  <c r="T32" i="3" a="1"/>
  <c r="T32" i="3" l="1"/>
  <c r="S32" i="3" a="1"/>
  <c r="S32" i="3" l="1"/>
  <c r="R32" i="3" a="1"/>
  <c r="R32" i="3" l="1"/>
  <c r="Q32" i="3" a="1"/>
  <c r="Q32" i="3" l="1"/>
  <c r="P32" i="3" a="1"/>
  <c r="P32" i="3" l="1"/>
  <c r="O32" i="3" a="1"/>
  <c r="O32" i="3" l="1"/>
  <c r="N32" i="3" a="1"/>
  <c r="N32" i="3" l="1"/>
  <c r="M32" i="3" a="1"/>
  <c r="M32" i="3" l="1"/>
  <c r="L32" i="3" a="1"/>
  <c r="L32" i="3" l="1"/>
  <c r="K32" i="3" a="1"/>
  <c r="K32" i="3" l="1"/>
  <c r="J32" i="3" a="1"/>
  <c r="J32" i="3" l="1"/>
  <c r="I32" i="3" a="1"/>
  <c r="I32" i="3" l="1"/>
  <c r="H32" i="3" a="1"/>
  <c r="H32" i="3" l="1"/>
  <c r="G32" i="3" a="1"/>
  <c r="G32" i="3" l="1"/>
  <c r="F32" i="3" a="1"/>
  <c r="F32" i="3" l="1"/>
  <c r="E32" i="3" a="1"/>
  <c r="E32" i="3" l="1"/>
  <c r="D32" i="3" a="1"/>
  <c r="D32" i="3" l="1"/>
  <c r="AG31" i="3" a="1"/>
  <c r="AG31" i="3" l="1"/>
  <c r="AF31" i="3" a="1"/>
  <c r="AF31" i="3" l="1"/>
  <c r="AE31" i="3" a="1"/>
  <c r="AE31" i="3" l="1"/>
  <c r="AD31" i="3" a="1"/>
  <c r="AD31" i="3" l="1"/>
  <c r="AC31" i="3" a="1"/>
  <c r="AC31" i="3" l="1"/>
  <c r="AB31" i="3" a="1"/>
  <c r="AB31" i="3" l="1"/>
  <c r="AA31" i="3" a="1"/>
  <c r="AA31" i="3" l="1"/>
  <c r="Z31" i="3" a="1"/>
  <c r="Z31" i="3" l="1"/>
  <c r="Y31" i="3" a="1"/>
  <c r="Y31" i="3" l="1"/>
  <c r="X31" i="3" a="1"/>
  <c r="X31" i="3" l="1"/>
  <c r="W31" i="3" a="1"/>
  <c r="W31" i="3" l="1"/>
  <c r="V31" i="3" a="1"/>
  <c r="V31" i="3" l="1"/>
  <c r="U31" i="3" a="1"/>
  <c r="U31" i="3" l="1"/>
  <c r="T31" i="3" a="1"/>
  <c r="T31" i="3" l="1"/>
  <c r="S31" i="3" a="1"/>
  <c r="S31" i="3" l="1"/>
  <c r="R31" i="3" a="1"/>
  <c r="R31" i="3" l="1"/>
  <c r="Q31" i="3" a="1"/>
  <c r="Q31" i="3" l="1"/>
  <c r="P31" i="3" a="1"/>
  <c r="P31" i="3" l="1"/>
  <c r="O31" i="3" a="1"/>
  <c r="O31" i="3" l="1"/>
  <c r="N31" i="3" a="1"/>
  <c r="N31" i="3" l="1"/>
  <c r="M31" i="3" a="1"/>
  <c r="M31" i="3" l="1"/>
  <c r="L31" i="3" a="1"/>
  <c r="L31" i="3" l="1"/>
  <c r="K31" i="3" a="1"/>
  <c r="K31" i="3" l="1"/>
  <c r="J31" i="3" a="1"/>
  <c r="J31" i="3" l="1"/>
  <c r="I31" i="3" a="1"/>
  <c r="I31" i="3" l="1"/>
  <c r="H31" i="3" a="1"/>
  <c r="H31" i="3" l="1"/>
  <c r="G31" i="3" a="1"/>
  <c r="G31" i="3" l="1"/>
  <c r="F31" i="3" a="1"/>
  <c r="F31" i="3" l="1"/>
  <c r="E31" i="3" a="1"/>
  <c r="E31" i="3" l="1"/>
  <c r="D31" i="3" a="1"/>
  <c r="D31" i="3" l="1"/>
  <c r="AG30" i="3" a="1"/>
  <c r="AG30" i="3" l="1"/>
  <c r="AF30" i="3" a="1"/>
  <c r="AF30" i="3" l="1"/>
  <c r="AE30" i="3" a="1"/>
  <c r="AE30" i="3" l="1"/>
  <c r="AD30" i="3" a="1"/>
  <c r="AD30" i="3" l="1"/>
  <c r="AC30" i="3" a="1"/>
  <c r="AC30" i="3" l="1"/>
  <c r="AB30" i="3" a="1"/>
  <c r="AB30" i="3" l="1"/>
  <c r="AA30" i="3" a="1"/>
  <c r="AA30" i="3" l="1"/>
  <c r="Z30" i="3" a="1"/>
  <c r="Z30" i="3" l="1"/>
  <c r="Y30" i="3" a="1"/>
  <c r="Y30" i="3" l="1"/>
  <c r="X30" i="3" a="1"/>
  <c r="X30" i="3" l="1"/>
  <c r="W30" i="3" a="1"/>
  <c r="W30" i="3" l="1"/>
  <c r="V30" i="3" a="1"/>
  <c r="V30" i="3" l="1"/>
  <c r="U30" i="3" a="1"/>
  <c r="U30" i="3" l="1"/>
  <c r="T30" i="3" a="1"/>
  <c r="T30" i="3" l="1"/>
  <c r="S30" i="3" a="1"/>
  <c r="S30" i="3" l="1"/>
  <c r="R30" i="3" a="1"/>
  <c r="R30" i="3" l="1"/>
  <c r="Q30" i="3" a="1"/>
  <c r="Q30" i="3" l="1"/>
  <c r="P30" i="3" a="1"/>
  <c r="P30" i="3" l="1"/>
  <c r="O30" i="3" a="1"/>
  <c r="O30" i="3" l="1"/>
  <c r="N30" i="3" a="1"/>
  <c r="N30" i="3" l="1"/>
  <c r="M30" i="3" a="1"/>
  <c r="M30" i="3" l="1"/>
  <c r="L30" i="3" a="1"/>
  <c r="L30" i="3" l="1"/>
  <c r="K30" i="3" a="1"/>
  <c r="K30" i="3" l="1"/>
  <c r="J30" i="3" a="1"/>
  <c r="J30" i="3" l="1"/>
  <c r="I30" i="3" a="1"/>
  <c r="I30" i="3" l="1"/>
  <c r="H30" i="3" a="1"/>
  <c r="H30" i="3" l="1"/>
  <c r="G30" i="3" a="1"/>
  <c r="G30" i="3" l="1"/>
  <c r="F30" i="3" a="1"/>
  <c r="F30" i="3" l="1"/>
  <c r="E30" i="3" a="1"/>
  <c r="E30" i="3" l="1"/>
  <c r="D30" i="3" a="1"/>
  <c r="D30" i="3" l="1"/>
  <c r="AG29" i="3" a="1"/>
  <c r="AG29" i="3" l="1"/>
  <c r="AF29" i="3" a="1"/>
  <c r="AF29" i="3" l="1"/>
  <c r="AE29" i="3" a="1"/>
  <c r="AE29" i="3" l="1"/>
  <c r="AD29" i="3" a="1"/>
  <c r="AD29" i="3" l="1"/>
  <c r="AC29" i="3" a="1"/>
  <c r="AC29" i="3" l="1"/>
  <c r="AB29" i="3" a="1"/>
  <c r="AB29" i="3" l="1"/>
  <c r="AA29" i="3" a="1"/>
  <c r="AA29" i="3" l="1"/>
  <c r="Z29" i="3" a="1"/>
  <c r="Z29" i="3" l="1"/>
  <c r="Y29" i="3" a="1"/>
  <c r="Y29" i="3" l="1"/>
  <c r="X29" i="3" a="1"/>
  <c r="X29" i="3" l="1"/>
  <c r="W29" i="3" a="1"/>
  <c r="W29" i="3" l="1"/>
  <c r="V29" i="3" a="1"/>
  <c r="V29" i="3" l="1"/>
  <c r="U29" i="3" a="1"/>
  <c r="U29" i="3" l="1"/>
  <c r="T29" i="3" a="1"/>
  <c r="T29" i="3" l="1"/>
  <c r="S29" i="3" a="1"/>
  <c r="S29" i="3" l="1"/>
  <c r="R29" i="3" a="1"/>
  <c r="R29" i="3" l="1"/>
  <c r="Q29" i="3" a="1"/>
  <c r="Q29" i="3" l="1"/>
  <c r="P29" i="3" a="1"/>
  <c r="P29" i="3" l="1"/>
  <c r="O29" i="3" a="1"/>
  <c r="O29" i="3" l="1"/>
  <c r="N29" i="3" a="1"/>
  <c r="N29" i="3" l="1"/>
  <c r="M29" i="3" a="1"/>
  <c r="M29" i="3" l="1"/>
  <c r="L29" i="3" a="1"/>
  <c r="L29" i="3" l="1"/>
  <c r="K29" i="3" a="1"/>
  <c r="K29" i="3" l="1"/>
  <c r="J29" i="3" a="1"/>
  <c r="J29" i="3" l="1"/>
  <c r="I29" i="3" a="1"/>
  <c r="I29" i="3" l="1"/>
  <c r="H29" i="3" a="1"/>
  <c r="H29" i="3" l="1"/>
  <c r="G29" i="3" a="1"/>
  <c r="G29" i="3" l="1"/>
  <c r="F29" i="3" a="1"/>
  <c r="F29" i="3" l="1"/>
  <c r="E29" i="3" a="1"/>
  <c r="E29" i="3" l="1"/>
  <c r="D29" i="3" a="1"/>
  <c r="D29" i="3" l="1"/>
  <c r="AG28" i="3" a="1"/>
  <c r="AG28" i="3" l="1"/>
  <c r="AF28" i="3" a="1"/>
  <c r="AF28" i="3" l="1"/>
  <c r="AE28" i="3" a="1"/>
  <c r="AE28" i="3" l="1"/>
  <c r="AD28" i="3" a="1"/>
  <c r="AD28" i="3" l="1"/>
  <c r="AC28" i="3" a="1"/>
  <c r="AC28" i="3" l="1"/>
  <c r="AB28" i="3" a="1"/>
  <c r="AB28" i="3" l="1"/>
  <c r="AA28" i="3" a="1"/>
  <c r="AA28" i="3" l="1"/>
  <c r="Z28" i="3" a="1"/>
  <c r="Z28" i="3" l="1"/>
  <c r="Y28" i="3" a="1"/>
  <c r="Y28" i="3" l="1"/>
  <c r="X28" i="3" a="1"/>
  <c r="X28" i="3" l="1"/>
  <c r="W28" i="3" a="1"/>
  <c r="W28" i="3" l="1"/>
  <c r="V28" i="3" a="1"/>
  <c r="V28" i="3" l="1"/>
  <c r="U28" i="3" a="1"/>
  <c r="U28" i="3" l="1"/>
  <c r="T28" i="3" a="1"/>
  <c r="T28" i="3" l="1"/>
  <c r="S28" i="3" a="1"/>
  <c r="S28" i="3" l="1"/>
  <c r="R28" i="3" a="1"/>
  <c r="R28" i="3" l="1"/>
  <c r="Q28" i="3" a="1"/>
  <c r="Q28" i="3" l="1"/>
  <c r="P28" i="3" a="1"/>
  <c r="P28" i="3" l="1"/>
  <c r="O28" i="3" a="1"/>
  <c r="O28" i="3" l="1"/>
  <c r="N28" i="3" a="1"/>
  <c r="N28" i="3" l="1"/>
  <c r="M28" i="3" a="1"/>
  <c r="M28" i="3" l="1"/>
  <c r="L28" i="3" a="1"/>
  <c r="L28" i="3" l="1"/>
  <c r="K28" i="3" a="1"/>
  <c r="K28" i="3" l="1"/>
  <c r="J28" i="3" a="1"/>
  <c r="J28" i="3" l="1"/>
  <c r="I28" i="3" a="1"/>
  <c r="I28" i="3" l="1"/>
  <c r="H28" i="3" a="1"/>
  <c r="H28" i="3" l="1"/>
  <c r="G28" i="3" a="1"/>
  <c r="G28" i="3" l="1"/>
  <c r="F28" i="3" a="1"/>
  <c r="F28" i="3" l="1"/>
  <c r="E28" i="3" a="1"/>
  <c r="E28" i="3" l="1"/>
  <c r="D28" i="3" a="1"/>
  <c r="D28" i="3" l="1"/>
  <c r="AG27" i="3" a="1"/>
  <c r="AG27" i="3" l="1"/>
  <c r="AF27" i="3" a="1"/>
  <c r="AF27" i="3" l="1"/>
  <c r="AE27" i="3" a="1"/>
  <c r="AE27" i="3" l="1"/>
  <c r="AD27" i="3" a="1"/>
  <c r="AD27" i="3" l="1"/>
  <c r="AC27" i="3" a="1"/>
  <c r="AC27" i="3" l="1"/>
  <c r="AB27" i="3" a="1"/>
  <c r="AB27" i="3" l="1"/>
  <c r="AA27" i="3" a="1"/>
  <c r="AA27" i="3" l="1"/>
  <c r="Z27" i="3" a="1"/>
  <c r="Z27" i="3" l="1"/>
  <c r="Y27" i="3" a="1"/>
  <c r="Y27" i="3" l="1"/>
  <c r="X27" i="3" a="1"/>
  <c r="X27" i="3" l="1"/>
  <c r="W27" i="3" a="1"/>
  <c r="W27" i="3" l="1"/>
  <c r="V27" i="3" a="1"/>
  <c r="V27" i="3" l="1"/>
  <c r="U27" i="3" a="1"/>
  <c r="U27" i="3" l="1"/>
  <c r="T27" i="3" a="1"/>
  <c r="T27" i="3" l="1"/>
  <c r="S27" i="3" a="1"/>
  <c r="S27" i="3" l="1"/>
  <c r="R27" i="3" a="1"/>
  <c r="R27" i="3" l="1"/>
  <c r="Q27" i="3" a="1"/>
  <c r="Q27" i="3" l="1"/>
  <c r="P27" i="3" a="1"/>
  <c r="P27" i="3" l="1"/>
  <c r="O27" i="3" a="1"/>
  <c r="O27" i="3" l="1"/>
  <c r="N27" i="3" a="1"/>
  <c r="N27" i="3" l="1"/>
  <c r="M27" i="3" a="1"/>
  <c r="M27" i="3" l="1"/>
  <c r="L27" i="3" a="1"/>
  <c r="L27" i="3" l="1"/>
  <c r="K27" i="3" a="1"/>
  <c r="K27" i="3" l="1"/>
  <c r="J27" i="3" a="1"/>
  <c r="J27" i="3" l="1"/>
  <c r="I27" i="3" a="1"/>
  <c r="I27" i="3" l="1"/>
  <c r="H27" i="3" a="1"/>
  <c r="H27" i="3" l="1"/>
  <c r="G27" i="3" a="1"/>
  <c r="G27" i="3" l="1"/>
  <c r="F27" i="3" a="1"/>
  <c r="F27" i="3" l="1"/>
  <c r="E27" i="3" a="1"/>
  <c r="E27" i="3" l="1"/>
  <c r="D27" i="3" a="1"/>
  <c r="D27" i="3" l="1"/>
  <c r="AG26" i="3" a="1"/>
  <c r="AG26" i="3" l="1"/>
  <c r="AF26" i="3" a="1"/>
  <c r="AF26" i="3" l="1"/>
  <c r="AE26" i="3" a="1"/>
  <c r="AE26" i="3" l="1"/>
  <c r="AD26" i="3" a="1"/>
  <c r="AD26" i="3" l="1"/>
  <c r="AC26" i="3" a="1"/>
  <c r="AC26" i="3" l="1"/>
  <c r="AB26" i="3" a="1"/>
  <c r="AB26" i="3" l="1"/>
  <c r="AA26" i="3" a="1"/>
  <c r="AA26" i="3" l="1"/>
  <c r="Z26" i="3" a="1"/>
  <c r="Z26" i="3" l="1"/>
  <c r="Y26" i="3" a="1"/>
  <c r="Y26" i="3" l="1"/>
  <c r="X26" i="3" a="1"/>
  <c r="X26" i="3" l="1"/>
  <c r="W26" i="3" a="1"/>
  <c r="W26" i="3" l="1"/>
  <c r="V26" i="3" a="1"/>
  <c r="V26" i="3" l="1"/>
  <c r="U26" i="3" a="1"/>
  <c r="U26" i="3" l="1"/>
  <c r="T26" i="3" a="1"/>
  <c r="T26" i="3" l="1"/>
  <c r="S26" i="3" a="1"/>
  <c r="S26" i="3" l="1"/>
  <c r="R26" i="3" a="1"/>
  <c r="R26" i="3" l="1"/>
  <c r="Q26" i="3" a="1"/>
  <c r="Q26" i="3" l="1"/>
  <c r="P26" i="3" a="1"/>
  <c r="P26" i="3" l="1"/>
  <c r="O26" i="3" a="1"/>
  <c r="O26" i="3" l="1"/>
  <c r="N26" i="3" a="1"/>
  <c r="N26" i="3" l="1"/>
  <c r="M26" i="3" a="1"/>
  <c r="M26" i="3" l="1"/>
  <c r="L26" i="3" a="1"/>
  <c r="L26" i="3" l="1"/>
  <c r="K26" i="3" a="1"/>
  <c r="K26" i="3" l="1"/>
  <c r="J26" i="3" a="1"/>
  <c r="J26" i="3" l="1"/>
  <c r="I26" i="3" a="1"/>
  <c r="I26" i="3" l="1"/>
  <c r="H26" i="3" a="1"/>
  <c r="H26" i="3" l="1"/>
  <c r="G26" i="3" a="1"/>
  <c r="G26" i="3" l="1"/>
  <c r="F26" i="3" a="1"/>
  <c r="F26" i="3" l="1"/>
  <c r="E26" i="3" a="1"/>
  <c r="E26" i="3" l="1"/>
  <c r="D26" i="3" a="1"/>
  <c r="D26" i="3" l="1"/>
  <c r="AG25" i="3" a="1"/>
  <c r="AG25" i="3" l="1"/>
  <c r="AF25" i="3" a="1"/>
  <c r="AF25" i="3" l="1"/>
  <c r="AE25" i="3" a="1"/>
  <c r="AE25" i="3" l="1"/>
  <c r="AD25" i="3" a="1"/>
  <c r="AD25" i="3" l="1"/>
  <c r="AC25" i="3" a="1"/>
  <c r="AC25" i="3" l="1"/>
  <c r="AB25" i="3" a="1"/>
  <c r="AB25" i="3" l="1"/>
  <c r="AA25" i="3" a="1"/>
  <c r="AA25" i="3" l="1"/>
  <c r="Z25" i="3" a="1"/>
  <c r="Z25" i="3" l="1"/>
  <c r="Y25" i="3" a="1"/>
  <c r="Y25" i="3" l="1"/>
  <c r="X25" i="3" a="1"/>
  <c r="X25" i="3" l="1"/>
  <c r="W25" i="3" a="1"/>
  <c r="W25" i="3" l="1"/>
  <c r="V25" i="3" a="1"/>
  <c r="V25" i="3" l="1"/>
  <c r="U25" i="3" a="1"/>
  <c r="U25" i="3" l="1"/>
  <c r="T25" i="3" a="1"/>
  <c r="T25" i="3" l="1"/>
  <c r="S25" i="3" a="1"/>
  <c r="S25" i="3" l="1"/>
  <c r="R25" i="3" a="1"/>
  <c r="R25" i="3" l="1"/>
  <c r="Q25" i="3" a="1"/>
  <c r="Q25" i="3" l="1"/>
  <c r="P25" i="3" a="1"/>
  <c r="P25" i="3" l="1"/>
  <c r="O25" i="3" a="1"/>
  <c r="O25" i="3" l="1"/>
  <c r="N25" i="3" a="1"/>
  <c r="N25" i="3" l="1"/>
  <c r="M25" i="3" a="1"/>
  <c r="M25" i="3" l="1"/>
  <c r="L25" i="3" a="1"/>
  <c r="L25" i="3" l="1"/>
  <c r="K25" i="3" a="1"/>
  <c r="K25" i="3" l="1"/>
  <c r="J25" i="3" a="1"/>
  <c r="J25" i="3" l="1"/>
  <c r="I25" i="3" a="1"/>
  <c r="I25" i="3" l="1"/>
  <c r="H25" i="3" a="1"/>
  <c r="H25" i="3" l="1"/>
  <c r="G25" i="3" a="1"/>
  <c r="G25" i="3" l="1"/>
  <c r="F25" i="3" a="1"/>
  <c r="F25" i="3" l="1"/>
  <c r="E25" i="3" a="1"/>
  <c r="E25" i="3" l="1"/>
  <c r="D25" i="3" a="1"/>
  <c r="D25" i="3" l="1"/>
  <c r="AG24" i="3" a="1"/>
  <c r="AG24" i="3" l="1"/>
  <c r="AF24" i="3" a="1"/>
  <c r="AF24" i="3" l="1"/>
  <c r="AE24" i="3" a="1"/>
  <c r="AE24" i="3" l="1"/>
  <c r="AD24" i="3" a="1"/>
  <c r="AD24" i="3" l="1"/>
  <c r="AC24" i="3" a="1"/>
  <c r="AC24" i="3" l="1"/>
  <c r="AB24" i="3" a="1"/>
  <c r="AB24" i="3" l="1"/>
  <c r="AA24" i="3" a="1"/>
  <c r="AA24" i="3" l="1"/>
  <c r="Z24" i="3" a="1"/>
  <c r="Z24" i="3" l="1"/>
  <c r="Y24" i="3" a="1"/>
  <c r="Y24" i="3" l="1"/>
  <c r="X24" i="3" a="1"/>
  <c r="X24" i="3" l="1"/>
  <c r="W24" i="3" a="1"/>
  <c r="W24" i="3" l="1"/>
  <c r="V24" i="3" a="1"/>
  <c r="V24" i="3" l="1"/>
  <c r="U24" i="3" a="1"/>
  <c r="U24" i="3" l="1"/>
  <c r="T24" i="3" a="1"/>
  <c r="T24" i="3" l="1"/>
  <c r="S24" i="3" a="1"/>
  <c r="S24" i="3" l="1"/>
  <c r="R24" i="3" a="1"/>
  <c r="R24" i="3" l="1"/>
  <c r="Q24" i="3" a="1"/>
  <c r="Q24" i="3" l="1"/>
  <c r="P24" i="3" a="1"/>
  <c r="P24" i="3" l="1"/>
  <c r="O24" i="3" a="1"/>
  <c r="O24" i="3" l="1"/>
  <c r="N24" i="3" a="1"/>
  <c r="N24" i="3" l="1"/>
  <c r="M24" i="3" a="1"/>
  <c r="M24" i="3" l="1"/>
  <c r="L24" i="3" a="1"/>
  <c r="L24" i="3" l="1"/>
  <c r="K24" i="3" a="1"/>
  <c r="K24" i="3" l="1"/>
  <c r="J24" i="3" a="1"/>
  <c r="J24" i="3" l="1"/>
  <c r="I24" i="3" a="1"/>
  <c r="I24" i="3" l="1"/>
  <c r="H24" i="3" a="1"/>
  <c r="H24" i="3" l="1"/>
  <c r="G24" i="3" a="1"/>
  <c r="G24" i="3" l="1"/>
  <c r="F24" i="3" a="1"/>
  <c r="F24" i="3" l="1"/>
  <c r="E24" i="3" a="1"/>
  <c r="E24" i="3" l="1"/>
  <c r="D24" i="3" a="1"/>
  <c r="D24" i="3" l="1"/>
  <c r="AG23" i="3" a="1"/>
  <c r="AG23" i="3" l="1"/>
  <c r="AF23" i="3" a="1"/>
  <c r="AF23" i="3" l="1"/>
  <c r="AE23" i="3" a="1"/>
  <c r="AE23" i="3" l="1"/>
  <c r="AD23" i="3" a="1"/>
  <c r="AD23" i="3" l="1"/>
  <c r="AC23" i="3" a="1"/>
  <c r="AC23" i="3" l="1"/>
  <c r="AB23" i="3" a="1"/>
  <c r="AB23" i="3" l="1"/>
  <c r="AA23" i="3" a="1"/>
  <c r="AA23" i="3" l="1"/>
  <c r="Z23" i="3" a="1"/>
  <c r="Z23" i="3" l="1"/>
  <c r="Y23" i="3" a="1"/>
  <c r="Y23" i="3" l="1"/>
  <c r="X23" i="3" a="1"/>
  <c r="X23" i="3" l="1"/>
  <c r="W23" i="3" a="1"/>
  <c r="W23" i="3" l="1"/>
  <c r="V23" i="3" a="1"/>
  <c r="V23" i="3" l="1"/>
  <c r="U23" i="3" a="1"/>
  <c r="U23" i="3" l="1"/>
  <c r="T23" i="3" a="1"/>
  <c r="T23" i="3" l="1"/>
  <c r="S23" i="3" a="1"/>
  <c r="S23" i="3" l="1"/>
  <c r="R23" i="3" a="1"/>
  <c r="R23" i="3" l="1"/>
  <c r="Q23" i="3" a="1"/>
  <c r="Q23" i="3" l="1"/>
  <c r="P23" i="3" a="1"/>
  <c r="P23" i="3" l="1"/>
  <c r="O23" i="3" a="1"/>
  <c r="O23" i="3" l="1"/>
  <c r="N23" i="3" a="1"/>
  <c r="N23" i="3" l="1"/>
  <c r="M23" i="3" a="1"/>
  <c r="M23" i="3" l="1"/>
  <c r="L23" i="3" a="1"/>
  <c r="L23" i="3" l="1"/>
  <c r="K23" i="3" a="1"/>
  <c r="K23" i="3" l="1"/>
  <c r="J23" i="3" a="1"/>
  <c r="J23" i="3" l="1"/>
  <c r="I23" i="3" a="1"/>
  <c r="I23" i="3" l="1"/>
  <c r="H23" i="3" a="1"/>
  <c r="H23" i="3" l="1"/>
  <c r="G23" i="3" a="1"/>
  <c r="G23" i="3" l="1"/>
  <c r="F23" i="3" a="1"/>
  <c r="F23" i="3" l="1"/>
  <c r="E23" i="3" a="1"/>
  <c r="E23" i="3" l="1"/>
  <c r="D23" i="3" a="1"/>
  <c r="D23" i="3" l="1"/>
  <c r="AG22" i="3" a="1"/>
  <c r="AG22" i="3" l="1"/>
  <c r="AF22" i="3" a="1"/>
  <c r="AF22" i="3" l="1"/>
  <c r="AE22" i="3" a="1"/>
  <c r="AE22" i="3" l="1"/>
  <c r="AD22" i="3" a="1"/>
  <c r="AD22" i="3" l="1"/>
  <c r="AC22" i="3" a="1"/>
  <c r="AC22" i="3" l="1"/>
  <c r="AB22" i="3" a="1"/>
  <c r="AB22" i="3" l="1"/>
  <c r="AA22" i="3" a="1"/>
  <c r="AA22" i="3" l="1"/>
  <c r="Z22" i="3" a="1"/>
  <c r="Z22" i="3" l="1"/>
  <c r="Y22" i="3" a="1"/>
  <c r="Y22" i="3" l="1"/>
  <c r="X22" i="3" a="1"/>
  <c r="X22" i="3" l="1"/>
  <c r="W22" i="3" a="1"/>
  <c r="W22" i="3" l="1"/>
  <c r="V22" i="3" a="1"/>
  <c r="V22" i="3" l="1"/>
  <c r="U22" i="3" a="1"/>
  <c r="U22" i="3" l="1"/>
  <c r="T22" i="3" a="1"/>
  <c r="T22" i="3" l="1"/>
  <c r="S22" i="3" a="1"/>
  <c r="S22" i="3" l="1"/>
  <c r="R22" i="3" a="1"/>
  <c r="R22" i="3" l="1"/>
  <c r="Q22" i="3" a="1"/>
  <c r="Q22" i="3" l="1"/>
  <c r="P22" i="3" a="1"/>
  <c r="P22" i="3" l="1"/>
  <c r="O22" i="3" a="1"/>
  <c r="O22" i="3" l="1"/>
  <c r="N22" i="3" a="1"/>
  <c r="N22" i="3" l="1"/>
  <c r="M22" i="3" a="1"/>
  <c r="M22" i="3" l="1"/>
  <c r="L22" i="3" a="1"/>
  <c r="L22" i="3" l="1"/>
  <c r="K22" i="3" a="1"/>
  <c r="K22" i="3" l="1"/>
  <c r="J22" i="3" a="1"/>
  <c r="J22" i="3" l="1"/>
  <c r="I22" i="3" a="1"/>
  <c r="I22" i="3" l="1"/>
  <c r="H22" i="3" a="1"/>
  <c r="H22" i="3" l="1"/>
  <c r="G22" i="3" a="1"/>
  <c r="G22" i="3" l="1"/>
  <c r="F22" i="3" a="1"/>
  <c r="F22" i="3" l="1"/>
  <c r="E22" i="3" a="1"/>
  <c r="E22" i="3" l="1"/>
  <c r="D22" i="3" a="1"/>
  <c r="D22" i="3" l="1"/>
  <c r="AG21" i="3" a="1"/>
  <c r="AG21" i="3" l="1"/>
  <c r="AF21" i="3" a="1"/>
  <c r="AF21" i="3" l="1"/>
  <c r="AE21" i="3" a="1"/>
  <c r="AE21" i="3" l="1"/>
  <c r="AD21" i="3" a="1"/>
  <c r="AD21" i="3" l="1"/>
  <c r="AC21" i="3" a="1"/>
  <c r="AC21" i="3" l="1"/>
  <c r="AB21" i="3" a="1"/>
  <c r="AB21" i="3" l="1"/>
  <c r="AA21" i="3" a="1"/>
  <c r="AA21" i="3" l="1"/>
  <c r="Z21" i="3" a="1"/>
  <c r="Z21" i="3" l="1"/>
  <c r="Y21" i="3" a="1"/>
  <c r="Y21" i="3" l="1"/>
  <c r="X21" i="3" a="1"/>
  <c r="X21" i="3" l="1"/>
  <c r="W21" i="3" a="1"/>
  <c r="W21" i="3" l="1"/>
  <c r="V21" i="3" a="1"/>
  <c r="V21" i="3" l="1"/>
  <c r="U21" i="3" a="1"/>
  <c r="U21" i="3" l="1"/>
  <c r="T21" i="3" a="1"/>
  <c r="T21" i="3" l="1"/>
  <c r="S21" i="3" a="1"/>
  <c r="S21" i="3" l="1"/>
  <c r="R21" i="3" a="1"/>
  <c r="R21" i="3" l="1"/>
  <c r="Q21" i="3" a="1"/>
  <c r="Q21" i="3" l="1"/>
  <c r="P21" i="3" a="1"/>
  <c r="P21" i="3" l="1"/>
  <c r="O21" i="3" a="1"/>
  <c r="O21" i="3" l="1"/>
  <c r="N21" i="3" a="1"/>
  <c r="N21" i="3" l="1"/>
  <c r="M21" i="3" a="1"/>
  <c r="M21" i="3" l="1"/>
  <c r="L21" i="3" a="1"/>
  <c r="L21" i="3" l="1"/>
  <c r="K21" i="3" a="1"/>
  <c r="K21" i="3" l="1"/>
  <c r="J21" i="3" a="1"/>
  <c r="J21" i="3" l="1"/>
  <c r="I21" i="3" a="1"/>
  <c r="I21" i="3" l="1"/>
  <c r="H21" i="3" a="1"/>
  <c r="H21" i="3" l="1"/>
  <c r="G21" i="3" a="1"/>
  <c r="G21" i="3" l="1"/>
  <c r="F21" i="3" a="1"/>
  <c r="F21" i="3" l="1"/>
  <c r="E21" i="3" a="1"/>
  <c r="E21" i="3" l="1"/>
  <c r="D21" i="3" a="1"/>
  <c r="D21" i="3" l="1"/>
  <c r="AG20" i="3" a="1"/>
  <c r="AG20" i="3" l="1"/>
  <c r="AF20" i="3" a="1"/>
  <c r="AF20" i="3" l="1"/>
  <c r="AE20" i="3" a="1"/>
  <c r="AE20" i="3" l="1"/>
  <c r="AD20" i="3" a="1"/>
  <c r="AD20" i="3" l="1"/>
  <c r="AC20" i="3" a="1"/>
  <c r="AC20" i="3" l="1"/>
  <c r="AB20" i="3" a="1"/>
  <c r="AB20" i="3" l="1"/>
  <c r="AA20" i="3" a="1"/>
  <c r="AA20" i="3" l="1"/>
  <c r="Z20" i="3" a="1"/>
  <c r="Z20" i="3" l="1"/>
  <c r="Y20" i="3" a="1"/>
  <c r="Y20" i="3" l="1"/>
  <c r="X20" i="3" a="1"/>
  <c r="X20" i="3" l="1"/>
  <c r="W20" i="3" a="1"/>
  <c r="W20" i="3" l="1"/>
  <c r="V20" i="3" a="1"/>
  <c r="V20" i="3" l="1"/>
  <c r="U20" i="3" a="1"/>
  <c r="U20" i="3" l="1"/>
  <c r="T20" i="3" a="1"/>
  <c r="T20" i="3" l="1"/>
  <c r="S20" i="3" a="1"/>
  <c r="S20" i="3" l="1"/>
  <c r="R20" i="3" a="1"/>
  <c r="R20" i="3" l="1"/>
  <c r="Q20" i="3" a="1"/>
  <c r="Q20" i="3" l="1"/>
  <c r="P20" i="3" a="1"/>
  <c r="P20" i="3" l="1"/>
  <c r="O20" i="3" a="1"/>
  <c r="O20" i="3" l="1"/>
  <c r="N20" i="3" a="1"/>
  <c r="N20" i="3" l="1"/>
  <c r="M20" i="3" a="1"/>
  <c r="M20" i="3" l="1"/>
  <c r="L20" i="3" a="1"/>
  <c r="L20" i="3" l="1"/>
  <c r="K20" i="3" a="1"/>
  <c r="K20" i="3" l="1"/>
  <c r="J20" i="3" a="1"/>
  <c r="J20" i="3" l="1"/>
  <c r="I20" i="3" a="1"/>
  <c r="I20" i="3" l="1"/>
  <c r="H20" i="3" a="1"/>
  <c r="H20" i="3" l="1"/>
  <c r="G20" i="3" a="1"/>
  <c r="G20" i="3" l="1"/>
  <c r="F20" i="3" a="1"/>
  <c r="F20" i="3" l="1"/>
  <c r="E20" i="3" a="1"/>
  <c r="E20" i="3" l="1"/>
  <c r="D20" i="3" a="1"/>
  <c r="D20" i="3" l="1"/>
  <c r="AG19" i="3" a="1"/>
  <c r="AG19" i="3" l="1"/>
  <c r="AF19" i="3" a="1"/>
  <c r="AF19" i="3" l="1"/>
  <c r="AE19" i="3" a="1"/>
  <c r="AE19" i="3" l="1"/>
  <c r="AD19" i="3" a="1"/>
  <c r="AD19" i="3" l="1"/>
  <c r="AC19" i="3" a="1"/>
  <c r="AC19" i="3" l="1"/>
  <c r="AB19" i="3" a="1"/>
  <c r="AB19" i="3" l="1"/>
  <c r="AA19" i="3" a="1"/>
  <c r="AA19" i="3" l="1"/>
  <c r="Z19" i="3" a="1"/>
  <c r="Z19" i="3" l="1"/>
  <c r="Y19" i="3" a="1"/>
  <c r="Y19" i="3" l="1"/>
  <c r="X19" i="3" a="1"/>
  <c r="X19" i="3" l="1"/>
  <c r="W19" i="3" a="1"/>
  <c r="W19" i="3" l="1"/>
  <c r="V19" i="3" a="1"/>
  <c r="V19" i="3" l="1"/>
  <c r="U19" i="3" a="1"/>
  <c r="U19" i="3" l="1"/>
  <c r="T19" i="3" a="1"/>
  <c r="T19" i="3" l="1"/>
  <c r="S19" i="3" a="1"/>
  <c r="S19" i="3" l="1"/>
  <c r="R19" i="3" a="1"/>
  <c r="R19" i="3" l="1"/>
  <c r="Q19" i="3" a="1"/>
  <c r="Q19" i="3" l="1"/>
  <c r="P19" i="3" a="1"/>
  <c r="P19" i="3" l="1"/>
  <c r="O19" i="3" a="1"/>
  <c r="O19" i="3" l="1"/>
  <c r="N19" i="3" a="1"/>
  <c r="N19" i="3" l="1"/>
  <c r="M19" i="3" a="1"/>
  <c r="M19" i="3" l="1"/>
  <c r="L19" i="3" a="1"/>
  <c r="L19" i="3" l="1"/>
  <c r="K19" i="3" a="1"/>
  <c r="K19" i="3" l="1"/>
  <c r="J19" i="3" a="1"/>
  <c r="J19" i="3" l="1"/>
  <c r="I19" i="3" a="1"/>
  <c r="I19" i="3" l="1"/>
  <c r="H19" i="3" a="1"/>
  <c r="H19" i="3" l="1"/>
  <c r="G19" i="3" a="1"/>
  <c r="G19" i="3" l="1"/>
  <c r="F19" i="3" a="1"/>
  <c r="F19" i="3" l="1"/>
  <c r="E19" i="3" a="1"/>
  <c r="E19" i="3" l="1"/>
  <c r="D19" i="3" a="1"/>
  <c r="D19" i="3" l="1"/>
  <c r="AG18" i="3" a="1"/>
  <c r="AG18" i="3" l="1"/>
  <c r="AF18" i="3" a="1"/>
  <c r="AF18" i="3" l="1"/>
  <c r="AE18" i="3" a="1"/>
  <c r="AE18" i="3" l="1"/>
  <c r="AD18" i="3" a="1"/>
  <c r="AD18" i="3" l="1"/>
  <c r="AC18" i="3" a="1"/>
  <c r="AC18" i="3" l="1"/>
  <c r="AB18" i="3" a="1"/>
  <c r="AB18" i="3" l="1"/>
  <c r="AA18" i="3" a="1"/>
  <c r="AA18" i="3" l="1"/>
  <c r="Z18" i="3" a="1"/>
  <c r="Z18" i="3" l="1"/>
  <c r="Y18" i="3" a="1"/>
  <c r="Y18" i="3" l="1"/>
  <c r="X18" i="3" a="1"/>
  <c r="X18" i="3" l="1"/>
  <c r="W18" i="3" a="1"/>
  <c r="W18" i="3" l="1"/>
  <c r="V18" i="3" a="1"/>
  <c r="V18" i="3" l="1"/>
  <c r="U18" i="3" a="1"/>
  <c r="U18" i="3" l="1"/>
  <c r="T18" i="3" a="1"/>
  <c r="T18" i="3" l="1"/>
  <c r="S18" i="3" a="1"/>
  <c r="S18" i="3" l="1"/>
  <c r="R18" i="3" a="1"/>
  <c r="R18" i="3" l="1"/>
  <c r="Q18" i="3" a="1"/>
  <c r="Q18" i="3" l="1"/>
  <c r="P18" i="3" a="1"/>
  <c r="P18" i="3" l="1"/>
  <c r="O18" i="3" a="1"/>
  <c r="O18" i="3" l="1"/>
  <c r="N18" i="3" a="1"/>
  <c r="N18" i="3" l="1"/>
  <c r="M18" i="3" a="1"/>
  <c r="M18" i="3" l="1"/>
  <c r="L18" i="3" a="1"/>
  <c r="L18" i="3" l="1"/>
  <c r="K18" i="3" a="1"/>
  <c r="K18" i="3" l="1"/>
  <c r="J18" i="3" a="1"/>
  <c r="J18" i="3" l="1"/>
  <c r="I18" i="3" a="1"/>
  <c r="I18" i="3" l="1"/>
  <c r="H18" i="3" a="1"/>
  <c r="H18" i="3" l="1"/>
  <c r="G18" i="3" a="1"/>
  <c r="G18" i="3" l="1"/>
  <c r="F18" i="3" a="1"/>
  <c r="F18" i="3" l="1"/>
  <c r="E18" i="3" a="1"/>
  <c r="E18" i="3" l="1"/>
  <c r="D18" i="3" a="1"/>
  <c r="D18" i="3" l="1"/>
  <c r="AG17" i="3" a="1"/>
  <c r="AG17" i="3" l="1"/>
  <c r="AF17" i="3" a="1"/>
  <c r="AF17" i="3" l="1"/>
  <c r="AE17" i="3" a="1"/>
  <c r="AE17" i="3" l="1"/>
  <c r="AD17" i="3" a="1"/>
  <c r="AD17" i="3" l="1"/>
  <c r="AC17" i="3" a="1"/>
  <c r="AC17" i="3" l="1"/>
  <c r="AB17" i="3" a="1"/>
  <c r="AB17" i="3" l="1"/>
  <c r="AA17" i="3" a="1"/>
  <c r="AA17" i="3" l="1"/>
  <c r="Z17" i="3" a="1"/>
  <c r="Z17" i="3" l="1"/>
  <c r="Y17" i="3" a="1"/>
  <c r="Y17" i="3" l="1"/>
  <c r="X17" i="3" a="1"/>
  <c r="X17" i="3" l="1"/>
  <c r="W17" i="3" a="1"/>
  <c r="W17" i="3" l="1"/>
  <c r="V17" i="3" a="1"/>
  <c r="V17" i="3" l="1"/>
  <c r="U17" i="3" a="1"/>
  <c r="U17" i="3" l="1"/>
  <c r="T17" i="3" a="1"/>
  <c r="T17" i="3" l="1"/>
  <c r="S17" i="3" a="1"/>
  <c r="S17" i="3" l="1"/>
  <c r="R17" i="3" a="1"/>
  <c r="R17" i="3" l="1"/>
  <c r="Q17" i="3" a="1"/>
  <c r="Q17" i="3" l="1"/>
  <c r="P17" i="3" a="1"/>
  <c r="P17" i="3" l="1"/>
  <c r="O17" i="3" a="1"/>
  <c r="O17" i="3" l="1"/>
  <c r="N17" i="3" a="1"/>
  <c r="N17" i="3" l="1"/>
  <c r="M17" i="3" a="1"/>
  <c r="M17" i="3" l="1"/>
  <c r="L17" i="3" a="1"/>
  <c r="L17" i="3" l="1"/>
  <c r="K17" i="3" a="1"/>
  <c r="K17" i="3" l="1"/>
  <c r="J17" i="3" a="1"/>
  <c r="J17" i="3" l="1"/>
  <c r="I17" i="3" a="1"/>
  <c r="I17" i="3" l="1"/>
  <c r="H17" i="3" a="1"/>
  <c r="H17" i="3" l="1"/>
  <c r="G17" i="3" a="1"/>
  <c r="G17" i="3" l="1"/>
  <c r="F17" i="3" a="1"/>
  <c r="F17" i="3" l="1"/>
  <c r="E17" i="3" a="1"/>
  <c r="E17" i="3" l="1"/>
  <c r="D17" i="3" a="1"/>
  <c r="D17" i="3" l="1"/>
  <c r="AG16" i="3" a="1"/>
  <c r="AG16" i="3" l="1"/>
  <c r="AF16" i="3" a="1"/>
  <c r="AF16" i="3" l="1"/>
  <c r="AE16" i="3" a="1"/>
  <c r="AE16" i="3" l="1"/>
  <c r="AD16" i="3" a="1"/>
  <c r="AD16" i="3" l="1"/>
  <c r="AC16" i="3" a="1"/>
  <c r="AC16" i="3" l="1"/>
  <c r="AB16" i="3" a="1"/>
  <c r="AB16" i="3" l="1"/>
  <c r="AA16" i="3" a="1"/>
  <c r="AA16" i="3" l="1"/>
  <c r="Z16" i="3" a="1"/>
  <c r="Z16" i="3" l="1"/>
  <c r="Y16" i="3" a="1"/>
  <c r="Y16" i="3" l="1"/>
  <c r="X16" i="3" a="1"/>
  <c r="X16" i="3" l="1"/>
  <c r="W16" i="3" a="1"/>
  <c r="W16" i="3" l="1"/>
  <c r="V16" i="3" a="1"/>
  <c r="V16" i="3" l="1"/>
  <c r="U16" i="3" a="1"/>
  <c r="U16" i="3" l="1"/>
  <c r="T16" i="3" a="1"/>
  <c r="T16" i="3" l="1"/>
  <c r="S16" i="3" a="1"/>
  <c r="S16" i="3" l="1"/>
  <c r="R16" i="3" a="1"/>
  <c r="R16" i="3" l="1"/>
  <c r="Q16" i="3" a="1"/>
  <c r="Q16" i="3" l="1"/>
  <c r="P16" i="3" a="1"/>
  <c r="P16" i="3" l="1"/>
  <c r="O16" i="3" a="1"/>
  <c r="O16" i="3" l="1"/>
  <c r="N16" i="3" a="1"/>
  <c r="N16" i="3" l="1"/>
  <c r="M16" i="3" a="1"/>
  <c r="M16" i="3" l="1"/>
  <c r="L16" i="3" a="1"/>
  <c r="L16" i="3" l="1"/>
  <c r="K16" i="3" a="1"/>
  <c r="K16" i="3" l="1"/>
  <c r="J16" i="3" a="1"/>
  <c r="J16" i="3" l="1"/>
  <c r="I16" i="3" a="1"/>
  <c r="I16" i="3" l="1"/>
  <c r="H16" i="3" a="1"/>
  <c r="H16" i="3" l="1"/>
  <c r="G16" i="3" a="1"/>
  <c r="G16" i="3" l="1"/>
  <c r="F16" i="3" a="1"/>
  <c r="F16" i="3" l="1"/>
  <c r="E16" i="3" a="1"/>
  <c r="E16" i="3" l="1"/>
  <c r="D16" i="3" a="1"/>
  <c r="D16" i="3" l="1"/>
  <c r="AG15" i="3" a="1"/>
  <c r="AG15" i="3" l="1"/>
  <c r="AF15" i="3" a="1"/>
  <c r="AF15" i="3" l="1"/>
  <c r="AE15" i="3" a="1"/>
  <c r="AE15" i="3" l="1"/>
  <c r="AD15" i="3" a="1"/>
  <c r="AD15" i="3" l="1"/>
  <c r="AC15" i="3" a="1"/>
  <c r="AC15" i="3" l="1"/>
  <c r="AB15" i="3" a="1"/>
  <c r="AB15" i="3" l="1"/>
  <c r="AA15" i="3" a="1"/>
  <c r="AA15" i="3" l="1"/>
  <c r="Z15" i="3" a="1"/>
  <c r="Z15" i="3" l="1"/>
  <c r="Y15" i="3" a="1"/>
  <c r="Y15" i="3" l="1"/>
  <c r="X15" i="3" a="1"/>
  <c r="X15" i="3" l="1"/>
  <c r="W15" i="3" a="1"/>
  <c r="W15" i="3" l="1"/>
  <c r="V15" i="3" a="1"/>
  <c r="V15" i="3" l="1"/>
  <c r="U15" i="3" a="1"/>
  <c r="U15" i="3" l="1"/>
  <c r="T15" i="3" a="1"/>
  <c r="T15" i="3" l="1"/>
  <c r="S15" i="3" a="1"/>
  <c r="S15" i="3" l="1"/>
  <c r="R15" i="3" a="1"/>
  <c r="R15" i="3" l="1"/>
  <c r="Q15" i="3" a="1"/>
  <c r="Q15" i="3" l="1"/>
  <c r="P15" i="3" a="1"/>
  <c r="P15" i="3" l="1"/>
  <c r="O15" i="3" a="1"/>
  <c r="O15" i="3" l="1"/>
  <c r="N15" i="3" a="1"/>
  <c r="N15" i="3" l="1"/>
  <c r="M15" i="3" a="1"/>
  <c r="M15" i="3" l="1"/>
  <c r="L15" i="3" a="1"/>
  <c r="L15" i="3" l="1"/>
  <c r="K15" i="3" a="1"/>
  <c r="K15" i="3" l="1"/>
  <c r="J15" i="3" a="1"/>
  <c r="J15" i="3" l="1"/>
  <c r="I15" i="3" a="1"/>
  <c r="I15" i="3" l="1"/>
  <c r="H15" i="3" a="1"/>
  <c r="H15" i="3" l="1"/>
  <c r="G15" i="3" a="1"/>
  <c r="G15" i="3" l="1"/>
  <c r="F15" i="3" a="1"/>
  <c r="F15" i="3" l="1"/>
  <c r="E15" i="3" a="1"/>
  <c r="E15" i="3" l="1"/>
  <c r="D15" i="3" a="1"/>
  <c r="D15" i="3" l="1"/>
  <c r="AG14" i="3" a="1"/>
  <c r="AG14" i="3" l="1"/>
  <c r="AF14" i="3" a="1"/>
  <c r="AF14" i="3" l="1"/>
  <c r="AE14" i="3" a="1"/>
  <c r="AE14" i="3" l="1"/>
  <c r="AD14" i="3" a="1"/>
  <c r="AD14" i="3" l="1"/>
  <c r="AC14" i="3" a="1"/>
  <c r="AC14" i="3" l="1"/>
  <c r="AB14" i="3" a="1"/>
  <c r="AB14" i="3" l="1"/>
  <c r="AA14" i="3" a="1"/>
  <c r="AA14" i="3" l="1"/>
  <c r="Z14" i="3" a="1"/>
  <c r="Z14" i="3" l="1"/>
  <c r="Y14" i="3" a="1"/>
  <c r="Y14" i="3" l="1"/>
  <c r="X14" i="3" a="1"/>
  <c r="X14" i="3" l="1"/>
  <c r="W14" i="3" a="1"/>
  <c r="W14" i="3" l="1"/>
  <c r="V14" i="3" a="1"/>
  <c r="V14" i="3" l="1"/>
  <c r="U14" i="3" a="1"/>
  <c r="U14" i="3" l="1"/>
  <c r="T14" i="3" a="1"/>
  <c r="T14" i="3" l="1"/>
  <c r="S14" i="3" a="1"/>
  <c r="S14" i="3" l="1"/>
  <c r="R14" i="3" a="1"/>
  <c r="R14" i="3" l="1"/>
  <c r="Q14" i="3" a="1"/>
  <c r="Q14" i="3" l="1"/>
  <c r="P14" i="3" a="1"/>
  <c r="P14" i="3" l="1"/>
  <c r="O14" i="3" a="1"/>
  <c r="O14" i="3" l="1"/>
  <c r="N14" i="3" a="1"/>
  <c r="N14" i="3" l="1"/>
  <c r="M14" i="3" a="1"/>
  <c r="M14" i="3" l="1"/>
  <c r="L14" i="3" a="1"/>
  <c r="L14" i="3" l="1"/>
  <c r="K14" i="3" a="1"/>
  <c r="K14" i="3" l="1"/>
  <c r="J14" i="3" a="1"/>
  <c r="J14" i="3" l="1"/>
  <c r="I14" i="3" a="1"/>
  <c r="I14" i="3" l="1"/>
  <c r="H14" i="3" a="1"/>
  <c r="H14" i="3" l="1"/>
  <c r="G14" i="3" a="1"/>
  <c r="G14" i="3" l="1"/>
  <c r="F14" i="3" a="1"/>
  <c r="F14" i="3" l="1"/>
  <c r="E14" i="3" a="1"/>
  <c r="E14" i="3" l="1"/>
  <c r="D14" i="3" a="1"/>
  <c r="D14" i="3" l="1"/>
  <c r="AG13" i="3" a="1"/>
  <c r="AG13" i="3" l="1"/>
  <c r="AF13" i="3" a="1"/>
  <c r="AF13" i="3" l="1"/>
  <c r="AE13" i="3" a="1"/>
  <c r="AE13" i="3" l="1"/>
  <c r="AD13" i="3" a="1"/>
  <c r="AD13" i="3" l="1"/>
  <c r="AC13" i="3" a="1"/>
  <c r="AC13" i="3" l="1"/>
  <c r="AB13" i="3" a="1"/>
  <c r="AB13" i="3" l="1"/>
  <c r="AA13" i="3" a="1"/>
  <c r="AA13" i="3" l="1"/>
  <c r="Z13" i="3" a="1"/>
  <c r="Z13" i="3" l="1"/>
  <c r="Y13" i="3" a="1"/>
  <c r="Y13" i="3" l="1"/>
  <c r="X13" i="3" a="1"/>
  <c r="X13" i="3" l="1"/>
  <c r="W13" i="3" a="1"/>
  <c r="W13" i="3" l="1"/>
  <c r="V13" i="3" a="1"/>
  <c r="V13" i="3" l="1"/>
  <c r="U13" i="3" a="1"/>
  <c r="U13" i="3" l="1"/>
  <c r="T13" i="3" a="1"/>
  <c r="T13" i="3" l="1"/>
  <c r="S13" i="3" a="1"/>
  <c r="S13" i="3" l="1"/>
  <c r="R13" i="3" a="1"/>
  <c r="R13" i="3" l="1"/>
  <c r="Q13" i="3" a="1"/>
  <c r="Q13" i="3" l="1"/>
  <c r="P13" i="3" a="1"/>
  <c r="P13" i="3" l="1"/>
  <c r="O13" i="3" a="1"/>
  <c r="O13" i="3" l="1"/>
  <c r="N13" i="3" a="1"/>
  <c r="N13" i="3" l="1"/>
  <c r="M13" i="3" a="1"/>
  <c r="M13" i="3" l="1"/>
  <c r="L13" i="3" a="1"/>
  <c r="L13" i="3" l="1"/>
  <c r="K13" i="3" a="1"/>
  <c r="K13" i="3" l="1"/>
  <c r="J13" i="3" a="1"/>
  <c r="J13" i="3" l="1"/>
  <c r="I13" i="3" a="1"/>
  <c r="I13" i="3" l="1"/>
  <c r="H13" i="3" a="1"/>
  <c r="H13" i="3" l="1"/>
  <c r="G13" i="3" a="1"/>
  <c r="G13" i="3" l="1"/>
  <c r="F13" i="3" a="1"/>
  <c r="F13" i="3" l="1"/>
  <c r="E13" i="3" a="1"/>
  <c r="E13" i="3" l="1"/>
  <c r="D13" i="3" a="1"/>
  <c r="D13" i="3" l="1"/>
  <c r="AG12" i="3" a="1"/>
  <c r="AG12" i="3" l="1"/>
  <c r="AF12" i="3" a="1"/>
  <c r="AF12" i="3" l="1"/>
  <c r="AE12" i="3" a="1"/>
  <c r="AE12" i="3" l="1"/>
  <c r="AD12" i="3" a="1"/>
  <c r="AD12" i="3" l="1"/>
  <c r="AC12" i="3" a="1"/>
  <c r="AC12" i="3" l="1"/>
  <c r="AB12" i="3" a="1"/>
  <c r="AB12" i="3" l="1"/>
  <c r="AA12" i="3" a="1"/>
  <c r="AA12" i="3" l="1"/>
  <c r="Z12" i="3" a="1"/>
  <c r="Z12" i="3" l="1"/>
  <c r="Y12" i="3" a="1"/>
  <c r="Y12" i="3" l="1"/>
  <c r="X12" i="3" a="1"/>
  <c r="X12" i="3" l="1"/>
  <c r="W12" i="3" a="1"/>
  <c r="W12" i="3" l="1"/>
  <c r="V12" i="3" a="1"/>
  <c r="V12" i="3" l="1"/>
  <c r="U12" i="3" a="1"/>
  <c r="U12" i="3" l="1"/>
  <c r="T12" i="3" a="1"/>
  <c r="T12" i="3" l="1"/>
  <c r="S12" i="3" a="1"/>
  <c r="S12" i="3" l="1"/>
  <c r="R12" i="3" a="1"/>
  <c r="R12" i="3" l="1"/>
  <c r="Q12" i="3" a="1"/>
  <c r="Q12" i="3" l="1"/>
  <c r="P12" i="3" a="1"/>
  <c r="P12" i="3" l="1"/>
  <c r="O12" i="3" a="1"/>
  <c r="O12" i="3" l="1"/>
  <c r="N12" i="3" a="1"/>
  <c r="N12" i="3" l="1"/>
  <c r="M12" i="3" a="1"/>
  <c r="M12" i="3" l="1"/>
  <c r="L12" i="3" a="1"/>
  <c r="L12" i="3" l="1"/>
  <c r="K12" i="3" a="1"/>
  <c r="K12" i="3" l="1"/>
  <c r="J12" i="3" a="1"/>
  <c r="J12" i="3" l="1"/>
  <c r="I12" i="3" a="1"/>
  <c r="I12" i="3" l="1"/>
  <c r="H12" i="3" a="1"/>
  <c r="H12" i="3" l="1"/>
  <c r="G12" i="3" a="1"/>
  <c r="G12" i="3" l="1"/>
  <c r="F12" i="3" a="1"/>
  <c r="F12" i="3" l="1"/>
  <c r="E12" i="3" a="1"/>
  <c r="E12" i="3" l="1"/>
  <c r="D12" i="3" a="1"/>
  <c r="D12" i="3" l="1"/>
  <c r="AG11" i="3" a="1"/>
  <c r="AG11" i="3" l="1"/>
  <c r="AF11" i="3" a="1"/>
  <c r="AF11" i="3" l="1"/>
  <c r="AE11" i="3" a="1"/>
  <c r="AE11" i="3" l="1"/>
  <c r="AD11" i="3" a="1"/>
  <c r="AD11" i="3" l="1"/>
  <c r="AC11" i="3" a="1"/>
  <c r="AC11" i="3" l="1"/>
  <c r="AB11" i="3" a="1"/>
  <c r="AB11" i="3" l="1"/>
  <c r="AA11" i="3" a="1"/>
  <c r="AA11" i="3" l="1"/>
  <c r="Z11" i="3" a="1"/>
  <c r="Z11" i="3" l="1"/>
  <c r="Y11" i="3" a="1"/>
  <c r="Y11" i="3" l="1"/>
  <c r="X11" i="3" a="1"/>
  <c r="X11" i="3" l="1"/>
  <c r="W11" i="3" a="1"/>
  <c r="W11" i="3" l="1"/>
  <c r="V11" i="3" a="1"/>
  <c r="V11" i="3" l="1"/>
  <c r="U11" i="3" a="1"/>
  <c r="U11" i="3" l="1"/>
  <c r="T11" i="3" a="1"/>
  <c r="T11" i="3" l="1"/>
  <c r="S11" i="3" a="1"/>
  <c r="S11" i="3" l="1"/>
  <c r="R11" i="3" a="1"/>
  <c r="R11" i="3" l="1"/>
  <c r="Q11" i="3" a="1"/>
  <c r="Q11" i="3" l="1"/>
  <c r="P11" i="3" a="1"/>
  <c r="P11" i="3" l="1"/>
  <c r="O11" i="3" a="1"/>
  <c r="O11" i="3" l="1"/>
  <c r="N11" i="3" a="1"/>
  <c r="N11" i="3" l="1"/>
  <c r="M11" i="3" a="1"/>
  <c r="M11" i="3" l="1"/>
  <c r="L11" i="3" a="1"/>
  <c r="L11" i="3" l="1"/>
  <c r="K11" i="3" a="1"/>
  <c r="K11" i="3" l="1"/>
  <c r="J11" i="3" a="1"/>
  <c r="J11" i="3" l="1"/>
  <c r="I11" i="3" a="1"/>
  <c r="I11" i="3" l="1"/>
  <c r="H11" i="3" a="1"/>
  <c r="H11" i="3" l="1"/>
  <c r="G11" i="3" a="1"/>
  <c r="G11" i="3" l="1"/>
  <c r="F11" i="3" a="1"/>
  <c r="F11" i="3" l="1"/>
  <c r="E11" i="3" a="1"/>
  <c r="E11" i="3" l="1"/>
  <c r="D11" i="3" a="1"/>
  <c r="D11" i="3" l="1"/>
  <c r="AG10" i="3" a="1"/>
  <c r="AG10" i="3" l="1"/>
  <c r="AF10" i="3" a="1"/>
  <c r="AF10" i="3" l="1"/>
  <c r="AE10" i="3" a="1"/>
  <c r="AE10" i="3" l="1"/>
  <c r="AD10" i="3" a="1"/>
  <c r="AD10" i="3" l="1"/>
  <c r="AC10" i="3" a="1"/>
  <c r="AC10" i="3" l="1"/>
  <c r="AB10" i="3" a="1"/>
  <c r="AB10" i="3" l="1"/>
  <c r="AA10" i="3" a="1"/>
  <c r="AA10" i="3" l="1"/>
  <c r="Z10" i="3" a="1"/>
  <c r="Z10" i="3" l="1"/>
  <c r="Y10" i="3" a="1"/>
  <c r="Y10" i="3" l="1"/>
  <c r="X10" i="3" a="1"/>
  <c r="X10" i="3" l="1"/>
  <c r="W10" i="3" a="1"/>
  <c r="W10" i="3" l="1"/>
  <c r="V10" i="3" a="1"/>
  <c r="V10" i="3" l="1"/>
  <c r="U10" i="3" a="1"/>
  <c r="U10" i="3" l="1"/>
  <c r="T10" i="3" a="1"/>
  <c r="T10" i="3" l="1"/>
  <c r="S10" i="3" a="1"/>
  <c r="S10" i="3" l="1"/>
  <c r="R10" i="3" a="1"/>
  <c r="R10" i="3" l="1"/>
  <c r="Q10" i="3" a="1"/>
  <c r="Q10" i="3" l="1"/>
  <c r="P10" i="3" a="1"/>
  <c r="P10" i="3" l="1"/>
  <c r="O10" i="3" a="1"/>
  <c r="O10" i="3" l="1"/>
  <c r="N10" i="3" a="1"/>
  <c r="N10" i="3" l="1"/>
  <c r="M10" i="3" a="1"/>
  <c r="M10" i="3" l="1"/>
  <c r="L10" i="3" a="1"/>
  <c r="L10" i="3" l="1"/>
  <c r="K10" i="3" a="1"/>
  <c r="K10" i="3" l="1"/>
  <c r="J10" i="3" a="1"/>
  <c r="J10" i="3" l="1"/>
  <c r="I10" i="3" a="1"/>
  <c r="I10" i="3" l="1"/>
  <c r="H10" i="3" a="1"/>
  <c r="H10" i="3" l="1"/>
  <c r="G10" i="3" a="1"/>
  <c r="G10" i="3" l="1"/>
  <c r="F10" i="3" a="1"/>
  <c r="F10" i="3" l="1"/>
  <c r="E10" i="3" a="1"/>
  <c r="E10" i="3" l="1"/>
  <c r="D10" i="3" a="1"/>
  <c r="D10" i="3" l="1"/>
  <c r="AG9" i="3" a="1"/>
  <c r="AG9" i="3" l="1"/>
  <c r="AF9" i="3" a="1"/>
  <c r="AF9" i="3" l="1"/>
  <c r="AE9" i="3" a="1"/>
  <c r="AE9" i="3" l="1"/>
  <c r="AD9" i="3" a="1"/>
  <c r="AD9" i="3" l="1"/>
  <c r="AC9" i="3" a="1"/>
  <c r="AC9" i="3" l="1"/>
  <c r="AB9" i="3" a="1"/>
  <c r="AB9" i="3" l="1"/>
  <c r="AA9" i="3" a="1"/>
  <c r="AA9" i="3" l="1"/>
  <c r="Z9" i="3" a="1"/>
  <c r="Z9" i="3" l="1"/>
  <c r="Y9" i="3" a="1"/>
  <c r="Y9" i="3" l="1"/>
  <c r="X9" i="3" a="1"/>
  <c r="X9" i="3" l="1"/>
  <c r="W9" i="3" a="1"/>
  <c r="W9" i="3" l="1"/>
  <c r="V9" i="3" a="1"/>
  <c r="V9" i="3" l="1"/>
  <c r="U9" i="3" a="1"/>
  <c r="U9" i="3" l="1"/>
  <c r="T9" i="3" a="1"/>
  <c r="T9" i="3" l="1"/>
  <c r="S9" i="3" a="1"/>
  <c r="S9" i="3" l="1"/>
  <c r="R9" i="3" a="1"/>
  <c r="R9" i="3" l="1"/>
  <c r="Q9" i="3" a="1"/>
  <c r="Q9" i="3" l="1"/>
  <c r="P9" i="3" a="1"/>
  <c r="P9" i="3" l="1"/>
  <c r="O9" i="3" a="1"/>
  <c r="O9" i="3" l="1"/>
  <c r="N9" i="3" a="1"/>
  <c r="N9" i="3" l="1"/>
  <c r="M9" i="3" a="1"/>
  <c r="M9" i="3" l="1"/>
  <c r="L9" i="3" a="1"/>
  <c r="L9" i="3" l="1"/>
  <c r="K9" i="3" a="1"/>
  <c r="K9" i="3" l="1"/>
  <c r="J9" i="3" a="1"/>
  <c r="J9" i="3" l="1"/>
  <c r="I9" i="3" a="1"/>
  <c r="I9" i="3" l="1"/>
  <c r="H9" i="3" a="1"/>
  <c r="H9" i="3" l="1"/>
  <c r="G9" i="3" a="1"/>
  <c r="G9" i="3" l="1"/>
  <c r="F9" i="3" a="1"/>
  <c r="F9" i="3" l="1"/>
  <c r="E9" i="3" a="1"/>
  <c r="E9" i="3" l="1"/>
  <c r="D9" i="3" a="1"/>
  <c r="D9" i="3" l="1"/>
  <c r="AG8" i="3" a="1"/>
  <c r="AG8" i="3" l="1"/>
  <c r="AF8" i="3" a="1"/>
  <c r="AF8" i="3" l="1"/>
  <c r="AE8" i="3" a="1"/>
  <c r="AE8" i="3" l="1"/>
  <c r="AD8" i="3" a="1"/>
  <c r="AD8" i="3" l="1"/>
  <c r="AC8" i="3" a="1"/>
  <c r="AC8" i="3" l="1"/>
  <c r="AB8" i="3" a="1"/>
  <c r="AB8" i="3" l="1"/>
  <c r="AA8" i="3" a="1"/>
  <c r="AA8" i="3" l="1"/>
  <c r="Z8" i="3" a="1"/>
  <c r="Z8" i="3" l="1"/>
  <c r="Y8" i="3" a="1"/>
  <c r="Y8" i="3" l="1"/>
  <c r="X8" i="3" a="1"/>
  <c r="X8" i="3" l="1"/>
  <c r="W8" i="3" a="1"/>
  <c r="W8" i="3" l="1"/>
  <c r="V8" i="3" a="1"/>
  <c r="V8" i="3" l="1"/>
  <c r="U8" i="3" a="1"/>
  <c r="U8" i="3" l="1"/>
  <c r="T8" i="3" a="1"/>
  <c r="T8" i="3" l="1"/>
  <c r="S8" i="3" a="1"/>
  <c r="S8" i="3" l="1"/>
  <c r="R8" i="3" a="1"/>
  <c r="R8" i="3" l="1"/>
  <c r="Q8" i="3" a="1"/>
  <c r="Q8" i="3" l="1"/>
  <c r="P8" i="3" a="1"/>
  <c r="P8" i="3" l="1"/>
  <c r="O8" i="3" a="1"/>
  <c r="O8" i="3" l="1"/>
  <c r="N8" i="3" a="1"/>
  <c r="N8" i="3" l="1"/>
  <c r="M8" i="3" a="1"/>
  <c r="M8" i="3" l="1"/>
  <c r="L8" i="3" a="1"/>
  <c r="L8" i="3" l="1"/>
  <c r="K8" i="3" a="1"/>
  <c r="K8" i="3" l="1"/>
  <c r="J8" i="3" a="1"/>
  <c r="J8" i="3" l="1"/>
  <c r="I8" i="3" a="1"/>
  <c r="I8" i="3" l="1"/>
  <c r="H8" i="3" a="1"/>
  <c r="H8" i="3" l="1"/>
  <c r="G8" i="3" a="1"/>
  <c r="G8" i="3" l="1"/>
  <c r="F8" i="3" a="1"/>
  <c r="F8" i="3" l="1"/>
  <c r="E8" i="3" a="1"/>
  <c r="E8" i="3" l="1"/>
  <c r="D8" i="3" a="1"/>
  <c r="D8" i="3" l="1"/>
  <c r="AG7" i="3" a="1"/>
  <c r="AG7" i="3" l="1"/>
  <c r="AF7" i="3" a="1"/>
  <c r="AF7" i="3" l="1"/>
  <c r="AE7" i="3" a="1"/>
  <c r="AE7" i="3" l="1"/>
  <c r="AD7" i="3" a="1"/>
  <c r="AD7" i="3" l="1"/>
  <c r="AC7" i="3" a="1"/>
  <c r="AC7" i="3" l="1"/>
  <c r="AB7" i="3" a="1"/>
  <c r="AB7" i="3" l="1"/>
  <c r="AA7" i="3" a="1"/>
  <c r="AA7" i="3" l="1"/>
  <c r="Z7" i="3" a="1"/>
  <c r="Z7" i="3" l="1"/>
  <c r="Y7" i="3" a="1"/>
  <c r="Y7" i="3" l="1"/>
  <c r="X7" i="3" a="1"/>
  <c r="X7" i="3" l="1"/>
  <c r="W7" i="3" a="1"/>
  <c r="W7" i="3" l="1"/>
  <c r="V7" i="3" a="1"/>
  <c r="V7" i="3" l="1"/>
  <c r="U7" i="3" a="1"/>
  <c r="U7" i="3" l="1"/>
  <c r="T7" i="3" a="1"/>
  <c r="T7" i="3" l="1"/>
  <c r="S7" i="3" a="1"/>
  <c r="S7" i="3" l="1"/>
  <c r="R7" i="3" a="1"/>
  <c r="R7" i="3" l="1"/>
  <c r="Q7" i="3" a="1"/>
  <c r="Q7" i="3" l="1"/>
  <c r="P7" i="3" a="1"/>
  <c r="P7" i="3" l="1"/>
  <c r="O7" i="3" a="1"/>
  <c r="O7" i="3" l="1"/>
  <c r="N7" i="3" a="1"/>
  <c r="N7" i="3" l="1"/>
  <c r="M7" i="3" a="1"/>
  <c r="M7" i="3" l="1"/>
  <c r="L7" i="3" a="1"/>
  <c r="L7" i="3" l="1"/>
  <c r="K7" i="3" a="1"/>
  <c r="K7" i="3" l="1"/>
  <c r="J7" i="3" a="1"/>
  <c r="J7" i="3" l="1"/>
  <c r="I7" i="3" a="1"/>
  <c r="I7" i="3" l="1"/>
  <c r="H7" i="3" a="1"/>
  <c r="H7" i="3" l="1"/>
  <c r="G7" i="3" a="1"/>
  <c r="G7" i="3" l="1"/>
  <c r="F7" i="3" a="1"/>
  <c r="F7" i="3" l="1"/>
  <c r="E7" i="3" a="1"/>
  <c r="E7" i="3" l="1"/>
  <c r="D7" i="3" a="1"/>
  <c r="D7" i="3" l="1"/>
  <c r="AG6" i="3" a="1"/>
  <c r="AG6" i="3" l="1"/>
  <c r="AF6" i="3" a="1"/>
  <c r="AF6" i="3" l="1"/>
  <c r="AE6" i="3" a="1"/>
  <c r="AE6" i="3" l="1"/>
  <c r="AD6" i="3" a="1"/>
  <c r="AD6" i="3" l="1"/>
  <c r="AC6" i="3" a="1"/>
  <c r="AC6" i="3" l="1"/>
  <c r="AB6" i="3" a="1"/>
  <c r="AB6" i="3" l="1"/>
  <c r="AA6" i="3" a="1"/>
  <c r="AA6" i="3" l="1"/>
  <c r="Z6" i="3" a="1"/>
  <c r="Z6" i="3" l="1"/>
  <c r="Y6" i="3" a="1"/>
  <c r="Y6" i="3" l="1"/>
  <c r="X6" i="3" a="1"/>
  <c r="X6" i="3" l="1"/>
  <c r="W6" i="3" a="1"/>
  <c r="W6" i="3" l="1"/>
  <c r="V6" i="3" a="1"/>
  <c r="V6" i="3" l="1"/>
  <c r="U6" i="3" a="1"/>
  <c r="U6" i="3" l="1"/>
  <c r="T6" i="3" a="1"/>
  <c r="T6" i="3" l="1"/>
  <c r="S6" i="3" a="1"/>
  <c r="S6" i="3" l="1"/>
  <c r="R6" i="3" a="1"/>
  <c r="R6" i="3" l="1"/>
  <c r="Q6" i="3" a="1"/>
  <c r="Q6" i="3" l="1"/>
  <c r="P6" i="3" a="1"/>
  <c r="P6" i="3" l="1"/>
  <c r="O6" i="3" a="1"/>
  <c r="O6" i="3" l="1"/>
  <c r="N6" i="3" a="1"/>
  <c r="N6" i="3" l="1"/>
  <c r="M6" i="3" a="1"/>
  <c r="M6" i="3" l="1"/>
  <c r="L6" i="3" a="1"/>
  <c r="L6" i="3" l="1"/>
  <c r="K6" i="3" a="1"/>
  <c r="K6" i="3" l="1"/>
  <c r="J6" i="3" a="1"/>
  <c r="J6" i="3" l="1"/>
  <c r="I6" i="3" a="1"/>
  <c r="I6" i="3" l="1"/>
  <c r="H6" i="3" a="1"/>
  <c r="H6" i="3" l="1"/>
  <c r="G6" i="3" a="1"/>
  <c r="G6" i="3" l="1"/>
  <c r="F6" i="3" a="1"/>
  <c r="F6" i="3" l="1"/>
  <c r="E6" i="3" a="1"/>
  <c r="E6" i="3" l="1"/>
  <c r="D6" i="3" a="1"/>
  <c r="D6" i="3" l="1"/>
  <c r="AG5" i="3" a="1"/>
  <c r="AG5" i="3" l="1"/>
  <c r="AF5" i="3" a="1"/>
  <c r="AF5" i="3" l="1"/>
  <c r="AE5" i="3" a="1"/>
  <c r="AE5" i="3" l="1"/>
  <c r="AD5" i="3" a="1"/>
  <c r="AD5" i="3" l="1"/>
  <c r="AC5" i="3" a="1"/>
  <c r="AC5" i="3" l="1"/>
  <c r="AB5" i="3" a="1"/>
  <c r="AB5" i="3" l="1"/>
  <c r="AA5" i="3" a="1"/>
  <c r="AA5" i="3" l="1"/>
  <c r="Z5" i="3" a="1"/>
  <c r="Z5" i="3" l="1"/>
  <c r="Y5" i="3" a="1"/>
  <c r="Y5" i="3" l="1"/>
  <c r="X5" i="3" a="1"/>
  <c r="X5" i="3" l="1"/>
  <c r="W5" i="3" a="1"/>
  <c r="W5" i="3" l="1"/>
  <c r="V5" i="3" a="1"/>
  <c r="V5" i="3" l="1"/>
  <c r="U5" i="3" a="1"/>
  <c r="U5" i="3" l="1"/>
  <c r="T5" i="3" a="1"/>
  <c r="T5" i="3" l="1"/>
  <c r="S5" i="3" a="1"/>
  <c r="S5" i="3" l="1"/>
  <c r="R5" i="3" a="1"/>
  <c r="R5" i="3" l="1"/>
  <c r="Q5" i="3" a="1"/>
  <c r="Q5" i="3" l="1"/>
  <c r="P5" i="3" a="1"/>
  <c r="P5" i="3" l="1"/>
  <c r="O5" i="3" a="1"/>
  <c r="O5" i="3" l="1"/>
  <c r="N5" i="3" a="1"/>
  <c r="N5" i="3" l="1"/>
  <c r="M5" i="3" a="1"/>
  <c r="M5" i="3" l="1"/>
  <c r="L5" i="3" a="1"/>
  <c r="L5" i="3" l="1"/>
  <c r="K5" i="3" a="1"/>
  <c r="K5" i="3" l="1"/>
  <c r="J5" i="3" a="1"/>
  <c r="J5" i="3" l="1"/>
  <c r="I5" i="3" a="1"/>
  <c r="I5" i="3" l="1"/>
  <c r="H5" i="3" a="1"/>
  <c r="H5" i="3" l="1"/>
  <c r="G5" i="3" a="1"/>
  <c r="G5" i="3" l="1"/>
  <c r="F5" i="3" a="1"/>
  <c r="F5" i="3" l="1"/>
  <c r="E5" i="3" a="1"/>
  <c r="E5" i="3" l="1"/>
  <c r="D5" i="3" a="1"/>
  <c r="D5" i="3" l="1"/>
  <c r="AG4" i="3" a="1"/>
  <c r="AG4" i="3" l="1"/>
  <c r="AF4" i="3" a="1"/>
  <c r="AF4" i="3" l="1"/>
  <c r="AE4" i="3" a="1"/>
  <c r="AE4" i="3" l="1"/>
  <c r="AD4" i="3" a="1"/>
  <c r="AD4" i="3" l="1"/>
  <c r="AC4" i="3" a="1"/>
  <c r="AC4" i="3" l="1"/>
  <c r="AB4" i="3" a="1"/>
  <c r="AB4" i="3" l="1"/>
  <c r="AA4" i="3" a="1"/>
  <c r="AA4" i="3" l="1"/>
  <c r="Z4" i="3" a="1"/>
  <c r="Z4" i="3" l="1"/>
  <c r="Y4" i="3" a="1"/>
  <c r="Y4" i="3" l="1"/>
  <c r="X4" i="3" a="1"/>
  <c r="X4" i="3" l="1"/>
  <c r="W4" i="3" a="1"/>
  <c r="W4" i="3" l="1"/>
  <c r="V4" i="3" a="1"/>
  <c r="V4" i="3" l="1"/>
  <c r="U4" i="3" a="1"/>
  <c r="U4" i="3" l="1"/>
  <c r="T4" i="3" a="1"/>
  <c r="T4" i="3" l="1"/>
  <c r="S4" i="3" a="1"/>
  <c r="S4" i="3" l="1"/>
  <c r="R4" i="3" a="1"/>
  <c r="R4" i="3" l="1"/>
  <c r="Q4" i="3" a="1"/>
  <c r="Q4" i="3" l="1"/>
  <c r="P4" i="3" a="1"/>
  <c r="P4" i="3" l="1"/>
  <c r="O4" i="3" a="1"/>
  <c r="O4" i="3" l="1"/>
  <c r="N4" i="3" a="1"/>
  <c r="N4" i="3" l="1"/>
  <c r="M4" i="3" a="1"/>
  <c r="M4" i="3" l="1"/>
  <c r="L4" i="3" a="1"/>
  <c r="L4" i="3" l="1"/>
  <c r="K4" i="3" a="1"/>
  <c r="K4" i="3" l="1"/>
  <c r="J4" i="3" a="1"/>
  <c r="J4" i="3" l="1"/>
  <c r="I4" i="3" a="1"/>
  <c r="I4" i="3" l="1"/>
  <c r="H4" i="3" a="1"/>
  <c r="H4" i="3" l="1"/>
  <c r="G4" i="3" a="1"/>
  <c r="G4" i="3" l="1"/>
  <c r="F4" i="3" a="1"/>
  <c r="F4" i="3" l="1"/>
  <c r="E4" i="3" a="1"/>
  <c r="E4" i="3" l="1"/>
  <c r="D4" i="3" a="1"/>
  <c r="D4" i="3" l="1"/>
  <c r="AT91" i="5"/>
  <c r="AS91" i="5"/>
  <c r="AR91" i="5"/>
  <c r="AQ91" i="5"/>
  <c r="AO91" i="5"/>
  <c r="AN91" i="5"/>
  <c r="AM91" i="5"/>
  <c r="AL91" i="5"/>
  <c r="V91" i="5"/>
  <c r="U91" i="5"/>
  <c r="T91" i="5"/>
  <c r="S91" i="5"/>
  <c r="Q91" i="5"/>
  <c r="P91" i="5"/>
  <c r="O91" i="5"/>
  <c r="N91" i="5"/>
  <c r="D26" i="4"/>
  <c r="C26" i="4"/>
  <c r="F6" i="4"/>
  <c r="F17" i="4"/>
  <c r="F13" i="4"/>
  <c r="F25" i="4"/>
  <c r="F21" i="4"/>
  <c r="F2" i="4"/>
  <c r="F14" i="4"/>
  <c r="F20" i="4"/>
  <c r="F24" i="4"/>
  <c r="F22" i="4"/>
  <c r="F4" i="4"/>
  <c r="F16" i="4"/>
  <c r="F11" i="4"/>
  <c r="F5" i="4"/>
  <c r="F7" i="4"/>
  <c r="F23" i="4"/>
  <c r="F19" i="4"/>
  <c r="F18" i="4"/>
  <c r="F8" i="4"/>
  <c r="F10" i="4"/>
  <c r="F3" i="4"/>
  <c r="F12" i="4"/>
  <c r="F9" i="4"/>
  <c r="F15" i="4"/>
  <c r="T3" i="5" l="1"/>
  <c r="S3" i="5"/>
  <c r="R3" i="5"/>
  <c r="U3" i="5"/>
  <c r="V3" i="5"/>
  <c r="M3" i="5"/>
  <c r="Q3" i="5"/>
  <c r="P3" i="5"/>
  <c r="N3" i="5"/>
  <c r="O3" i="5"/>
  <c r="AK91" i="5"/>
  <c r="AP91" i="5"/>
  <c r="AQ81" i="5"/>
  <c r="AS81" i="5"/>
  <c r="AR81" i="5"/>
  <c r="AP81" i="5"/>
  <c r="AT81" i="5"/>
  <c r="M91" i="5"/>
  <c r="AK81" i="5"/>
  <c r="AO81" i="5"/>
  <c r="AM81" i="5"/>
  <c r="AL81" i="5"/>
  <c r="AN81" i="5"/>
  <c r="R91" i="5"/>
  <c r="AO51" i="5" l="1"/>
  <c r="AM51" i="5"/>
  <c r="AL51" i="5"/>
  <c r="AK51" i="5"/>
  <c r="AN51" i="5"/>
  <c r="AP51" i="5"/>
  <c r="AT51" i="5"/>
  <c r="AS51" i="5"/>
  <c r="AR51" i="5"/>
  <c r="AQ51" i="5"/>
  <c r="P10" i="5"/>
  <c r="O10" i="5"/>
  <c r="N10" i="5"/>
  <c r="M10" i="5"/>
  <c r="Q10" i="5"/>
  <c r="V10" i="5"/>
  <c r="U10" i="5"/>
  <c r="T10" i="5"/>
  <c r="S10" i="5"/>
  <c r="R10" i="5"/>
  <c r="N16" i="5"/>
  <c r="P16" i="5"/>
  <c r="O16" i="5"/>
  <c r="M16" i="5"/>
  <c r="Q16" i="5"/>
  <c r="U16" i="5"/>
  <c r="R16" i="5"/>
  <c r="V16" i="5"/>
  <c r="T16" i="5"/>
  <c r="S16" i="5"/>
  <c r="AL46" i="5"/>
  <c r="AM46" i="5"/>
  <c r="AO46" i="5"/>
  <c r="AN46" i="5"/>
  <c r="AK46" i="5"/>
  <c r="AS46" i="5"/>
  <c r="AR46" i="5"/>
  <c r="AP46" i="5"/>
  <c r="AT46" i="5"/>
  <c r="AQ46" i="5"/>
  <c r="AO49" i="5"/>
  <c r="AM49" i="5"/>
  <c r="AL49" i="5"/>
  <c r="AN49" i="5"/>
  <c r="AK49" i="5"/>
  <c r="AP49" i="5"/>
  <c r="AT49" i="5"/>
  <c r="AS49" i="5"/>
  <c r="AR49" i="5"/>
  <c r="AQ49" i="5"/>
  <c r="N67" i="5"/>
  <c r="Q67" i="5"/>
  <c r="M67" i="5"/>
  <c r="O67" i="5"/>
  <c r="P67" i="5"/>
  <c r="U67" i="5"/>
  <c r="T67" i="5"/>
  <c r="R67" i="5"/>
  <c r="V67" i="5"/>
  <c r="S67" i="5"/>
  <c r="M35" i="5"/>
  <c r="P35" i="5"/>
  <c r="N35" i="5"/>
  <c r="Q35" i="5"/>
  <c r="O35" i="5"/>
  <c r="T35" i="5"/>
  <c r="S35" i="5"/>
  <c r="R35" i="5"/>
  <c r="U35" i="5"/>
  <c r="V35" i="5"/>
  <c r="N90" i="5"/>
  <c r="O90" i="5"/>
  <c r="M90" i="5"/>
  <c r="Q90" i="5"/>
  <c r="P90" i="5"/>
  <c r="U90" i="5"/>
  <c r="V90" i="5"/>
  <c r="T90" i="5"/>
  <c r="S90" i="5"/>
  <c r="R90" i="5"/>
  <c r="R58" i="5"/>
  <c r="V58" i="5"/>
  <c r="U58" i="5"/>
  <c r="S58" i="5"/>
  <c r="T58" i="5"/>
  <c r="P58" i="5"/>
  <c r="O58" i="5"/>
  <c r="N58" i="5"/>
  <c r="M58" i="5"/>
  <c r="Q58" i="5"/>
  <c r="N26" i="5"/>
  <c r="Q26" i="5"/>
  <c r="O26" i="5"/>
  <c r="P26" i="5"/>
  <c r="M26" i="5"/>
  <c r="U26" i="5"/>
  <c r="T26" i="5"/>
  <c r="R26" i="5"/>
  <c r="V26" i="5"/>
  <c r="S26" i="5"/>
  <c r="N73" i="5"/>
  <c r="Q73" i="5"/>
  <c r="O73" i="5"/>
  <c r="P73" i="5"/>
  <c r="M73" i="5"/>
  <c r="T73" i="5"/>
  <c r="V73" i="5"/>
  <c r="U73" i="5"/>
  <c r="R73" i="5"/>
  <c r="S73" i="5"/>
  <c r="M41" i="5"/>
  <c r="Q41" i="5"/>
  <c r="P41" i="5"/>
  <c r="N41" i="5"/>
  <c r="O41" i="5"/>
  <c r="T41" i="5"/>
  <c r="S41" i="5"/>
  <c r="R41" i="5"/>
  <c r="U41" i="5"/>
  <c r="V41" i="5"/>
  <c r="S9" i="5"/>
  <c r="R9" i="5"/>
  <c r="V9" i="5"/>
  <c r="U9" i="5"/>
  <c r="T9" i="5"/>
  <c r="M9" i="5"/>
  <c r="Q9" i="5"/>
  <c r="P9" i="5"/>
  <c r="O9" i="5"/>
  <c r="N9" i="5"/>
  <c r="N64" i="5"/>
  <c r="Q64" i="5"/>
  <c r="P64" i="5"/>
  <c r="M64" i="5"/>
  <c r="O64" i="5"/>
  <c r="R64" i="5"/>
  <c r="U64" i="5"/>
  <c r="V64" i="5"/>
  <c r="T64" i="5"/>
  <c r="S64" i="5"/>
  <c r="N32" i="5"/>
  <c r="Q32" i="5"/>
  <c r="O32" i="5"/>
  <c r="P32" i="5"/>
  <c r="M32" i="5"/>
  <c r="U32" i="5"/>
  <c r="T32" i="5"/>
  <c r="R32" i="5"/>
  <c r="V32" i="5"/>
  <c r="S32" i="5"/>
  <c r="AQ79" i="5"/>
  <c r="AP79" i="5"/>
  <c r="AT79" i="5"/>
  <c r="AR79" i="5"/>
  <c r="AS79" i="5"/>
  <c r="AK79" i="5"/>
  <c r="AO79" i="5"/>
  <c r="AN79" i="5"/>
  <c r="AM79" i="5"/>
  <c r="AL79" i="5"/>
  <c r="AQ29" i="5"/>
  <c r="AT29" i="5"/>
  <c r="AR29" i="5"/>
  <c r="AS29" i="5"/>
  <c r="AP29" i="5"/>
  <c r="AK29" i="5"/>
  <c r="AO29" i="5"/>
  <c r="AN29" i="5"/>
  <c r="AM29" i="5"/>
  <c r="AL29" i="5"/>
  <c r="AK73" i="5"/>
  <c r="AM73" i="5"/>
  <c r="AO73" i="5"/>
  <c r="AN73" i="5"/>
  <c r="AL73" i="5"/>
  <c r="AR73" i="5"/>
  <c r="AQ73" i="5"/>
  <c r="AT73" i="5"/>
  <c r="AS73" i="5"/>
  <c r="AP73" i="5"/>
  <c r="AT39" i="5"/>
  <c r="AS39" i="5"/>
  <c r="AQ39" i="5"/>
  <c r="AP39" i="5"/>
  <c r="AR39" i="5"/>
  <c r="AM39" i="5"/>
  <c r="AL39" i="5"/>
  <c r="AK39" i="5"/>
  <c r="AN39" i="5"/>
  <c r="AO39" i="5"/>
  <c r="AL5" i="5"/>
  <c r="AO5" i="5"/>
  <c r="AM5" i="5"/>
  <c r="AN5" i="5"/>
  <c r="AK5" i="5"/>
  <c r="AS5" i="5"/>
  <c r="AR5" i="5"/>
  <c r="AP5" i="5"/>
  <c r="AT5" i="5"/>
  <c r="AQ5" i="5"/>
  <c r="AN30" i="5"/>
  <c r="AM30" i="5"/>
  <c r="AK30" i="5"/>
  <c r="AO30" i="5"/>
  <c r="AL30" i="5"/>
  <c r="AT30" i="5"/>
  <c r="AR30" i="5"/>
  <c r="AQ30" i="5"/>
  <c r="AS30" i="5"/>
  <c r="AP30" i="5"/>
  <c r="AQ62" i="5"/>
  <c r="AP62" i="5"/>
  <c r="AT62" i="5"/>
  <c r="AR62" i="5"/>
  <c r="AS62" i="5"/>
  <c r="AK62" i="5"/>
  <c r="AN62" i="5"/>
  <c r="AM62" i="5"/>
  <c r="AL62" i="5"/>
  <c r="AO62" i="5"/>
  <c r="AL3" i="5"/>
  <c r="AO3" i="5"/>
  <c r="AM3" i="5"/>
  <c r="AN3" i="5"/>
  <c r="AK3" i="5"/>
  <c r="AS3" i="5"/>
  <c r="AR3" i="5"/>
  <c r="AP3" i="5"/>
  <c r="AT3" i="5"/>
  <c r="AQ3" i="5"/>
  <c r="AN16" i="5"/>
  <c r="AK16" i="5"/>
  <c r="AM16" i="5"/>
  <c r="AL16" i="5"/>
  <c r="AO16" i="5"/>
  <c r="AQ16" i="5"/>
  <c r="AT16" i="5"/>
  <c r="AS16" i="5"/>
  <c r="AR16" i="5"/>
  <c r="AP16" i="5"/>
  <c r="AL48" i="5"/>
  <c r="AO48" i="5"/>
  <c r="AM48" i="5"/>
  <c r="AK48" i="5"/>
  <c r="AN48" i="5"/>
  <c r="AS48" i="5"/>
  <c r="AR48" i="5"/>
  <c r="AP48" i="5"/>
  <c r="AT48" i="5"/>
  <c r="AQ48" i="5"/>
  <c r="AQ80" i="5"/>
  <c r="AP80" i="5"/>
  <c r="AS80" i="5"/>
  <c r="AR80" i="5"/>
  <c r="AT80" i="5"/>
  <c r="AN80" i="5"/>
  <c r="AO80" i="5"/>
  <c r="AM80" i="5"/>
  <c r="AL80" i="5"/>
  <c r="AK80" i="5"/>
  <c r="U78" i="5"/>
  <c r="S78" i="5"/>
  <c r="R78" i="5"/>
  <c r="V78" i="5"/>
  <c r="T78" i="5"/>
  <c r="N78" i="5"/>
  <c r="Q78" i="5"/>
  <c r="P78" i="5"/>
  <c r="O78" i="5"/>
  <c r="M78" i="5"/>
  <c r="Q29" i="5"/>
  <c r="O29" i="5"/>
  <c r="N29" i="5"/>
  <c r="P29" i="5"/>
  <c r="M29" i="5"/>
  <c r="R29" i="5"/>
  <c r="V29" i="5"/>
  <c r="U29" i="5"/>
  <c r="T29" i="5"/>
  <c r="S29" i="5"/>
  <c r="P51" i="5"/>
  <c r="O51" i="5"/>
  <c r="M51" i="5"/>
  <c r="Q51" i="5"/>
  <c r="N51" i="5"/>
  <c r="V51" i="5"/>
  <c r="T51" i="5"/>
  <c r="S51" i="5"/>
  <c r="R51" i="5"/>
  <c r="U51" i="5"/>
  <c r="S42" i="5"/>
  <c r="T42" i="5"/>
  <c r="U42" i="5"/>
  <c r="V42" i="5"/>
  <c r="R42" i="5"/>
  <c r="M42" i="5"/>
  <c r="P42" i="5"/>
  <c r="Q42" i="5"/>
  <c r="O42" i="5"/>
  <c r="N42" i="5"/>
  <c r="N80" i="5"/>
  <c r="O80" i="5"/>
  <c r="M80" i="5"/>
  <c r="Q80" i="5"/>
  <c r="P80" i="5"/>
  <c r="U80" i="5"/>
  <c r="V80" i="5"/>
  <c r="T80" i="5"/>
  <c r="S80" i="5"/>
  <c r="R80" i="5"/>
  <c r="AL9" i="5"/>
  <c r="AK9" i="5"/>
  <c r="AO9" i="5"/>
  <c r="AN9" i="5"/>
  <c r="AM9" i="5"/>
  <c r="AS9" i="5"/>
  <c r="AR9" i="5"/>
  <c r="AQ9" i="5"/>
  <c r="AP9" i="5"/>
  <c r="AT9" i="5"/>
  <c r="AK64" i="5"/>
  <c r="AN64" i="5"/>
  <c r="AO64" i="5"/>
  <c r="AM64" i="5"/>
  <c r="AL64" i="5"/>
  <c r="AQ64" i="5"/>
  <c r="AT64" i="5"/>
  <c r="AS64" i="5"/>
  <c r="AR64" i="5"/>
  <c r="AP64" i="5"/>
  <c r="U63" i="5"/>
  <c r="R63" i="5"/>
  <c r="V63" i="5"/>
  <c r="S63" i="5"/>
  <c r="T63" i="5"/>
  <c r="N63" i="5"/>
  <c r="Q63" i="5"/>
  <c r="O63" i="5"/>
  <c r="M63" i="5"/>
  <c r="P63" i="5"/>
  <c r="Q31" i="5"/>
  <c r="O31" i="5"/>
  <c r="N31" i="5"/>
  <c r="P31" i="5"/>
  <c r="M31" i="5"/>
  <c r="R31" i="5"/>
  <c r="V31" i="5"/>
  <c r="U31" i="5"/>
  <c r="T31" i="5"/>
  <c r="S31" i="5"/>
  <c r="N86" i="5"/>
  <c r="Q86" i="5"/>
  <c r="P86" i="5"/>
  <c r="O86" i="5"/>
  <c r="M86" i="5"/>
  <c r="U86" i="5"/>
  <c r="V86" i="5"/>
  <c r="T86" i="5"/>
  <c r="S86" i="5"/>
  <c r="R86" i="5"/>
  <c r="P54" i="5"/>
  <c r="M54" i="5"/>
  <c r="Q54" i="5"/>
  <c r="N54" i="5"/>
  <c r="O54" i="5"/>
  <c r="R54" i="5"/>
  <c r="S54" i="5"/>
  <c r="V54" i="5"/>
  <c r="T54" i="5"/>
  <c r="U54" i="5"/>
  <c r="N22" i="5"/>
  <c r="Q22" i="5"/>
  <c r="M22" i="5"/>
  <c r="P22" i="5"/>
  <c r="O22" i="5"/>
  <c r="U22" i="5"/>
  <c r="T22" i="5"/>
  <c r="R22" i="5"/>
  <c r="V22" i="5"/>
  <c r="S22" i="5"/>
  <c r="N69" i="5"/>
  <c r="Q69" i="5"/>
  <c r="O69" i="5"/>
  <c r="M69" i="5"/>
  <c r="P69" i="5"/>
  <c r="U69" i="5"/>
  <c r="T69" i="5"/>
  <c r="R69" i="5"/>
  <c r="V69" i="5"/>
  <c r="S69" i="5"/>
  <c r="M37" i="5"/>
  <c r="Q37" i="5"/>
  <c r="P37" i="5"/>
  <c r="N37" i="5"/>
  <c r="O37" i="5"/>
  <c r="T37" i="5"/>
  <c r="S37" i="5"/>
  <c r="R37" i="5"/>
  <c r="U37" i="5"/>
  <c r="V37" i="5"/>
  <c r="S5" i="5"/>
  <c r="V5" i="5"/>
  <c r="T5" i="5"/>
  <c r="R5" i="5"/>
  <c r="U5" i="5"/>
  <c r="M5" i="5"/>
  <c r="Q5" i="5"/>
  <c r="P5" i="5"/>
  <c r="O5" i="5"/>
  <c r="N5" i="5"/>
  <c r="R60" i="5"/>
  <c r="V60" i="5"/>
  <c r="U60" i="5"/>
  <c r="S60" i="5"/>
  <c r="T60" i="5"/>
  <c r="P60" i="5"/>
  <c r="O60" i="5"/>
  <c r="N60" i="5"/>
  <c r="M60" i="5"/>
  <c r="Q60" i="5"/>
  <c r="N28" i="5"/>
  <c r="Q28" i="5"/>
  <c r="O28" i="5"/>
  <c r="P28" i="5"/>
  <c r="M28" i="5"/>
  <c r="U28" i="5"/>
  <c r="T28" i="5"/>
  <c r="R28" i="5"/>
  <c r="V28" i="5"/>
  <c r="S28" i="5"/>
  <c r="AN63" i="5"/>
  <c r="AK63" i="5"/>
  <c r="AO63" i="5"/>
  <c r="AL63" i="5"/>
  <c r="AM63" i="5"/>
  <c r="AQ63" i="5"/>
  <c r="AP63" i="5"/>
  <c r="AT63" i="5"/>
  <c r="AS63" i="5"/>
  <c r="AR63" i="5"/>
  <c r="AQ13" i="5"/>
  <c r="AP13" i="5"/>
  <c r="AT13" i="5"/>
  <c r="AS13" i="5"/>
  <c r="AR13" i="5"/>
  <c r="AK13" i="5"/>
  <c r="AN13" i="5"/>
  <c r="AO13" i="5"/>
  <c r="AM13" i="5"/>
  <c r="AL13" i="5"/>
  <c r="AO57" i="5"/>
  <c r="AN57" i="5"/>
  <c r="AL57" i="5"/>
  <c r="AM57" i="5"/>
  <c r="AK57" i="5"/>
  <c r="AS57" i="5"/>
  <c r="AR57" i="5"/>
  <c r="AP57" i="5"/>
  <c r="AQ57" i="5"/>
  <c r="AT57" i="5"/>
  <c r="AQ23" i="5"/>
  <c r="AT23" i="5"/>
  <c r="AR23" i="5"/>
  <c r="AS23" i="5"/>
  <c r="AP23" i="5"/>
  <c r="AK23" i="5"/>
  <c r="AO23" i="5"/>
  <c r="AN23" i="5"/>
  <c r="AM23" i="5"/>
  <c r="AL23" i="5"/>
  <c r="AK83" i="5"/>
  <c r="AN83" i="5"/>
  <c r="AM83" i="5"/>
  <c r="AL83" i="5"/>
  <c r="AO83" i="5"/>
  <c r="AQ83" i="5"/>
  <c r="AT83" i="5"/>
  <c r="AS83" i="5"/>
  <c r="AR83" i="5"/>
  <c r="AP83" i="5"/>
  <c r="AP34" i="5"/>
  <c r="AS34" i="5"/>
  <c r="AQ34" i="5"/>
  <c r="AT34" i="5"/>
  <c r="AR34" i="5"/>
  <c r="AN34" i="5"/>
  <c r="AL34" i="5"/>
  <c r="AK34" i="5"/>
  <c r="AO34" i="5"/>
  <c r="AM34" i="5"/>
  <c r="AQ66" i="5"/>
  <c r="AT66" i="5"/>
  <c r="AS66" i="5"/>
  <c r="AP66" i="5"/>
  <c r="AR66" i="5"/>
  <c r="AK66" i="5"/>
  <c r="AN66" i="5"/>
  <c r="AM66" i="5"/>
  <c r="AO66" i="5"/>
  <c r="AL66" i="5"/>
  <c r="AN20" i="5"/>
  <c r="AK20" i="5"/>
  <c r="AO20" i="5"/>
  <c r="AM20" i="5"/>
  <c r="AL20" i="5"/>
  <c r="AT20" i="5"/>
  <c r="AR20" i="5"/>
  <c r="AQ20" i="5"/>
  <c r="AS20" i="5"/>
  <c r="AP20" i="5"/>
  <c r="AK52" i="5"/>
  <c r="AL52" i="5"/>
  <c r="AM52" i="5"/>
  <c r="AN52" i="5"/>
  <c r="AO52" i="5"/>
  <c r="AQ52" i="5"/>
  <c r="AP52" i="5"/>
  <c r="AS52" i="5"/>
  <c r="AT52" i="5"/>
  <c r="AR52" i="5"/>
  <c r="AN84" i="5"/>
  <c r="AO84" i="5"/>
  <c r="AM84" i="5"/>
  <c r="AL84" i="5"/>
  <c r="AK84" i="5"/>
  <c r="AP84" i="5"/>
  <c r="AT84" i="5"/>
  <c r="AS84" i="5"/>
  <c r="AR84" i="5"/>
  <c r="AQ84" i="5"/>
  <c r="R87" i="5"/>
  <c r="V87" i="5"/>
  <c r="U87" i="5"/>
  <c r="T87" i="5"/>
  <c r="S87" i="5"/>
  <c r="Q87" i="5"/>
  <c r="P87" i="5"/>
  <c r="O87" i="5"/>
  <c r="N87" i="5"/>
  <c r="M87" i="5"/>
  <c r="M46" i="5"/>
  <c r="P46" i="5"/>
  <c r="Q46" i="5"/>
  <c r="O46" i="5"/>
  <c r="N46" i="5"/>
  <c r="S46" i="5"/>
  <c r="T46" i="5"/>
  <c r="V46" i="5"/>
  <c r="U46" i="5"/>
  <c r="R46" i="5"/>
  <c r="N61" i="5"/>
  <c r="Q61" i="5"/>
  <c r="P61" i="5"/>
  <c r="O61" i="5"/>
  <c r="M61" i="5"/>
  <c r="U61" i="5"/>
  <c r="R61" i="5"/>
  <c r="T61" i="5"/>
  <c r="S61" i="5"/>
  <c r="V61" i="5"/>
  <c r="P52" i="5"/>
  <c r="M52" i="5"/>
  <c r="Q52" i="5"/>
  <c r="N52" i="5"/>
  <c r="O52" i="5"/>
  <c r="S52" i="5"/>
  <c r="V52" i="5"/>
  <c r="U52" i="5"/>
  <c r="R52" i="5"/>
  <c r="T52" i="5"/>
  <c r="AQ25" i="5"/>
  <c r="AT25" i="5"/>
  <c r="AR25" i="5"/>
  <c r="AP25" i="5"/>
  <c r="AS25" i="5"/>
  <c r="AK25" i="5"/>
  <c r="AO25" i="5"/>
  <c r="AN25" i="5"/>
  <c r="AM25" i="5"/>
  <c r="AL25" i="5"/>
  <c r="AN28" i="5"/>
  <c r="AM28" i="5"/>
  <c r="AK28" i="5"/>
  <c r="AO28" i="5"/>
  <c r="AL28" i="5"/>
  <c r="AT28" i="5"/>
  <c r="AR28" i="5"/>
  <c r="AQ28" i="5"/>
  <c r="AS28" i="5"/>
  <c r="AP28" i="5"/>
  <c r="R19" i="5"/>
  <c r="U19" i="5"/>
  <c r="V19" i="5"/>
  <c r="T19" i="5"/>
  <c r="S19" i="5"/>
  <c r="N19" i="5"/>
  <c r="M19" i="5"/>
  <c r="Q19" i="5"/>
  <c r="P19" i="5"/>
  <c r="O19" i="5"/>
  <c r="O74" i="5"/>
  <c r="N74" i="5"/>
  <c r="Q74" i="5"/>
  <c r="P74" i="5"/>
  <c r="M74" i="5"/>
  <c r="V74" i="5"/>
  <c r="U74" i="5"/>
  <c r="T74" i="5"/>
  <c r="R74" i="5"/>
  <c r="S74" i="5"/>
  <c r="V57" i="5"/>
  <c r="U57" i="5"/>
  <c r="S57" i="5"/>
  <c r="R57" i="5"/>
  <c r="T57" i="5"/>
  <c r="O57" i="5"/>
  <c r="N57" i="5"/>
  <c r="M57" i="5"/>
  <c r="P57" i="5"/>
  <c r="Q57" i="5"/>
  <c r="S48" i="5"/>
  <c r="V48" i="5"/>
  <c r="T48" i="5"/>
  <c r="U48" i="5"/>
  <c r="R48" i="5"/>
  <c r="M48" i="5"/>
  <c r="Q48" i="5"/>
  <c r="P48" i="5"/>
  <c r="O48" i="5"/>
  <c r="N48" i="5"/>
  <c r="AN69" i="5"/>
  <c r="AM69" i="5"/>
  <c r="AK69" i="5"/>
  <c r="AO69" i="5"/>
  <c r="AL69" i="5"/>
  <c r="AT69" i="5"/>
  <c r="AR69" i="5"/>
  <c r="AQ69" i="5"/>
  <c r="AS69" i="5"/>
  <c r="AP69" i="5"/>
  <c r="AP32" i="5"/>
  <c r="AS32" i="5"/>
  <c r="AQ32" i="5"/>
  <c r="AR32" i="5"/>
  <c r="AT32" i="5"/>
  <c r="AN32" i="5"/>
  <c r="AK32" i="5"/>
  <c r="AO32" i="5"/>
  <c r="AL32" i="5"/>
  <c r="AM32" i="5"/>
  <c r="V59" i="5"/>
  <c r="U59" i="5"/>
  <c r="S59" i="5"/>
  <c r="R59" i="5"/>
  <c r="T59" i="5"/>
  <c r="O59" i="5"/>
  <c r="N59" i="5"/>
  <c r="M59" i="5"/>
  <c r="P59" i="5"/>
  <c r="Q59" i="5"/>
  <c r="Q27" i="5"/>
  <c r="O27" i="5"/>
  <c r="N27" i="5"/>
  <c r="P27" i="5"/>
  <c r="M27" i="5"/>
  <c r="R27" i="5"/>
  <c r="V27" i="5"/>
  <c r="U27" i="5"/>
  <c r="T27" i="5"/>
  <c r="S27" i="5"/>
  <c r="N82" i="5"/>
  <c r="Q82" i="5"/>
  <c r="P82" i="5"/>
  <c r="O82" i="5"/>
  <c r="M82" i="5"/>
  <c r="U82" i="5"/>
  <c r="R82" i="5"/>
  <c r="V82" i="5"/>
  <c r="S82" i="5"/>
  <c r="T82" i="5"/>
  <c r="S50" i="5"/>
  <c r="V50" i="5"/>
  <c r="T50" i="5"/>
  <c r="U50" i="5"/>
  <c r="R50" i="5"/>
  <c r="M50" i="5"/>
  <c r="Q50" i="5"/>
  <c r="P50" i="5"/>
  <c r="O50" i="5"/>
  <c r="N50" i="5"/>
  <c r="N18" i="5"/>
  <c r="M18" i="5"/>
  <c r="Q18" i="5"/>
  <c r="P18" i="5"/>
  <c r="O18" i="5"/>
  <c r="U18" i="5"/>
  <c r="R18" i="5"/>
  <c r="V18" i="5"/>
  <c r="T18" i="5"/>
  <c r="S18" i="5"/>
  <c r="U65" i="5"/>
  <c r="R65" i="5"/>
  <c r="V65" i="5"/>
  <c r="T65" i="5"/>
  <c r="S65" i="5"/>
  <c r="N65" i="5"/>
  <c r="P65" i="5"/>
  <c r="O65" i="5"/>
  <c r="M65" i="5"/>
  <c r="Q65" i="5"/>
  <c r="M33" i="5"/>
  <c r="P33" i="5"/>
  <c r="N33" i="5"/>
  <c r="O33" i="5"/>
  <c r="Q33" i="5"/>
  <c r="S33" i="5"/>
  <c r="R33" i="5"/>
  <c r="U33" i="5"/>
  <c r="V33" i="5"/>
  <c r="T33" i="5"/>
  <c r="U88" i="5"/>
  <c r="S88" i="5"/>
  <c r="R88" i="5"/>
  <c r="V88" i="5"/>
  <c r="T88" i="5"/>
  <c r="N88" i="5"/>
  <c r="Q88" i="5"/>
  <c r="P88" i="5"/>
  <c r="O88" i="5"/>
  <c r="M88" i="5"/>
  <c r="P56" i="5"/>
  <c r="M56" i="5"/>
  <c r="N56" i="5"/>
  <c r="O56" i="5"/>
  <c r="Q56" i="5"/>
  <c r="R56" i="5"/>
  <c r="S56" i="5"/>
  <c r="U56" i="5"/>
  <c r="T56" i="5"/>
  <c r="V56" i="5"/>
  <c r="N24" i="5"/>
  <c r="Q24" i="5"/>
  <c r="O24" i="5"/>
  <c r="P24" i="5"/>
  <c r="M24" i="5"/>
  <c r="U24" i="5"/>
  <c r="T24" i="5"/>
  <c r="R24" i="5"/>
  <c r="V24" i="5"/>
  <c r="S24" i="5"/>
  <c r="AP47" i="5"/>
  <c r="AT47" i="5"/>
  <c r="AS47" i="5"/>
  <c r="AR47" i="5"/>
  <c r="AQ47" i="5"/>
  <c r="AO47" i="5"/>
  <c r="AM47" i="5"/>
  <c r="AL47" i="5"/>
  <c r="AN47" i="5"/>
  <c r="AK47" i="5"/>
  <c r="AK75" i="5"/>
  <c r="AO75" i="5"/>
  <c r="AM75" i="5"/>
  <c r="AN75" i="5"/>
  <c r="AL75" i="5"/>
  <c r="AR75" i="5"/>
  <c r="AQ75" i="5"/>
  <c r="AP75" i="5"/>
  <c r="AT75" i="5"/>
  <c r="AS75" i="5"/>
  <c r="AT41" i="5"/>
  <c r="AS41" i="5"/>
  <c r="AQ41" i="5"/>
  <c r="AP41" i="5"/>
  <c r="AR41" i="5"/>
  <c r="AM41" i="5"/>
  <c r="AL41" i="5"/>
  <c r="AK41" i="5"/>
  <c r="AN41" i="5"/>
  <c r="AO41" i="5"/>
  <c r="AL7" i="5"/>
  <c r="AK7" i="5"/>
  <c r="AO7" i="5"/>
  <c r="AN7" i="5"/>
  <c r="AM7" i="5"/>
  <c r="AS7" i="5"/>
  <c r="AR7" i="5"/>
  <c r="AQ7" i="5"/>
  <c r="AP7" i="5"/>
  <c r="AT7" i="5"/>
  <c r="AN67" i="5"/>
  <c r="AM67" i="5"/>
  <c r="AK67" i="5"/>
  <c r="AO67" i="5"/>
  <c r="AL67" i="5"/>
  <c r="AT67" i="5"/>
  <c r="AR67" i="5"/>
  <c r="AQ67" i="5"/>
  <c r="AP67" i="5"/>
  <c r="AS67" i="5"/>
  <c r="AO6" i="5"/>
  <c r="AM6" i="5"/>
  <c r="AL6" i="5"/>
  <c r="AN6" i="5"/>
  <c r="AK6" i="5"/>
  <c r="AP6" i="5"/>
  <c r="AT6" i="5"/>
  <c r="AS6" i="5"/>
  <c r="AR6" i="5"/>
  <c r="AQ6" i="5"/>
  <c r="AP38" i="5"/>
  <c r="AT38" i="5"/>
  <c r="AS38" i="5"/>
  <c r="AQ38" i="5"/>
  <c r="AR38" i="5"/>
  <c r="AN38" i="5"/>
  <c r="AM38" i="5"/>
  <c r="AL38" i="5"/>
  <c r="AK38" i="5"/>
  <c r="AO38" i="5"/>
  <c r="AQ70" i="5"/>
  <c r="AT70" i="5"/>
  <c r="AR70" i="5"/>
  <c r="AS70" i="5"/>
  <c r="AP70" i="5"/>
  <c r="AK70" i="5"/>
  <c r="AO70" i="5"/>
  <c r="AN70" i="5"/>
  <c r="AM70" i="5"/>
  <c r="AL70" i="5"/>
  <c r="AN24" i="5"/>
  <c r="AM24" i="5"/>
  <c r="AK24" i="5"/>
  <c r="AO24" i="5"/>
  <c r="AL24" i="5"/>
  <c r="AT24" i="5"/>
  <c r="AR24" i="5"/>
  <c r="AQ24" i="5"/>
  <c r="AS24" i="5"/>
  <c r="AP24" i="5"/>
  <c r="AK56" i="5"/>
  <c r="AL56" i="5"/>
  <c r="AO56" i="5"/>
  <c r="AM56" i="5"/>
  <c r="AN56" i="5"/>
  <c r="AR56" i="5"/>
  <c r="AQ56" i="5"/>
  <c r="AP56" i="5"/>
  <c r="AS56" i="5"/>
  <c r="AT56" i="5"/>
  <c r="AN88" i="5"/>
  <c r="AO88" i="5"/>
  <c r="AM88" i="5"/>
  <c r="AL88" i="5"/>
  <c r="AK88" i="5"/>
  <c r="AT88" i="5"/>
  <c r="AS88" i="5"/>
  <c r="AR88" i="5"/>
  <c r="AQ88" i="5"/>
  <c r="AP88" i="5"/>
  <c r="Q23" i="5"/>
  <c r="O23" i="5"/>
  <c r="N23" i="5"/>
  <c r="P23" i="5"/>
  <c r="M23" i="5"/>
  <c r="R23" i="5"/>
  <c r="V23" i="5"/>
  <c r="U23" i="5"/>
  <c r="T23" i="5"/>
  <c r="S23" i="5"/>
  <c r="U14" i="5"/>
  <c r="R14" i="5"/>
  <c r="V14" i="5"/>
  <c r="T14" i="5"/>
  <c r="S14" i="5"/>
  <c r="N14" i="5"/>
  <c r="Q14" i="5"/>
  <c r="P14" i="5"/>
  <c r="O14" i="5"/>
  <c r="M14" i="5"/>
  <c r="U84" i="5"/>
  <c r="T84" i="5"/>
  <c r="S84" i="5"/>
  <c r="R84" i="5"/>
  <c r="V84" i="5"/>
  <c r="N84" i="5"/>
  <c r="M84" i="5"/>
  <c r="Q84" i="5"/>
  <c r="P84" i="5"/>
  <c r="O84" i="5"/>
  <c r="U20" i="5"/>
  <c r="R20" i="5"/>
  <c r="V20" i="5"/>
  <c r="T20" i="5"/>
  <c r="S20" i="5"/>
  <c r="N20" i="5"/>
  <c r="M20" i="5"/>
  <c r="Q20" i="5"/>
  <c r="P20" i="5"/>
  <c r="O20" i="5"/>
  <c r="AQ31" i="5"/>
  <c r="AT31" i="5"/>
  <c r="AR31" i="5"/>
  <c r="AS31" i="5"/>
  <c r="AP31" i="5"/>
  <c r="AK31" i="5"/>
  <c r="AO31" i="5"/>
  <c r="AN31" i="5"/>
  <c r="AM31" i="5"/>
  <c r="AL31" i="5"/>
  <c r="AO59" i="5"/>
  <c r="AN59" i="5"/>
  <c r="AL59" i="5"/>
  <c r="AK59" i="5"/>
  <c r="AM59" i="5"/>
  <c r="AS59" i="5"/>
  <c r="AR59" i="5"/>
  <c r="AQ59" i="5"/>
  <c r="AP59" i="5"/>
  <c r="AT59" i="5"/>
  <c r="AQ85" i="5"/>
  <c r="AR85" i="5"/>
  <c r="AP85" i="5"/>
  <c r="AT85" i="5"/>
  <c r="AS85" i="5"/>
  <c r="AK85" i="5"/>
  <c r="AO85" i="5"/>
  <c r="AN85" i="5"/>
  <c r="AM85" i="5"/>
  <c r="AL85" i="5"/>
  <c r="AS42" i="5"/>
  <c r="AP42" i="5"/>
  <c r="AQ42" i="5"/>
  <c r="AR42" i="5"/>
  <c r="AT42" i="5"/>
  <c r="AL42" i="5"/>
  <c r="AN42" i="5"/>
  <c r="AM42" i="5"/>
  <c r="AK42" i="5"/>
  <c r="AO42" i="5"/>
  <c r="AO74" i="5"/>
  <c r="AN74" i="5"/>
  <c r="AM74" i="5"/>
  <c r="AL74" i="5"/>
  <c r="AK74" i="5"/>
  <c r="AT74" i="5"/>
  <c r="AR74" i="5"/>
  <c r="AS74" i="5"/>
  <c r="AP74" i="5"/>
  <c r="AQ74" i="5"/>
  <c r="AQ65" i="5"/>
  <c r="AS65" i="5"/>
  <c r="AR65" i="5"/>
  <c r="AT65" i="5"/>
  <c r="AP65" i="5"/>
  <c r="AN65" i="5"/>
  <c r="AK65" i="5"/>
  <c r="AM65" i="5"/>
  <c r="AL65" i="5"/>
  <c r="AO65" i="5"/>
  <c r="AK15" i="5"/>
  <c r="AN15" i="5"/>
  <c r="AO15" i="5"/>
  <c r="AM15" i="5"/>
  <c r="AL15" i="5"/>
  <c r="AQ15" i="5"/>
  <c r="AT15" i="5"/>
  <c r="AS15" i="5"/>
  <c r="AR15" i="5"/>
  <c r="AP15" i="5"/>
  <c r="AO10" i="5"/>
  <c r="AN10" i="5"/>
  <c r="AM10" i="5"/>
  <c r="AL10" i="5"/>
  <c r="AK10" i="5"/>
  <c r="AP10" i="5"/>
  <c r="AT10" i="5"/>
  <c r="AS10" i="5"/>
  <c r="AR10" i="5"/>
  <c r="AQ10" i="5"/>
  <c r="M79" i="5"/>
  <c r="Q79" i="5"/>
  <c r="O79" i="5"/>
  <c r="N79" i="5"/>
  <c r="P79" i="5"/>
  <c r="R79" i="5"/>
  <c r="U79" i="5"/>
  <c r="T79" i="5"/>
  <c r="S79" i="5"/>
  <c r="V79" i="5"/>
  <c r="P47" i="5"/>
  <c r="O47" i="5"/>
  <c r="M47" i="5"/>
  <c r="Q47" i="5"/>
  <c r="N47" i="5"/>
  <c r="V47" i="5"/>
  <c r="T47" i="5"/>
  <c r="S47" i="5"/>
  <c r="U47" i="5"/>
  <c r="R47" i="5"/>
  <c r="N15" i="5"/>
  <c r="Q15" i="5"/>
  <c r="P15" i="5"/>
  <c r="O15" i="5"/>
  <c r="M15" i="5"/>
  <c r="R15" i="5"/>
  <c r="U15" i="5"/>
  <c r="V15" i="5"/>
  <c r="T15" i="5"/>
  <c r="S15" i="5"/>
  <c r="Q70" i="5"/>
  <c r="O70" i="5"/>
  <c r="N70" i="5"/>
  <c r="P70" i="5"/>
  <c r="M70" i="5"/>
  <c r="R70" i="5"/>
  <c r="V70" i="5"/>
  <c r="U70" i="5"/>
  <c r="T70" i="5"/>
  <c r="S70" i="5"/>
  <c r="Q38" i="5"/>
  <c r="P38" i="5"/>
  <c r="N38" i="5"/>
  <c r="M38" i="5"/>
  <c r="O38" i="5"/>
  <c r="U38" i="5"/>
  <c r="T38" i="5"/>
  <c r="S38" i="5"/>
  <c r="R38" i="5"/>
  <c r="V38" i="5"/>
  <c r="P6" i="5"/>
  <c r="O6" i="5"/>
  <c r="M6" i="5"/>
  <c r="Q6" i="5"/>
  <c r="N6" i="5"/>
  <c r="V6" i="5"/>
  <c r="T6" i="5"/>
  <c r="S6" i="5"/>
  <c r="U6" i="5"/>
  <c r="R6" i="5"/>
  <c r="O85" i="5"/>
  <c r="N85" i="5"/>
  <c r="M85" i="5"/>
  <c r="Q85" i="5"/>
  <c r="P85" i="5"/>
  <c r="R85" i="5"/>
  <c r="V85" i="5"/>
  <c r="U85" i="5"/>
  <c r="T85" i="5"/>
  <c r="S85" i="5"/>
  <c r="N53" i="5"/>
  <c r="M53" i="5"/>
  <c r="P53" i="5"/>
  <c r="Q53" i="5"/>
  <c r="O53" i="5"/>
  <c r="U53" i="5"/>
  <c r="S53" i="5"/>
  <c r="R53" i="5"/>
  <c r="V53" i="5"/>
  <c r="T53" i="5"/>
  <c r="Q21" i="5"/>
  <c r="O21" i="5"/>
  <c r="N21" i="5"/>
  <c r="M21" i="5"/>
  <c r="P21" i="5"/>
  <c r="R21" i="5"/>
  <c r="V21" i="5"/>
  <c r="U21" i="5"/>
  <c r="T21" i="5"/>
  <c r="S21" i="5"/>
  <c r="N76" i="5"/>
  <c r="Q76" i="5"/>
  <c r="P76" i="5"/>
  <c r="O76" i="5"/>
  <c r="M76" i="5"/>
  <c r="U76" i="5"/>
  <c r="V76" i="5"/>
  <c r="T76" i="5"/>
  <c r="R76" i="5"/>
  <c r="S76" i="5"/>
  <c r="M44" i="5"/>
  <c r="P44" i="5"/>
  <c r="Q44" i="5"/>
  <c r="N44" i="5"/>
  <c r="O44" i="5"/>
  <c r="S44" i="5"/>
  <c r="R44" i="5"/>
  <c r="V44" i="5"/>
  <c r="U44" i="5"/>
  <c r="T44" i="5"/>
  <c r="P12" i="5"/>
  <c r="O12" i="5"/>
  <c r="N12" i="5"/>
  <c r="M12" i="5"/>
  <c r="Q12" i="5"/>
  <c r="V12" i="5"/>
  <c r="U12" i="5"/>
  <c r="T12" i="5"/>
  <c r="S12" i="5"/>
  <c r="R12" i="5"/>
  <c r="AK77" i="5"/>
  <c r="AM77" i="5"/>
  <c r="AL77" i="5"/>
  <c r="AO77" i="5"/>
  <c r="AN77" i="5"/>
  <c r="AQ77" i="5"/>
  <c r="AT77" i="5"/>
  <c r="AS77" i="5"/>
  <c r="AR77" i="5"/>
  <c r="AP77" i="5"/>
  <c r="AQ27" i="5"/>
  <c r="AT27" i="5"/>
  <c r="AR27" i="5"/>
  <c r="AS27" i="5"/>
  <c r="AP27" i="5"/>
  <c r="AK27" i="5"/>
  <c r="AO27" i="5"/>
  <c r="AN27" i="5"/>
  <c r="AM27" i="5"/>
  <c r="AL27" i="5"/>
  <c r="AK87" i="5"/>
  <c r="AM87" i="5"/>
  <c r="AL87" i="5"/>
  <c r="AO87" i="5"/>
  <c r="AN87" i="5"/>
  <c r="AQ87" i="5"/>
  <c r="AT87" i="5"/>
  <c r="AS87" i="5"/>
  <c r="AR87" i="5"/>
  <c r="AP87" i="5"/>
  <c r="AN53" i="5"/>
  <c r="AL53" i="5"/>
  <c r="AO53" i="5"/>
  <c r="AM53" i="5"/>
  <c r="AK53" i="5"/>
  <c r="AS53" i="5"/>
  <c r="AP53" i="5"/>
  <c r="AR53" i="5"/>
  <c r="AQ53" i="5"/>
  <c r="AT53" i="5"/>
  <c r="AQ19" i="5"/>
  <c r="AS19" i="5"/>
  <c r="AR19" i="5"/>
  <c r="AP19" i="5"/>
  <c r="AT19" i="5"/>
  <c r="AK19" i="5"/>
  <c r="AN19" i="5"/>
  <c r="AO19" i="5"/>
  <c r="AM19" i="5"/>
  <c r="AL19" i="5"/>
  <c r="AN18" i="5"/>
  <c r="AK18" i="5"/>
  <c r="AO18" i="5"/>
  <c r="AM18" i="5"/>
  <c r="AL18" i="5"/>
  <c r="AQ18" i="5"/>
  <c r="AT18" i="5"/>
  <c r="AS18" i="5"/>
  <c r="AR18" i="5"/>
  <c r="AP18" i="5"/>
  <c r="AL50" i="5"/>
  <c r="AO50" i="5"/>
  <c r="AM50" i="5"/>
  <c r="AN50" i="5"/>
  <c r="AK50" i="5"/>
  <c r="AS50" i="5"/>
  <c r="AR50" i="5"/>
  <c r="AP50" i="5"/>
  <c r="AT50" i="5"/>
  <c r="AQ50" i="5"/>
  <c r="AN82" i="5"/>
  <c r="AL82" i="5"/>
  <c r="AK82" i="5"/>
  <c r="AO82" i="5"/>
  <c r="AM82" i="5"/>
  <c r="AT82" i="5"/>
  <c r="AS82" i="5"/>
  <c r="AR82" i="5"/>
  <c r="AQ82" i="5"/>
  <c r="AP82" i="5"/>
  <c r="AO4" i="5"/>
  <c r="AM4" i="5"/>
  <c r="AL4" i="5"/>
  <c r="AN4" i="5"/>
  <c r="AK4" i="5"/>
  <c r="AP4" i="5"/>
  <c r="AT4" i="5"/>
  <c r="AS4" i="5"/>
  <c r="AR4" i="5"/>
  <c r="AQ4" i="5"/>
  <c r="AP36" i="5"/>
  <c r="AT36" i="5"/>
  <c r="AS36" i="5"/>
  <c r="AQ36" i="5"/>
  <c r="AR36" i="5"/>
  <c r="AN36" i="5"/>
  <c r="AM36" i="5"/>
  <c r="AL36" i="5"/>
  <c r="AK36" i="5"/>
  <c r="AO36" i="5"/>
  <c r="AQ68" i="5"/>
  <c r="AT68" i="5"/>
  <c r="AR68" i="5"/>
  <c r="AS68" i="5"/>
  <c r="AP68" i="5"/>
  <c r="AK68" i="5"/>
  <c r="AO68" i="5"/>
  <c r="AN68" i="5"/>
  <c r="AM68" i="5"/>
  <c r="AL68" i="5"/>
  <c r="AL33" i="5"/>
  <c r="AK33" i="5"/>
  <c r="AN33" i="5"/>
  <c r="AO33" i="5"/>
  <c r="AM33" i="5"/>
  <c r="AS33" i="5"/>
  <c r="AQ33" i="5"/>
  <c r="AP33" i="5"/>
  <c r="AT33" i="5"/>
  <c r="AR33" i="5"/>
  <c r="AK60" i="5"/>
  <c r="AO60" i="5"/>
  <c r="AN60" i="5"/>
  <c r="AL60" i="5"/>
  <c r="AM60" i="5"/>
  <c r="AQ60" i="5"/>
  <c r="AS60" i="5"/>
  <c r="AR60" i="5"/>
  <c r="AP60" i="5"/>
  <c r="AT60" i="5"/>
  <c r="R83" i="5"/>
  <c r="S83" i="5"/>
  <c r="V83" i="5"/>
  <c r="U83" i="5"/>
  <c r="T83" i="5"/>
  <c r="Q83" i="5"/>
  <c r="P83" i="5"/>
  <c r="O83" i="5"/>
  <c r="N83" i="5"/>
  <c r="M83" i="5"/>
  <c r="Q25" i="5"/>
  <c r="O25" i="5"/>
  <c r="N25" i="5"/>
  <c r="P25" i="5"/>
  <c r="M25" i="5"/>
  <c r="R25" i="5"/>
  <c r="V25" i="5"/>
  <c r="U25" i="5"/>
  <c r="T25" i="5"/>
  <c r="S25" i="5"/>
  <c r="AT35" i="5"/>
  <c r="AS35" i="5"/>
  <c r="AQ35" i="5"/>
  <c r="AP35" i="5"/>
  <c r="AR35" i="5"/>
  <c r="AM35" i="5"/>
  <c r="AL35" i="5"/>
  <c r="AK35" i="5"/>
  <c r="AN35" i="5"/>
  <c r="AO35" i="5"/>
  <c r="AN78" i="5"/>
  <c r="AO78" i="5"/>
  <c r="AM78" i="5"/>
  <c r="AL78" i="5"/>
  <c r="AK78" i="5"/>
  <c r="AT78" i="5"/>
  <c r="AS78" i="5"/>
  <c r="AR78" i="5"/>
  <c r="AP78" i="5"/>
  <c r="AQ78" i="5"/>
  <c r="R75" i="5"/>
  <c r="V75" i="5"/>
  <c r="T75" i="5"/>
  <c r="U75" i="5"/>
  <c r="S75" i="5"/>
  <c r="Q75" i="5"/>
  <c r="O75" i="5"/>
  <c r="N75" i="5"/>
  <c r="M75" i="5"/>
  <c r="P75" i="5"/>
  <c r="S43" i="5"/>
  <c r="R43" i="5"/>
  <c r="V43" i="5"/>
  <c r="T43" i="5"/>
  <c r="U43" i="5"/>
  <c r="P43" i="5"/>
  <c r="M43" i="5"/>
  <c r="O43" i="5"/>
  <c r="N43" i="5"/>
  <c r="Q43" i="5"/>
  <c r="S11" i="5"/>
  <c r="R11" i="5"/>
  <c r="V11" i="5"/>
  <c r="U11" i="5"/>
  <c r="T11" i="5"/>
  <c r="M11" i="5"/>
  <c r="Q11" i="5"/>
  <c r="P11" i="5"/>
  <c r="O11" i="5"/>
  <c r="N11" i="5"/>
  <c r="N66" i="5"/>
  <c r="O66" i="5"/>
  <c r="P66" i="5"/>
  <c r="Q66" i="5"/>
  <c r="M66" i="5"/>
  <c r="R66" i="5"/>
  <c r="U66" i="5"/>
  <c r="T66" i="5"/>
  <c r="S66" i="5"/>
  <c r="V66" i="5"/>
  <c r="U34" i="5"/>
  <c r="S34" i="5"/>
  <c r="R34" i="5"/>
  <c r="V34" i="5"/>
  <c r="T34" i="5"/>
  <c r="P34" i="5"/>
  <c r="N34" i="5"/>
  <c r="M34" i="5"/>
  <c r="Q34" i="5"/>
  <c r="O34" i="5"/>
  <c r="P81" i="5"/>
  <c r="O81" i="5"/>
  <c r="N81" i="5"/>
  <c r="M81" i="5"/>
  <c r="Q81" i="5"/>
  <c r="R81" i="5"/>
  <c r="V81" i="5"/>
  <c r="U81" i="5"/>
  <c r="T81" i="5"/>
  <c r="S81" i="5"/>
  <c r="P49" i="5"/>
  <c r="O49" i="5"/>
  <c r="M49" i="5"/>
  <c r="Q49" i="5"/>
  <c r="N49" i="5"/>
  <c r="V49" i="5"/>
  <c r="T49" i="5"/>
  <c r="S49" i="5"/>
  <c r="U49" i="5"/>
  <c r="R49" i="5"/>
  <c r="N17" i="5"/>
  <c r="O17" i="5"/>
  <c r="M17" i="5"/>
  <c r="Q17" i="5"/>
  <c r="P17" i="5"/>
  <c r="R17" i="5"/>
  <c r="U17" i="5"/>
  <c r="V17" i="5"/>
  <c r="T17" i="5"/>
  <c r="S17" i="5"/>
  <c r="Q72" i="5"/>
  <c r="O72" i="5"/>
  <c r="N72" i="5"/>
  <c r="M72" i="5"/>
  <c r="P72" i="5"/>
  <c r="R72" i="5"/>
  <c r="V72" i="5"/>
  <c r="U72" i="5"/>
  <c r="T72" i="5"/>
  <c r="S72" i="5"/>
  <c r="Q40" i="5"/>
  <c r="P40" i="5"/>
  <c r="N40" i="5"/>
  <c r="M40" i="5"/>
  <c r="O40" i="5"/>
  <c r="U40" i="5"/>
  <c r="T40" i="5"/>
  <c r="S40" i="5"/>
  <c r="R40" i="5"/>
  <c r="V40" i="5"/>
  <c r="P8" i="5"/>
  <c r="O8" i="5"/>
  <c r="N8" i="5"/>
  <c r="M8" i="5"/>
  <c r="Q8" i="5"/>
  <c r="V8" i="5"/>
  <c r="U8" i="5"/>
  <c r="T8" i="5"/>
  <c r="S8" i="5"/>
  <c r="R8" i="5"/>
  <c r="AQ61" i="5"/>
  <c r="AR61" i="5"/>
  <c r="AS61" i="5"/>
  <c r="AT61" i="5"/>
  <c r="AP61" i="5"/>
  <c r="AN61" i="5"/>
  <c r="AK61" i="5"/>
  <c r="AO61" i="5"/>
  <c r="AM61" i="5"/>
  <c r="AL61" i="5"/>
  <c r="AL11" i="5"/>
  <c r="AK11" i="5"/>
  <c r="AO11" i="5"/>
  <c r="AN11" i="5"/>
  <c r="AM11" i="5"/>
  <c r="AS11" i="5"/>
  <c r="AR11" i="5"/>
  <c r="AQ11" i="5"/>
  <c r="AP11" i="5"/>
  <c r="AT11" i="5"/>
  <c r="AN71" i="5"/>
  <c r="AM71" i="5"/>
  <c r="AK71" i="5"/>
  <c r="AO71" i="5"/>
  <c r="AL71" i="5"/>
  <c r="AT71" i="5"/>
  <c r="AR71" i="5"/>
  <c r="AQ71" i="5"/>
  <c r="AP71" i="5"/>
  <c r="AS71" i="5"/>
  <c r="AT37" i="5"/>
  <c r="AS37" i="5"/>
  <c r="AQ37" i="5"/>
  <c r="AP37" i="5"/>
  <c r="AR37" i="5"/>
  <c r="AM37" i="5"/>
  <c r="AL37" i="5"/>
  <c r="AK37" i="5"/>
  <c r="AN37" i="5"/>
  <c r="AO37" i="5"/>
  <c r="AN22" i="5"/>
  <c r="AM22" i="5"/>
  <c r="AK22" i="5"/>
  <c r="AO22" i="5"/>
  <c r="AL22" i="5"/>
  <c r="AT22" i="5"/>
  <c r="AR22" i="5"/>
  <c r="AQ22" i="5"/>
  <c r="AS22" i="5"/>
  <c r="AP22" i="5"/>
  <c r="AK54" i="5"/>
  <c r="AL54" i="5"/>
  <c r="AN54" i="5"/>
  <c r="AM54" i="5"/>
  <c r="AO54" i="5"/>
  <c r="AQ54" i="5"/>
  <c r="AP54" i="5"/>
  <c r="AS54" i="5"/>
  <c r="AT54" i="5"/>
  <c r="AR54" i="5"/>
  <c r="AN86" i="5"/>
  <c r="AK86" i="5"/>
  <c r="AO86" i="5"/>
  <c r="AM86" i="5"/>
  <c r="AL86" i="5"/>
  <c r="AS86" i="5"/>
  <c r="AR86" i="5"/>
  <c r="AQ86" i="5"/>
  <c r="AP86" i="5"/>
  <c r="AT86" i="5"/>
  <c r="AO8" i="5"/>
  <c r="AN8" i="5"/>
  <c r="AM8" i="5"/>
  <c r="AL8" i="5"/>
  <c r="AK8" i="5"/>
  <c r="AP8" i="5"/>
  <c r="AT8" i="5"/>
  <c r="AS8" i="5"/>
  <c r="AR8" i="5"/>
  <c r="AQ8" i="5"/>
  <c r="AP40" i="5"/>
  <c r="AT40" i="5"/>
  <c r="AS40" i="5"/>
  <c r="AQ40" i="5"/>
  <c r="AR40" i="5"/>
  <c r="AN40" i="5"/>
  <c r="AM40" i="5"/>
  <c r="AL40" i="5"/>
  <c r="AK40" i="5"/>
  <c r="AO40" i="5"/>
  <c r="AQ72" i="5"/>
  <c r="AT72" i="5"/>
  <c r="AR72" i="5"/>
  <c r="AP72" i="5"/>
  <c r="AS72" i="5"/>
  <c r="AK72" i="5"/>
  <c r="AO72" i="5"/>
  <c r="AN72" i="5"/>
  <c r="AM72" i="5"/>
  <c r="AL72" i="5"/>
  <c r="AK17" i="5"/>
  <c r="AN17" i="5"/>
  <c r="AL17" i="5"/>
  <c r="AO17" i="5"/>
  <c r="AM17" i="5"/>
  <c r="AQ17" i="5"/>
  <c r="AT17" i="5"/>
  <c r="AS17" i="5"/>
  <c r="AR17" i="5"/>
  <c r="AP17" i="5"/>
  <c r="U55" i="5"/>
  <c r="S55" i="5"/>
  <c r="R55" i="5"/>
  <c r="T55" i="5"/>
  <c r="V55" i="5"/>
  <c r="N55" i="5"/>
  <c r="M55" i="5"/>
  <c r="P55" i="5"/>
  <c r="O55" i="5"/>
  <c r="Q55" i="5"/>
  <c r="M89" i="5"/>
  <c r="Q89" i="5"/>
  <c r="P89" i="5"/>
  <c r="O89" i="5"/>
  <c r="N89" i="5"/>
  <c r="R89" i="5"/>
  <c r="U89" i="5"/>
  <c r="T89" i="5"/>
  <c r="S89" i="5"/>
  <c r="V89" i="5"/>
  <c r="AP43" i="5"/>
  <c r="AS43" i="5"/>
  <c r="AT43" i="5"/>
  <c r="AQ43" i="5"/>
  <c r="AR43" i="5"/>
  <c r="AL43" i="5"/>
  <c r="AO43" i="5"/>
  <c r="AM43" i="5"/>
  <c r="AK43" i="5"/>
  <c r="AN43" i="5"/>
  <c r="AN14" i="5"/>
  <c r="AK14" i="5"/>
  <c r="AO14" i="5"/>
  <c r="AM14" i="5"/>
  <c r="AL14" i="5"/>
  <c r="AQ14" i="5"/>
  <c r="AP14" i="5"/>
  <c r="AT14" i="5"/>
  <c r="AS14" i="5"/>
  <c r="AR14" i="5"/>
  <c r="N71" i="5"/>
  <c r="Q71" i="5"/>
  <c r="O71" i="5"/>
  <c r="P71" i="5"/>
  <c r="M71" i="5"/>
  <c r="U71" i="5"/>
  <c r="T71" i="5"/>
  <c r="R71" i="5"/>
  <c r="V71" i="5"/>
  <c r="S71" i="5"/>
  <c r="M39" i="5"/>
  <c r="Q39" i="5"/>
  <c r="P39" i="5"/>
  <c r="N39" i="5"/>
  <c r="O39" i="5"/>
  <c r="T39" i="5"/>
  <c r="S39" i="5"/>
  <c r="R39" i="5"/>
  <c r="U39" i="5"/>
  <c r="V39" i="5"/>
  <c r="S7" i="5"/>
  <c r="R7" i="5"/>
  <c r="V7" i="5"/>
  <c r="T7" i="5"/>
  <c r="U7" i="5"/>
  <c r="M7" i="5"/>
  <c r="Q7" i="5"/>
  <c r="P7" i="5"/>
  <c r="O7" i="5"/>
  <c r="N7" i="5"/>
  <c r="R62" i="5"/>
  <c r="U62" i="5"/>
  <c r="S62" i="5"/>
  <c r="T62" i="5"/>
  <c r="V62" i="5"/>
  <c r="N62" i="5"/>
  <c r="P62" i="5"/>
  <c r="O62" i="5"/>
  <c r="M62" i="5"/>
  <c r="Q62" i="5"/>
  <c r="N30" i="5"/>
  <c r="Q30" i="5"/>
  <c r="O30" i="5"/>
  <c r="M30" i="5"/>
  <c r="P30" i="5"/>
  <c r="U30" i="5"/>
  <c r="T30" i="5"/>
  <c r="R30" i="5"/>
  <c r="V30" i="5"/>
  <c r="S30" i="5"/>
  <c r="R77" i="5"/>
  <c r="V77" i="5"/>
  <c r="T77" i="5"/>
  <c r="U77" i="5"/>
  <c r="S77" i="5"/>
  <c r="Q77" i="5"/>
  <c r="P77" i="5"/>
  <c r="O77" i="5"/>
  <c r="N77" i="5"/>
  <c r="M77" i="5"/>
  <c r="P45" i="5"/>
  <c r="M45" i="5"/>
  <c r="Q45" i="5"/>
  <c r="O45" i="5"/>
  <c r="N45" i="5"/>
  <c r="S45" i="5"/>
  <c r="V45" i="5"/>
  <c r="U45" i="5"/>
  <c r="T45" i="5"/>
  <c r="R45" i="5"/>
  <c r="U13" i="5"/>
  <c r="S13" i="5"/>
  <c r="R13" i="5"/>
  <c r="V13" i="5"/>
  <c r="T13" i="5"/>
  <c r="M13" i="5"/>
  <c r="Q13" i="5"/>
  <c r="P13" i="5"/>
  <c r="O13" i="5"/>
  <c r="N13" i="5"/>
  <c r="Q68" i="5"/>
  <c r="O68" i="5"/>
  <c r="N68" i="5"/>
  <c r="M68" i="5"/>
  <c r="P68" i="5"/>
  <c r="R68" i="5"/>
  <c r="V68" i="5"/>
  <c r="U68" i="5"/>
  <c r="T68" i="5"/>
  <c r="S68" i="5"/>
  <c r="Q36" i="5"/>
  <c r="P36" i="5"/>
  <c r="N36" i="5"/>
  <c r="M36" i="5"/>
  <c r="O36" i="5"/>
  <c r="U36" i="5"/>
  <c r="T36" i="5"/>
  <c r="S36" i="5"/>
  <c r="R36" i="5"/>
  <c r="V36" i="5"/>
  <c r="P4" i="5"/>
  <c r="O4" i="5"/>
  <c r="M4" i="5"/>
  <c r="Q4" i="5"/>
  <c r="N4" i="5"/>
  <c r="V4" i="5"/>
  <c r="T4" i="5"/>
  <c r="S4" i="5"/>
  <c r="U4" i="5"/>
  <c r="R4" i="5"/>
  <c r="AP45" i="5"/>
  <c r="AS45" i="5"/>
  <c r="AT45" i="5"/>
  <c r="AR45" i="5"/>
  <c r="AQ45" i="5"/>
  <c r="AL45" i="5"/>
  <c r="AN45" i="5"/>
  <c r="AM45" i="5"/>
  <c r="AK45" i="5"/>
  <c r="AO45" i="5"/>
  <c r="AK89" i="5"/>
  <c r="AO89" i="5"/>
  <c r="AN89" i="5"/>
  <c r="AM89" i="5"/>
  <c r="AL89" i="5"/>
  <c r="AQ89" i="5"/>
  <c r="AP89" i="5"/>
  <c r="AT89" i="5"/>
  <c r="AS89" i="5"/>
  <c r="AR89" i="5"/>
  <c r="AS55" i="5"/>
  <c r="AP55" i="5"/>
  <c r="AT55" i="5"/>
  <c r="AR55" i="5"/>
  <c r="AQ55" i="5"/>
  <c r="AN55" i="5"/>
  <c r="AL55" i="5"/>
  <c r="AO55" i="5"/>
  <c r="AM55" i="5"/>
  <c r="AK55" i="5"/>
  <c r="AQ21" i="5"/>
  <c r="AT21" i="5"/>
  <c r="AS21" i="5"/>
  <c r="AR21" i="5"/>
  <c r="AP21" i="5"/>
  <c r="AK21" i="5"/>
  <c r="AO21" i="5"/>
  <c r="AN21" i="5"/>
  <c r="AM21" i="5"/>
  <c r="AL21" i="5"/>
  <c r="AN26" i="5"/>
  <c r="AM26" i="5"/>
  <c r="AK26" i="5"/>
  <c r="AO26" i="5"/>
  <c r="AL26" i="5"/>
  <c r="AT26" i="5"/>
  <c r="AR26" i="5"/>
  <c r="AQ26" i="5"/>
  <c r="AS26" i="5"/>
  <c r="AP26" i="5"/>
  <c r="AK58" i="5"/>
  <c r="AO58" i="5"/>
  <c r="AN58" i="5"/>
  <c r="AL58" i="5"/>
  <c r="AM58" i="5"/>
  <c r="AR58" i="5"/>
  <c r="AQ58" i="5"/>
  <c r="AP58" i="5"/>
  <c r="AS58" i="5"/>
  <c r="AT58" i="5"/>
  <c r="AQ90" i="5"/>
  <c r="AP90" i="5"/>
  <c r="AT90" i="5"/>
  <c r="AS90" i="5"/>
  <c r="AR90" i="5"/>
  <c r="AN90" i="5"/>
  <c r="AO90" i="5"/>
  <c r="AM90" i="5"/>
  <c r="AL90" i="5"/>
  <c r="AK90" i="5"/>
  <c r="AO12" i="5"/>
  <c r="AN12" i="5"/>
  <c r="AM12" i="5"/>
  <c r="AL12" i="5"/>
  <c r="AK12" i="5"/>
  <c r="AP12" i="5"/>
  <c r="AT12" i="5"/>
  <c r="AS12" i="5"/>
  <c r="AR12" i="5"/>
  <c r="AQ12" i="5"/>
  <c r="AL44" i="5"/>
  <c r="AO44" i="5"/>
  <c r="AN44" i="5"/>
  <c r="AK44" i="5"/>
  <c r="AM44" i="5"/>
  <c r="AS44" i="5"/>
  <c r="AP44" i="5"/>
  <c r="AT44" i="5"/>
  <c r="AR44" i="5"/>
  <c r="AQ44" i="5"/>
  <c r="AN76" i="5"/>
  <c r="AK76" i="5"/>
  <c r="AM76" i="5"/>
  <c r="AL76" i="5"/>
  <c r="AO76" i="5"/>
  <c r="AS76" i="5"/>
  <c r="AR76" i="5"/>
  <c r="AQ76" i="5"/>
  <c r="AP76" i="5"/>
  <c r="AT7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Raynar</author>
  </authors>
  <commentList>
    <comment ref="A1" authorId="0" shapeId="0" xr:uid="{8C5E94CB-9C9A-46AC-AB7E-73E62DAABEE8}">
      <text>
        <r>
          <rPr>
            <b/>
            <sz val="9"/>
            <color indexed="81"/>
            <rFont val="Tahoma"/>
            <charset val="1"/>
          </rPr>
          <t>&lt;?xml version="1.0" encoding="utf-8"?&gt;&lt;Schema xmlns:xsd="http://www.w3.org/2001/XMLSchema" xmlns:xsi="http://www.w3.org/2001/XMLSchema-instance" Version="2" Timestamp="1772026733"&gt;&lt;FQL&gt;&lt;Q&gt;402340-KR^STRING_ARRAY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xsi:type="xsd:string"&gt;34.319797&lt;/D&gt;&lt;D xsi:type="xsd:string"&gt;31.111851&lt;/D&gt;&lt;D xsi:type="xsd:string"&gt;29.453779&lt;/D&gt;&lt;D xsi:type="xsd:string"&gt;5.105027&lt;/D&gt;&lt;D xsi:type="xsd:string"&gt;0.009546&lt;/D&gt;&lt;/FQL&gt;&lt;FQL&gt;&lt;Q&gt;402340-KR^STRING_ARRAY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xsi:type="xsd:string"&gt;Customer Relationship Management Software&lt;/D&gt;&lt;D xsi:type="xsd:string"&gt;Logistics and Supply Chain Service Providers&lt;/D&gt;&lt;D xsi:type="xsd:string"&gt;Internet Department Stores&lt;/D&gt;&lt;D xsi:type="xsd:string"&gt;Marketing Specialists&lt;/D&gt;&lt;D xsi:type="xsd:string"&gt;Investment Company&lt;/D&gt;&lt;/FQL&gt;&lt;FQL&gt;&lt;Q&gt;600536-CN^STRING_ARRAY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xsi:type="xsd:string"&gt;66.292820&lt;/D&gt;&lt;D xsi:type="xsd:string"&gt;33.075277&lt;/D&gt;&lt;D xsi:type="xsd:string"&gt;0.631903&lt;/D&gt;&lt;D xsi:type="xsd:string"&gt;@NA&lt;/D&gt;&lt;D xsi:type="xsd:string"&gt;@NA&lt;/D&gt;&lt;/FQL&gt;&lt;FQL&gt;&lt;Q&gt;600536-CN^STRING_ARRAY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xsi:type="xsd:string"&gt;Industry-Specific Software&lt;/D&gt;&lt;D xsi:type="xsd:string"&gt;Diversified IT Infrastructure Software&lt;/D&gt;&lt;D xsi:type="xsd:string"&gt;General or Multi-Industry Revenue&lt;/D&gt;&lt;D xsi:type="xsd:string"&gt;@NA&lt;/D&gt;&lt;D xsi:type="xsd:string"&gt;@NA&lt;/D&gt;&lt;/FQL&gt;&lt;FQL&gt;&lt;Q&gt;402340-KR^FE_RATING(MEAN,TEXTONLY,0,NOW,,,'')&lt;/Q&gt;&lt;R&gt;1&lt;/R&gt;&lt;C&gt;1&lt;/C&gt;&lt;D xsi:type="xsd:string"&gt;Buy&lt;/D&gt;&lt;/FQL&gt;&lt;FQL&gt;&lt;Q&gt;402340-KR^FG_PRICE(0,,,USD)/FG_PRICE_MAVG(0,,,USD,200)&lt;/Q&gt;&lt;R&gt;1&lt;/R&gt;&lt;C&gt;1&lt;/C&gt;&lt;D xsi:type="xsd:double"&gt;2.45230033808695&lt;/D&gt;&lt;/FQL&gt;&lt;FQL&gt;&lt;Q&gt;402340-KR^FG_PRICE(0,,,USD)/FG_PRICE_MAVG(0,,,USD,100)&lt;/Q&gt;&lt;R&gt;1&lt;/R&gt;&lt;C&gt;1&lt;/C&gt;&lt;D xsi:type="xsd:double"&gt;1.75494733801508&lt;/D&gt;&lt;/FQL&gt;&lt;FQL&gt;&lt;Q&gt;402340-KR^FG_PRICE(0,,,USD)/FG_PRICE_MAVG(0,,,USD,50)&lt;/Q&gt;&lt;R&gt;1&lt;/R&gt;&lt;C&gt;1&lt;/C&gt;&lt;D xsi:type="xsd:double"&gt;1.42361583446713&lt;/D&gt;&lt;/FQL&gt;&lt;FQL&gt;&lt;Q&gt;402340-KR^RTP_PRICE_TARGET(USD)/FG_PRICE(0,,,USD)&lt;/Q&gt;&lt;R&gt;1&lt;/R&gt;&lt;C&gt;1&lt;/C&gt;&lt;D xsi:type="xsd:double"&gt;1.02647219595862&lt;/D&gt;&lt;/FQL&gt;&lt;FQL&gt;&lt;Q&gt;402340-KR^FG_PRICE(0,,,USD)/P_PRICE_HIGH(-1AY,0,USD,,,"PRICE","INTRA")&lt;/Q&gt;&lt;R&gt;1&lt;/R&gt;&lt;C&gt;1&lt;/C&gt;&lt;D xsi:type="xsd:double"&gt;0.973186134372673&lt;/D&gt;&lt;/FQL&gt;&lt;FQL&gt;&lt;Q&gt;402340-KR^PERCENT_CHANGE(FE_VALUATION(FFEV_EBITDA,MEAN,NTMA,,0,,,''),MAX(FE_VALUATION(FFEV_EBITDA,MEAN,NTMA,,-1AY,0,,'')))&lt;/Q&gt;&lt;R&gt;1&lt;/R&gt;&lt;C&gt;1&lt;/C&gt;&lt;D xsi:type="xsd:double"&gt;-26.2638560178334&lt;/D&gt;&lt;/FQL&gt;&lt;FQL&gt;&lt;Q&gt;402340-KR^PERCENT_CHANGE(FE_VALUATION(PE,MEAN,NTMA,,0,,,''),MAX(FE_VALUATION(PE,MEAN,NTMA,,-1AY,0,,'')))&lt;/Q&gt;&lt;R&gt;1&lt;/R&gt;&lt;C&gt;1&lt;/C&gt;&lt;D xsi:type="xsd:double"&gt;-15.2535758595934&lt;/D&gt;&lt;/FQL&gt;&lt;FQL&gt;&lt;Q&gt;402340-KR^FE_VALUATION(FFEV_EBITDA,MEAN,NTMA,,0,,,'')&lt;/Q&gt;&lt;R&gt;1&lt;/R&gt;&lt;C&gt;1&lt;/C&gt;&lt;D xsi:type="xsd:double"&gt;5.168069&lt;/D&gt;&lt;/FQL&gt;&lt;FQL&gt;&lt;Q&gt;402340-KR^FE_VALUATION(FFEV_SALES,MEAN,NTMA,,0,,,'')&lt;/Q&gt;&lt;R&gt;1&lt;/R&gt;&lt;C&gt;1&lt;/C&gt;&lt;D xsi:type="xsd:double"&gt;48.442513&lt;/D&gt;&lt;/FQL&gt;&lt;FQL&gt;&lt;Q&gt;402340-KR^FE_VALUATION(P_SALESPS,MEAN,NTMA,,0,,,'')&lt;/Q&gt;&lt;R&gt;1&lt;/R&gt;&lt;C&gt;1&lt;/C&gt;&lt;D xsi:type="xsd:double"&gt;49.160564&lt;/D&gt;&lt;/FQL&gt;&lt;FQL&gt;&lt;Q&gt;402340-KR^FE_VALUATION(PE,MEAN,NTMA,,0,,,'')&lt;/Q&gt;&lt;R&gt;1&lt;/R&gt;&lt;C&gt;1&lt;/C&gt;&lt;D xsi:type="xsd:double"&gt;5.5869603&lt;/D&gt;&lt;/FQL&gt;&lt;FQL&gt;&lt;Q&gt;402340-KR^FE_ACTUAL(ACTUAL,SALES,ANN_ROLL,0,,,,'CURRENCY=USD')&lt;/Q&gt;&lt;R&gt;1&lt;/R&gt;&lt;C&gt;1&lt;/C&gt;&lt;D xsi:type="xsd:double"&gt;1312.099&lt;/D&gt;&lt;/FQL&gt;&lt;FQL&gt;&lt;Q&gt;402340-KR^FE_ACTUAL(ACTUAL,SALES,ANN_ROLL,-1,,,,'CURRENCY=USD')&lt;/Q&gt;&lt;R&gt;1&lt;/R&gt;&lt;C&gt;1&lt;/C&gt;&lt;D xsi:type="xsd:double"&gt;1707.4724&lt;/D&gt;&lt;/FQL&gt;&lt;FQL&gt;&lt;Q&gt;402340-KR^FE_VALUATION(EBITDA_MARGIN,MEAN,ANN_ROLL,0,NOW,,,'')&lt;/Q&gt;&lt;R&gt;1&lt;/R&gt;&lt;C&gt;1&lt;/C&gt;&lt;D xsi:type="xsd:double"&gt;210.58188&lt;/D&gt;&lt;/FQL&gt;&lt;FQL&gt;&lt;Q&gt;402340-KR^FE_VALUATION(ROIC,MEAN,NTMA,,0,,,'')&lt;/Q&gt;&lt;R&gt;1&lt;/R&gt;&lt;C&gt;1&lt;/C&gt;&lt;D xsi:type="xsd:double"&gt;36.306705&lt;/D&gt;&lt;/FQL&gt;&lt;FQL&gt;&lt;Q&gt;402340-KR^FE_VALUATION(ROE,MEAN,NTMA,,0,,,'')&lt;/Q&gt;&lt;R&gt;1&lt;/R&gt;&lt;C&gt;1&lt;/C&gt;&lt;D xsi:type="xsd:double"&gt;41.47687&lt;/D&gt;&lt;/FQL&gt;&lt;FQL&gt;&lt;Q&gt;402340-KR^FE_VALUATION(DIV_YLD,MEAN,NTMA,,NOW,,,'')&lt;/Q&gt;&lt;R&gt;1&lt;/R&gt;&lt;C&gt;1&lt;/C&gt;&lt;D xsi:type="xsd:double"&gt;0.05547204&lt;/D&gt;&lt;/FQL&gt;&lt;FQL&gt;&lt;Q&gt;402340-KR^FE_VALUATION(MCAP_FCF,MEAN,NTMA,,NOW,,,'')&lt;/Q&gt;&lt;R&gt;1&lt;/R&gt;&lt;C&gt;1&lt;/C&gt;&lt;D xsi:type="xsd:double"&gt;0.034963045&lt;/D&gt;&lt;/FQL&gt;&lt;FQL&gt;&lt;Q&gt;402340-KR^FE_VALUATION(NETDEBT_EBITDA,MEAN,NTMA,,NOW,,,'')&lt;/Q&gt;&lt;R&gt;1&lt;/R&gt;&lt;C&gt;1&lt;/C&gt;&lt;D xsi:type="xsd:double"&gt;-0.41803536&lt;/D&gt;&lt;/FQL&gt;&lt;FQL&gt;&lt;Q&gt;402340-KR^FF_NET_MGN(LTM_R,0)&lt;/Q&gt;&lt;R&gt;1&lt;/R&gt;&lt;C&gt;1&lt;/C&gt;&lt;D xsi:type="xsd:double"&gt;624.74925984098&lt;/D&gt;&lt;/FQL&gt;&lt;FQL&gt;&lt;Q&gt;402340-KR^FF_EBITDA_OPER_MGN(LTM_R,0)&lt;/Q&gt;&lt;R&gt;0&lt;/R&gt;&lt;C&gt;0&lt;/C&gt;&lt;/FQL&gt;&lt;FQL&gt;&lt;Q&gt;402340-KR^FF_GROSS_MGN(LTM_R,0)&lt;/Q&gt;&lt;R&gt;0&lt;/R&gt;&lt;C&gt;0&lt;/C&gt;&lt;/FQL&gt;&lt;FQL&gt;&lt;Q&gt;402340-KR^POW(FE_ESTIMATE(EPS,MEAN,STMA,,NOW,,,'CURRENCY=USD')/FE_ESTIMATE(EPS,MEAN,LTMA,,NOW,,,'CURRENCY=USD'),0.5)-1&lt;/Q&gt;&lt;R&gt;1&lt;/R&gt;&lt;C&gt;1&lt;/C&gt;&lt;D xsi:type="xsd:double"&gt;0.314952774817408&lt;/D&gt;&lt;/FQL&gt;&lt;FQL&gt;&lt;Q&gt;402340-KR^POW(FE_ESTIMATE(SALES,MEAN,STMA,,NOW,,,'CURRENCY=USD')/FE_ESTIMATE(SALES,MEAN,LTMA,,NOW,,,'CURRENCY=USD'),0.5)-1&lt;/Q&gt;&lt;R&gt;1&lt;/R&gt;&lt;C&gt;1&lt;/C&gt;&lt;D xsi:type="xsd:double"&gt;0.0066641445884521&lt;/D&gt;&lt;/FQL&gt;&lt;FQL&gt;&lt;Q&gt;402340-KR^FE_ACTUAL(ACTUAL,EPS,ANN_ROLL,0,,,,'CURRENCY=USD')&lt;/Q&gt;&lt;R&gt;1&lt;/R&gt;&lt;C&gt;1&lt;/C&gt;&lt;D xsi:type="xsd:double"&gt;18.967724&lt;/D&gt;&lt;/FQL&gt;&lt;FQL&gt;&lt;Q&gt;402340-KR^OS_SEC_FLT_PCT(0D,,MTD,SEC)&lt;/Q&gt;&lt;R&gt;1&lt;/R&gt;&lt;C&gt;1&lt;/C&gt;&lt;D xsi:type="xsd:double"&gt;67.4351&lt;/D&gt;&lt;/FQL&gt;&lt;FQL&gt;&lt;Q&gt;402340-KR^AVG(P_VOLUME_FRQ(-1AM,NOW,D,,6))*P_PRICE_AVG(-1AM,NOW,,USD)&lt;/Q&gt;&lt;R&gt;1&lt;/R&gt;&lt;C&gt;1&lt;/C&gt;&lt;D xsi:type="xsd:double"&gt;281.949593250238&lt;/D&gt;&lt;/FQL&gt;&lt;FQL&gt;&lt;Q&gt;402340-KR^FCS_EV_DAILY(MV,NOW,,,USD,M)&lt;/Q&gt;&lt;R&gt;1&lt;/R&gt;&lt;C&gt;1&lt;/C&gt;&lt;D xsi:type="xsd:double"&gt;56375.0154235997&lt;/D&gt;&lt;/FQL&gt;&lt;FQL&gt;&lt;Q&gt;402340-KR^P_DCOUNTRY&lt;/Q&gt;&lt;R&gt;1&lt;/R&gt;&lt;C&gt;1&lt;/C&gt;&lt;D xsi:type="xsd:string"&gt;SOUTH KOREA&lt;/D&gt;&lt;/FQL&gt;&lt;FQL&gt;&lt;Q&gt;402340-KR^FR_RBICS_NAME_CURR("IND")&lt;/Q&gt;&lt;R&gt;1&lt;/R&gt;&lt;C&gt;1&lt;/C&gt;&lt;D xsi:type="xsd:string"&gt;Customer Relationship Management Software&lt;/D&gt;&lt;/FQL&gt;&lt;FQL&gt;&lt;Q&gt;600536-CN^FE_RATING(MEAN,TEXTONLY,0,NOW,,,'')&lt;/Q&gt;&lt;R&gt;1&lt;/R&gt;&lt;C&gt;1&lt;/C&gt;&lt;D xsi:type="xsd:string"&gt;Buy&lt;/D&gt;&lt;/FQL&gt;&lt;FQL&gt;&lt;Q&gt;600536-CN^FG_PRICE(0,,,USD)/FG_PRICE_MAVG(0,,,USD,200)&lt;/Q&gt;&lt;R&gt;1&lt;/R&gt;&lt;C&gt;1&lt;/C&gt;&lt;D xsi:type="xsd:double"&gt;0.962758700934671&lt;/D&gt;&lt;/FQL&gt;&lt;FQL&gt;&lt;Q&gt;600536-CN^FG_PRICE(0,,,USD)/FG_PRICE_MAVG(0,,,USD,100)&lt;/Q&gt;&lt;R&gt;1&lt;/R&gt;&lt;C&gt;1&lt;/C&gt;&lt;D xsi:type="xsd:double"&gt;0.945811823310957&lt;/D&gt;&lt;/FQL&gt;&lt;FQL&gt;&lt;Q&gt;600536-CN^FG_PRICE(0,,,USD)/FG_PRICE_MAVG(0,,,USD,50)&lt;/Q&gt;&lt;R&gt;1&lt;/R&gt;&lt;C&gt;1&lt;/C&gt;&lt;D xsi:type="xsd:double"&gt;0.969355189021248&lt;/D&gt;&lt;/FQL&gt;&lt;FQL&gt;&lt;Q&gt;600536-CN^RTP_PRICE_TARGET(USD)/FG_PRICE(0,,,USD)&lt;/Q&gt;&lt;R&gt;1&lt;/R&gt;&lt;C&gt;1&lt;/C&gt;&lt;D xsi:type="xsd:double"&gt;1.38165341545685&lt;/D&gt;&lt;/FQL&gt;&lt;FQL&gt;&lt;Q&gt;600536-CN^FG_PRICE(0,,,USD)/P_PRICE_HIGH(-1AY,0,USD,,,"PRICE","INTRA")&lt;/Q&gt;&lt;R&gt;1&lt;/R&gt;&lt;C&gt;1&lt;/C&gt;&lt;D xsi:type="xsd:double"&gt;0.809433343519752&lt;/D&gt;&lt;/FQL&gt;&lt;FQL&gt;&lt;Q&gt;600536-CN^PERCENT_CHANGE(FE_VALUATION(FFEV_EBITDA,MEAN,NTMA,,0,,,''),MAX(FE_VALUATION(FFEV_EBITDA,MEAN,NTMA,,-1AY,0,,'')))&lt;/Q&gt;&lt;R&gt;1&lt;/R&gt;&lt;C&gt;1&lt;/C&gt;&lt;D xsi:type="xsd:double"&gt;-24.0451566240483&lt;/D&gt;&lt;/FQL&gt;&lt;FQL&gt;&lt;Q&gt;600536-CN^PERCENT_CHANGE(FE_VALUATION(PE,MEAN,NTMA,,0,,,''),MAX(FE_VALUATION(PE,MEAN,NTMA,,-1AY,0,,'')))&lt;/Q&gt;&lt;R&gt;1&lt;/R&gt;&lt;C&gt;1&lt;/C&gt;&lt;D xsi:type="xsd:double"&gt;-52.9896865388816&lt;/D&gt;&lt;/FQL&gt;&lt;FQL&gt;&lt;Q&gt;600536-CN^FE_VALUATION(FFEV_EBITDA,MEAN,NTMA,,0,,,'')&lt;/Q&gt;&lt;R&gt;1&lt;/R&gt;&lt;C&gt;1&lt;/C&gt;&lt;D xsi:type="xsd:double"&gt;90.22724&lt;/D&gt;&lt;/FQL&gt;&lt;FQL&gt;&lt;Q&gt;600536-CN^FE_VALUATION(FFEV_SALES,MEAN,NTMA,,0,,,'')&lt;/Q&gt;&lt;R&gt;1&lt;/R&gt;&lt;C&gt;1&lt;/C&gt;&lt;D xsi:type="xsd:double"&gt;6.2686024&lt;/D&gt;&lt;/FQL&gt;&lt;FQL&gt;&lt;Q&gt;600536-CN^FE_VALUATION(P_SALESPS,MEAN,NTMA,,0,,,'')&lt;/Q&gt;&lt;R&gt;1&lt;/R&gt;&lt;C&gt;1&lt;/C&gt;&lt;D xsi:type="xsd:double"&gt;6.3803506&lt;/D&gt;&lt;/FQL&gt;&lt;FQL&gt;&lt;Q&gt;600536-CN^FE_VALUATION(PE,MEAN,NTMA,,0,,,'')&lt;/Q&gt;&lt;R&gt;1&lt;/R&gt;&lt;C&gt;1&lt;/C&gt;&lt;D xsi:type="xsd:double"&gt;167.7746&lt;/D&gt;&lt;/FQL&gt;&lt;FQL&gt;&lt;Q&gt;600536-CN^FE_ACTUAL(ACTUAL,SALES,ANN_ROLL,0,,,,'CURRENCY=USD')&lt;/Q&gt;&lt;R&gt;1&lt;/R&gt;&lt;C&gt;1&lt;/C&gt;&lt;D xsi:type="xsd:double"&gt;715.4508&lt;/D&gt;&lt;/FQL&gt;&lt;FQL&gt;&lt;Q&gt;600536-CN^FE_ACTUAL(ACTUAL,SALES,ANN_ROLL,-1,,,,'CURRENCY=USD')&lt;/Q&gt;&lt;R&gt;1&lt;/R&gt;&lt;C&gt;1&lt;/C&gt;&lt;D xsi:type="xsd:double"&gt;927.7838&lt;/D&gt;&lt;/FQL&gt;&lt;FQL&gt;&lt;Q&gt;600536-CN^FE_VALUATION(EBITDA_MARGIN,MEAN,ANN_ROLL,0,NOW,,,'')&lt;/Q&gt;&lt;R&gt;0&lt;/R&gt;&lt;C&gt;0&lt;/C&gt;&lt;/FQL&gt;&lt;FQL&gt;&lt;Q&gt;600536-CN^FE_VALUATION(ROIC,MEAN,NTMA,,0,,,'')&lt;/Q&gt;&lt;R&gt;0&lt;/R&gt;&lt;C&gt;0&lt;/C&gt;&lt;/FQL&gt;&lt;FQL&gt;&lt;Q&gt;600536-CN^FE_VALUATION(ROE,MEAN,NTMA,,0,,,'')&lt;/Q&gt;&lt;R&gt;1&lt;/R&gt;&lt;C&gt;1&lt;/C&gt;&lt;D xsi:type="xsd:double"&gt;10.294197&lt;/D&gt;&lt;/FQL&gt;&lt;FQL&gt;&lt;Q&gt;600536-CN^FE_VALUATION(DIV_YLD,MEAN,NTMA,,NOW,,,'')&lt;/Q&gt;&lt;R&gt;0&lt;/R&gt;&lt;C&gt;0&lt;/C&gt;&lt;/FQL&gt;&lt;FQL&gt;&lt;Q&gt;600536-CN^FE_VALUATION(MCAP_FCF,MEAN,NTMA,,NOW,,,'')&lt;/Q&gt;&lt;R&gt;0&lt;/R&gt;&lt;C&gt;0&lt;/C&gt;&lt;/FQL&gt;&lt;FQL&gt;&lt;Q&gt;600536-CN^FE_VALUATION(NETDEBT_EBITDA,MEAN,NTMA,,NOW,,,'')&lt;/Q&gt;&lt;R&gt;0&lt;/R&gt;&lt;C&gt;0&lt;/C&gt;&lt;/FQL&gt;&lt;FQL&gt;&lt;Q&gt;600536-CN^FF_NET_MGN(LTM_R,0)&lt;/Q&gt;&lt;R&gt;1&lt;/R&gt;&lt;C&gt;1&lt;/C&gt;&lt;D xsi:type="xsd:double"&gt;-3.2876096026105&lt;/D&gt;&lt;/FQL&gt;&lt;FQL&gt;&lt;Q&gt;600536-CN^FF_EBITDA_OPER_MGN(LTM_R,0)&lt;/Q&gt;&lt;R&gt;0&lt;/R&gt;&lt;C&gt;0&lt;/C&gt;&lt;/FQL&gt;&lt;FQL&gt;&lt;Q&gt;600536-CN^FF_GROSS_MGN(LTM_R,0)&lt;/Q&gt;&lt;R&gt;1&lt;/R&gt;&lt;C&gt;1&lt;/C&gt;&lt;D xsi:type="xsd:double"&gt;37.5023857548506&lt;/D&gt;&lt;/FQL&gt;&lt;FQL&gt;&lt;Q&gt;600536-CN^POW(FE_ESTIMATE(EPS,MEAN,STMA,,NOW,,,'CURRENCY=USD')/FE_ESTIMATE(EPS,MEAN,LTMA,,NOW,,,'CURRENCY=USD'),0.5)-1&lt;/Q&gt;&lt;R&gt;1&lt;/R&gt;&lt;C&gt;1&lt;/C&gt;&lt;D xsi:type="xsd:double"&gt;1.4078498707353&lt;/D&gt;&lt;/FQL&gt;&lt;FQL&gt;&lt;Q&gt;600536-CN^POW(FE_ESTIMATE(SALES,MEAN,STMA,,NOW,,,'CURRENCY=USD')/FE_ESTIMATE(SALES,MEAN,LTMA,,NOW,,,'CURRENCY=USD'),0.5)-1&lt;/Q&gt;&lt;R&gt;1&lt;/R&gt;&lt;C&gt;1&lt;/C&gt;&lt;D xsi:type="xsd:double"&gt;0.122180956887079&lt;/D&gt;&lt;/FQL&gt;&lt;FQL&gt;&lt;Q&gt;600536-CN^FE_ACTUAL(ACTUAL,EPS,ANN_ROLL,0,,,,'CURRENCY=USD')&lt;/Q&gt;&lt;R&gt;1&lt;/R&gt;&lt;C&gt;1&lt;/C&gt;&lt;D xsi:type="xsd:double"&gt;-0.067443416&lt;/D&gt;&lt;/FQL&gt;&lt;FQL&gt;&lt;Q&gt;600536-CN^OS_SEC_FLT_PCT(0D,,MTD,SEC)&lt;/Q&gt;&lt;R&gt;1&lt;/R&gt;&lt;C&gt;1&lt;/C&gt;&lt;D xsi:type="xsd:double"&gt;62.902&lt;/D&gt;&lt;/FQL&gt;&lt;FQL&gt;&lt;Q&gt;600536-CN^AVG(P_VOLUME_FRQ(-1AM,NOW,D,,6))*P_PRICE_AVG(-1AM,NOW,,USD)&lt;/Q&gt;&lt;R&gt;1&lt;/R&gt;&lt;C&gt;1&lt;/C&gt;&lt;D xsi:type="xsd:double"&gt;103.659392359892&lt;/D&gt;&lt;/FQL&gt;&lt;FQL&gt;&lt;Q&gt;600536-CN^FCS_EV_DAILY(MV,NOW,,,USD,M)&lt;/Q&gt;&lt;R&gt;1&lt;/R&gt;&lt;C&gt;1&lt;/C&gt;&lt;D xsi:type="xsd:double"&gt;5987.98488376689&lt;/D&gt;&lt;/FQL&gt;&lt;FQL&gt;&lt;Q&gt;600536-CN^P_DCOUNTRY&lt;/Q&gt;&lt;R&gt;1&lt;/R&gt;&lt;C&gt;1&lt;/C&gt;&lt;D xsi:type="xsd:string"&gt;CHINA&lt;/D&gt;&lt;/FQL&gt;&lt;FQL&gt;&lt;Q&gt;600536-CN^FR_RBICS_NAME_CURR("IND")&lt;/Q&gt;&lt;R&gt;1&lt;/R&gt;&lt;C&gt;1&lt;/C&gt;&lt;D xsi:type="xsd:string"&gt;Industry-Specific Software&lt;/D&gt;&lt;/FQL&gt;&lt;FQL&gt;&lt;Q&gt;600588-CN^FE_RATING(MEAN,TEXTONLY,0,NOW,,,'')&lt;/Q&gt;&lt;R&gt;1&lt;/R&gt;&lt;C&gt;1&lt;/C&gt;&lt;D xsi:type="xsd:string"&gt;Hold&lt;/D&gt;&lt;/FQL&gt;&lt;FQL&gt;&lt;Q&gt;600588-CN^FG_PRICE(0,,,USD)/FG_PRICE_MAVG(0,,,USD,200)&lt;/Q&gt;&lt;R&gt;1&lt;/R&gt;&lt;C&gt;1&lt;/C&gt;&lt;D xsi:type="xsd:double"&gt;0.995197945907646&lt;/D&gt;&lt;/FQL&gt;&lt;FQL&gt;&lt;Q&gt;600588-CN^FG_PRICE(0,,,USD)/FG_PRICE_MAVG(0,,,USD,100)&lt;/Q&gt;&lt;R&gt;1&lt;/R&gt;&lt;C&gt;1&lt;/C&gt;&lt;D xsi:type="xsd:double"&gt;0.977205850250614&lt;/D&gt;&lt;/FQL&gt;&lt;FQL&gt;&lt;Q&gt;600588-CN^FG_PRICE(0,,,USD)/FG_PRICE_MAVG(0,,,USD,50)&lt;/Q&gt;&lt;R&gt;1&lt;/R&gt;&lt;C&gt;1&lt;/C&gt;&lt;D xsi:type="xsd:double"&gt;0.982507385676406&lt;/D&gt;&lt;/FQL&gt;&lt;FQL&gt;&lt;Q&gt;600588-CN^RTP_PRICE_TARGET(USD)/FG_PRICE(0,,,USD)&lt;/Q&gt;&lt;R&gt;1&lt;/R&gt;&lt;C&gt;1&lt;/C&gt;&lt;D xsi:type="xsd:double"&gt;1.0623740224309&lt;/D&gt;&lt;/FQL&gt;&lt;FQL&gt;&lt;Q&gt;600588-CN^FG_PRICE(0,,,USD)/P_PRICE_HIGH(-1AY,0,USD,,,"PRICE","INTRA")&lt;/Q&gt;&lt;R&gt;1&lt;/R&gt;&lt;C&gt;1&lt;/C&gt;&lt;D xsi:type="xsd:double"&gt;0.730800369188098&lt;/D&gt;&lt;/FQL&gt;&lt;FQL&gt;&lt;Q&gt;600588-CN^PERCENT_CHANGE(FE_VALUATION(FFEV_EBITDA,MEAN,NTMA,,0,,,''),MAX(FE_VALUATION(FFEV_EBITDA,MEAN,NTMA,,-1AY,0,,'')))&lt;/Q&gt;&lt;R&gt;1&lt;/R&gt;&lt;C&gt;1&lt;/C&gt;&lt;D xsi:type="xsd:double"&gt;-38.845174237768&lt;/D&gt;&lt;/FQL&gt;&lt;FQL&gt;&lt;Q&gt;600588-CN^PERCENT_CHANGE(FE_VALUATION(PE,MEAN,NTMA,,0,,,''),MAX(FE_VALUATION(PE,MEAN,NTMA,,-1AY,0,,'')))&lt;/Q&gt;&lt;R&gt;1&lt;/R&gt;&lt;C&gt;1&lt;/C&gt;&lt;D xsi:type="xsd:double"&gt;-99.6212737628041&lt;/D&gt;&lt;/FQL&gt;&lt;FQL&gt;&lt;Q&gt;600588-CN^FE_VALUATION(FFEV_EBITDA,MEAN,NTMA,,0,,,'')&lt;/Q&gt;&lt;R&gt;1&lt;/R&gt;&lt;C&gt;1&lt;/C&gt;&lt;D xsi:type="xsd:double"&gt;42.028336&lt;/D&gt;&lt;/FQL&gt;&lt;FQL&gt;&lt;Q&gt;600588-CN^FE_VALUATION(FFEV_SALES,MEAN,NTMA,,0,,,'')&lt;/Q&gt;&lt;R&gt;1&lt;/R&gt;&lt;C&gt;1&lt;/C&gt;&lt;D xsi:type="xsd:double"&gt;4.900148&lt;/D&gt;&lt;/FQL&gt;&lt;FQL&gt;&lt;Q&gt;600588-CN^FE_VALUATION(P_SALESPS,MEAN,NTMA,,0,,,'')&lt;/Q&gt;&lt;R&gt;1&lt;/R&gt;&lt;C&gt;1&lt;/C&gt;&lt;D xsi:type="xsd:double"&gt;4.5385985&lt;/D&gt;&lt;/FQL&gt;&lt;FQL&gt;&lt;Q&gt;600588-CN^FE_VALUATION(PE,MEAN,NTMA,,0,,,'')&lt;/Q&gt;&lt;R&gt;1&lt;/R&gt;&lt;C&gt;1&lt;/C&gt;&lt;D xsi:type="xsd:double"&gt;1627.1652&lt;/D&gt;&lt;/FQL&gt;&lt;FQL&gt;&lt;Q&gt;600588-CN^FE_ACTUAL(ACTUAL,SALES,ANN_ROLL,0,,,,'CURRENCY=USD')&lt;/Q&gt;&lt;R&gt;1&lt;/R&gt;&lt;C&gt;1&lt;/C&gt;&lt;D xsi:type="xsd:double"&gt;1260.1362&lt;/D&gt;&lt;/FQL&gt;&lt;FQL&gt;&lt;Q&gt;600588-CN^FE_ACTUAL(ACTUAL,SALES,ANN_ROLL,-1,,,,'CURRENCY=USD')&lt;/Q&gt;&lt;R&gt;1&lt;/R&gt;&lt;C&gt;1&lt;/C&gt;&lt;D xsi:type="xsd:double"&gt;1355.3845&lt;/D&gt;&lt;/FQL&gt;&lt;FQL&gt;&lt;Q&gt;600588-CN^FE_VALUATION(EBITDA_MARGIN,MEAN,ANN_ROLL,0,NOW,,,'')&lt;/Q&gt;&lt;R&gt;1&lt;/R&gt;&lt;C&gt;1&lt;/C&gt;&lt;D xsi:type="xsd:double"&gt;-8.551085&lt;/D&gt;&lt;/FQL&gt;&lt;FQL&gt;&lt;Q&gt;600588-CN^FE_VALUATION(ROIC,MEAN,NTMA,,0,,,'')&lt;/Q&gt;&lt;R&gt;0&lt;/R&gt;&lt;C&gt;0&lt;/C&gt;&lt;/FQL&gt;&lt;FQL&gt;&lt;Q&gt;600588-CN^FE_VALUATION(ROE,MEAN,NTMA,,0,,,'')&lt;/Q&gt;&lt;R&gt;1&lt;/R&gt;&lt;C&gt;1&lt;/C&gt;&lt;D xsi:type="xsd:double"&gt;0.37831128&lt;/D&gt;&lt;/FQL&gt;&lt;FQL&gt;&lt;Q&gt;600588-CN^FE_VALUATION(DIV_YLD,MEAN,NTMA,,NOW,,,'')&lt;/Q&gt;&lt;R&gt;1&lt;/R&gt;&lt;C&gt;1&lt;/C&gt;&lt;D xsi:type="xsd:double"&gt;0.09389086&lt;/D&gt;&lt;/FQL&gt;&lt;FQL&gt;&lt;Q&gt;600588-CN^FE_VALUATION(MCAP_FCF,MEAN,NTMA,,NOW,,,'')&lt;/Q&gt;&lt;R&gt;1&lt;/R&gt;&lt;C&gt;1&lt;/C&gt;&lt;D xsi:type="xsd:double"&gt;-0.79244375&lt;/D&gt;&lt;/FQL&gt;&lt;FQL&gt;&lt;Q&gt;600588-CN^FE_VALUATION(NETDEBT_EBITDA,MEAN,NTMA,,NOW,,,'')&lt;/Q&gt;&lt;R&gt;1&lt;/R&gt;&lt;C&gt;1&lt;/C&gt;&lt;D xsi:type="xsd:double"&gt;0.9734966&lt;/D&gt;&lt;/FQL&gt;&lt;FQL&gt;&lt;Q&gt;600588-CN^FF_NET_MGN(LTM_R,0)&lt;/Q&gt;&lt;R&gt;1&lt;/R&gt;&lt;C&gt;1&lt;/C&gt;&lt;D xsi:type="xsd:double"&gt;-22.3645496218344&lt;/D&gt;&lt;/FQL&gt;&lt;FQL&gt;&lt;Q&gt;600588-CN^FF_EBITDA_OPER_MGN(LTM_R,0)&lt;/Q&gt;&lt;R&gt;0&lt;/R&gt;&lt;C&gt;0&lt;/C&gt;&lt;/FQL&gt;&lt;FQL&gt;&lt;Q&gt;600588-CN^FF_GROSS_MGN(LTM_R,0)&lt;/Q&gt;&lt;R&gt;1&lt;/R&gt;&lt;C&gt;1&lt;/C&gt;&lt;D xsi:type="xsd:double"&gt;47.6444237145371&lt;/D&gt;&lt;/FQL&gt;&lt;FQL&gt;&lt;Q&gt;600588-CN^POW(FE_ESTIMATE(EPS,MEAN,STMA,,NOW,,,'CURRENCY=USD')/FE_ESTIMATE(EPS,MEAN,LTMA,,NOW,,,'CURRENCY=USD'),0.5)-1&lt;/Q&gt;&lt;R&gt;0&lt;/R&gt;&lt;C&gt;0&lt;/C&gt;&lt;/FQL&gt;&lt;FQL&gt;&lt;Q&gt;600588-CN^POW(FE_ESTIMATE(SALES,MEAN,STMA,,NOW,,,'CURRENCY=USD')/FE_ESTIMATE(SALES,MEAN,LTMA,,NOW,,,'CURRENCY=USD'),0.5)-1&lt;/Q&gt;&lt;R&gt;1&lt;/R&gt;&lt;C&gt;1&lt;/C&gt;&lt;D xsi:type="xsd:double"&gt;0.0884946026508353&lt;/D&gt;&lt;/FQL&gt;&lt;FQL&gt;&lt;Q&gt;600588-CN^FE_ACTUAL(ACTUAL,EPS,ANN_ROLL,0,,,,'CURRENCY=USD')&lt;/Q&gt;&lt;R&gt;1&lt;/R&gt;&lt;C&gt;1&lt;/C&gt;&lt;D xsi:type="xsd:double"&gt;-0.0826048&lt;/D&gt;&lt;/FQL&gt;&lt;FQL&gt;&lt;Q&gt;600588-CN^OS_SEC_FLT_PCT(0D,,MTD,SEC)&lt;/Q&gt;&lt;R&gt;1&lt;/R&gt;&lt;C&gt;1&lt;/C&gt;&lt;D xsi:type="xsd:double"&gt;47.9218&lt;/D&gt;&lt;/FQL&gt;&lt;FQL&gt;&lt;Q&gt;600588-CN^AVG(P_VOLUME_FRQ(-1AM,NOW,D,,6))*P_PRICE_AVG(-1AM,NOW,,USD)&lt;/Q&gt;&lt;R&gt;1&lt;/R&gt;&lt;C&gt;1&lt;/C&gt;&lt;D xsi:type="xsd:double"&gt;185.037312528341&lt;/D&gt;&lt;/FQL&gt;&lt;FQL&gt;&lt;Q&gt;600588-CN^FCS_EV_DAILY(MV,NOW,,,USD,M)&lt;/Q&gt;&lt;R&gt;1&lt;/R&gt;&lt;C&gt;1&lt;/C&gt;&lt;D xsi:type="xsd:double"&gt;6899.22794652492&lt;/D&gt;&lt;/FQL&gt;&lt;FQL&gt;&lt;Q&gt;600588-CN^P_DCOUNTRY&lt;/Q&gt;&lt;R&gt;1&lt;/R&gt;&lt;C&gt;1&lt;/C&gt;&lt;D xsi:type="xsd:string"&gt;CHINA&lt;/D&gt;&lt;/FQL&gt;&lt;FQL&gt;&lt;Q&gt;600588-CN^FR_RBICS_NAME_CURR("IND")&lt;/Q&gt;&lt;R&gt;1&lt;/R&gt;&lt;C&gt;1&lt;/C&gt;&lt;D xsi:type="xsd:string"&gt;General Enterprise Management Software&lt;/D&gt;&lt;/FQL&gt;&lt;FQL&gt;&lt;Q&gt;WTC-AU^FE_RATING(MEAN,TEXTONLY,0,NOW,,,'')&lt;/Q&gt;&lt;R&gt;1&lt;/R&gt;&lt;C&gt;1&lt;/C&gt;&lt;D xsi:type="xsd:string"&gt;Buy&lt;/D&gt;&lt;/FQL&gt;&lt;FQL&gt;&lt;Q&gt;WTC-AU^FG_PRICE(0,,,USD)/FG_PRICE_MAVG(0,,,USD,200)&lt;/Q&gt;&lt;R&gt;1&lt;/R&gt;&lt;C&gt;1&lt;/C&gt;&lt;D xsi:type="xsd:double"&gt;0.528439410397321&lt;/D&gt;&lt;/FQL&gt;&lt;FQL&gt;&lt;Q&gt;WTC-AU^FG_PRICE(0,,,USD)/FG_PRICE_MAVG(0,,,USD,100)&lt;/Q&gt;&lt;R&gt;1&lt;/R&gt;&lt;C&gt;1&lt;/C&gt;&lt;D xsi:type="xsd:double"&gt;0.67308853732463&lt;/D&gt;&lt;/FQL&gt;&lt;FQL&gt;&lt;Q&gt;WTC-AU^FG_PRICE(0,,,USD)/FG_PRICE_MAVG(0,,,USD,50)&lt;/Q&gt;&lt;R&gt;1&lt;/R&gt;&lt;C&gt;1&lt;/C&gt;&lt;D xsi:type="xsd:double"&gt;0.736929327068808&lt;/D&gt;&lt;/FQL&gt;&lt;FQL&gt;&lt;Q&gt;WTC-AU^RTP_PRICE_TARGET(USD)/FG_PRICE(0,,,USD)&lt;/Q&gt;&lt;R&gt;1&lt;/R&gt;&lt;C&gt;1&lt;/C&gt;&lt;D xsi:type="xsd:double"&gt;2.21416474461287&lt;/D&gt;&lt;/FQL&gt;&lt;FQL&gt;&lt;Q&gt;WTC-AU^FG_PRICE(0,,,USD)/P_PRICE_HIGH(-1AY,0,USD,,,"PRICE","INTRA")&lt;/Q&gt;&lt;R&gt;1&lt;/R&gt;&lt;C&gt;1&lt;/C&gt;&lt;D xsi:type="xsd:double"&gt;0.378248067290129&lt;/D&gt;&lt;/FQL&gt;&lt;FQL&gt;&lt;Q&gt;WTC-AU^PERCENT_CHANGE(FE_VALUATION(FFEV_EBITDA,MEAN,NTMA,,0,,,''),MAX(FE_VALUATION(FFEV_EBITDA,MEAN,NTMA,,-1AY,0,,'')))&lt;/Q&gt;&lt;R&gt;1&lt;/R&gt;&lt;C&gt;1&lt;/C&gt;&lt;D xsi:type="xsd:double"&gt;-67.4679980194177&lt;/D&gt;&lt;/FQL&gt;&lt;FQL&gt;&lt;Q&gt;WTC-AU^PERCENT_CHANGE(FE_VALUATION(PE,MEAN,NTMA,,0,,,''),MAX(FE_VALUATION(PE,MEAN,NTMA,,-1AY,0,,'')))&lt;/Q&gt;&lt;R&gt;1&lt;/R&gt;&lt;C&gt;1&lt;/C&gt;&lt;D xsi:type="xsd:double"&gt;-59.0298669136972&lt;/D&gt;&lt;/FQL&gt;&lt;FQL&gt;&lt;Q&gt;WTC-AU^FE_VALUATION(FFEV_EBITDA,MEAN,NTMA,,0,,,'')&lt;/Q&gt;&lt;R&gt;1&lt;/R&gt;&lt;C&gt;1&lt;/C&gt;&lt;D xsi:type="xsd:double"&gt;14.573994&lt;/D&gt;&lt;/FQL&gt;&lt;FQL&gt;&lt;Q&gt;WTC-AU^FE_VALUATION(FFEV_SALES,MEAN,NTMA,,0,,,'')&lt;/Q&gt;&lt;R&gt;1&lt;/R&gt;&lt;C&gt;1&lt;/C&gt;&lt;D xsi:type="xsd:double"&gt;6.485777&lt;/D&gt;&lt;/FQL&gt;&lt;FQL&gt;&lt;Q&gt;WTC-AU^FE_VALUATION(P_SALESPS,MEAN,NTMA,,0,,,'')&lt;/Q&gt;&lt;R&gt;1&lt;/R&gt;&lt;C&gt;1&lt;/C&gt;&lt;D xsi:type="xsd:double"&gt;6.570038&lt;/D&gt;&lt;/FQL&gt;&lt;FQL&gt;&lt;Q&gt;WTC-AU^FE_VALUATION(PE,MEAN,NTMA,,0,,,'')&lt;/Q&gt;&lt;R&gt;1&lt;/R&gt;&lt;C&gt;1&lt;/C&gt;&lt;D xsi:type="xsd:double"&gt;33.768036&lt;/D&gt;&lt;/FQL&gt;&lt;FQL&gt;&lt;Q&gt;WTC-AU^FE_ACTUAL(ACTUAL,SALES,ANN_ROLL,0,,,,'CURRENCY=USD')&lt;/Q&gt;&lt;R&gt;1&lt;/R&gt;&lt;C&gt;1&lt;/C&gt;&lt;D xsi:type="xsd:double"&gt;778.7&lt;/D&gt;&lt;/FQL&gt;&lt;FQL&gt;&lt;Q&gt;WTC-AU^FE_ACTUAL(ACTUAL,SALES,ANN_ROLL,-1,,,,'CURRENCY=USD')&lt;/Q&gt;&lt;R&gt;1&lt;/R&gt;&lt;C&gt;1&lt;/C&gt;&lt;D xsi:type="xsd:double"&gt;679.98206&lt;/D&gt;&lt;/FQL&gt;&lt;FQL&gt;&lt;Q&gt;WTC-AU^FE_VALUATION(EBITDA_MARGIN,MEAN,ANN_ROLL,0,NOW,,,'')&lt;/Q&gt;&lt;R&gt;1&lt;/R&gt;&lt;C&gt;1&lt;/C&gt;&lt;D xsi:type="xsd:double"&gt;49.004753&lt;/D&gt;&lt;/FQL&gt;&lt;FQL&gt;&lt;Q&gt;WTC-AU^FE_VALUATION(ROIC,MEAN,NTMA,,0,,,'')&lt;/Q&gt;&lt;R&gt;1&lt;/R&gt;&lt;C&gt;1&lt;/C&gt;&lt;D xsi:type="xsd:double"&gt;7.1074185&lt;/D&gt;&lt;/FQL&gt;&lt;FQL&gt;&lt;Q&gt;WTC-AU^FE_VALUATION(ROE,MEAN,NTMA,,0,,,'')&lt;/Q&gt;&lt;R&gt;1&lt;/R&gt;&lt;C&gt;1&lt;/C&gt;&lt;D xsi:type="xsd:double"&gt;13.849455&lt;/D&gt;&lt;/FQL&gt;&lt;FQL&gt;&lt;Q&gt;WTC-AU^FE_VALUATION(DIV_YLD,MEAN,NTMA,,NOW,,,'')&lt;/Q&gt;&lt;R&gt;1&lt;/R&gt;&lt;C&gt;1&lt;/C&gt;&lt;D xsi:type="xsd:double"&gt;0.61087143&lt;/D&gt;&lt;/FQL&gt;&lt;FQL&gt;&lt;Q&gt;WTC-AU^FE_VALUATION(MCAP_FCF,MEAN,NTMA,,NOW,,,'')&lt;/Q&gt;&lt;R&gt;1&lt;/R&gt;&lt;C&gt;1&lt;/C&gt;&lt;D xsi:type="xsd:double"&gt;2.541442&lt;/D&gt;&lt;/FQL&gt;&lt;FQL&gt;&lt;Q&gt;WTC-AU^FE_VALUATION(NETDEBT_EBITDA,MEAN,NTMA,,NOW,,,'')&lt;/Q&gt;&lt;R&gt;1&lt;/R&gt;&lt;C&gt;1&lt;/C&gt;&lt;D xsi:type="xsd:double"&gt;2.436626&lt;/D&gt;&lt;/FQL&gt;&lt;FQL&gt;&lt;Q&gt;WTC-AU^FF_NET_MGN(LTM_R,0)&lt;/Q&gt;&lt;R&gt;0&lt;/R&gt;&lt;C&gt;0&lt;/C&gt;&lt;/FQL&gt;&lt;FQL&gt;&lt;Q&gt;WTC-AU^FF_EBITDA_OPER_MGN(LTM_R,0)&lt;/Q&gt;&lt;R&gt;0&lt;/R&gt;&lt;C&gt;0&lt;/C&gt;&lt;/FQL&gt;&lt;FQL&gt;&lt;Q&gt;WTC-AU^FF_GROSS_MGN(LTM_R,0)&lt;/Q&gt;&lt;R&gt;0&lt;/R&gt;&lt;C&gt;0&lt;/C&gt;&lt;/FQL&gt;&lt;FQL&gt;&lt;Q&gt;WTC-AU^POW(FE_ESTIMATE(EPS,MEAN,STMA,,NOW,,,'CURRENCY=USD')/FE_ESTIMATE(EPS,MEAN,LTMA,,NOW,,,'CURRENCY=USD'),0.5)-1&lt;/Q&gt;&lt;R&gt;1&lt;/R&gt;&lt;C&gt;1&lt;/C&gt;&lt;D xsi:type="xsd:double"&gt;0.306702108362882&lt;/D&gt;&lt;/FQL&gt;&lt;FQL&gt;&lt;Q&gt;WTC-AU^POW(FE_ESTIMATE(SALES,MEAN,STMA,,NOW,,,'CURRENCY=USD')/FE_ESTIMATE(SALES,MEAN,LTMA,,NOW,,,'CURRENCY=USD'),0.5)-1&lt;/Q&gt;&lt;R&gt;1&lt;/R&gt;&lt;C&gt;1&lt;/C&gt;&lt;D xsi:type="xsd:double"&gt;0.214485281919876&lt;/D&gt;&lt;/FQL&gt;&lt;FQL&gt;&lt;Q&gt;WTC-AU^FE_ACTUAL(ACTUAL,EPS,ANN_ROLL,0,,,,'CURRENCY=USD')&lt;/Q&gt;&lt;R&gt;1&lt;/R&gt;&lt;C&gt;1&lt;/C&gt;&lt;D xsi:type="xsd:double"&gt;0.723086&lt;/D&gt;&lt;/FQL&gt;&lt;FQL&gt;&lt;Q&gt;WTC-AU^OS_SEC_FLT_PCT(0D,,MTD,SEC)&lt;/Q&gt;&lt;R&gt;1&lt;/R&gt;&lt;C&gt;1&lt;/C&gt;&lt;D xsi:type="xsd:double"&gt;57.2564&lt;/D&gt;&lt;/FQL&gt;&lt;FQL&gt;&lt;Q&gt;WTC-AU^AVG(P_VOLUME_FRQ(-1AM,NOW,D,,6))*P_PRICE_AVG(-1AM,NOW,,USD)&lt;/Q&gt;&lt;R&gt;1&lt;/R&gt;&lt;C&gt;1&lt;/C&gt;&lt;D xsi:type="xsd:double"&gt;71.3892577149636&lt;/D&gt;&lt;/FQL&gt;&lt;FQL&gt;&lt;Q&gt;WTC-AU^FCS_EV_DAILY(MV,NOW,,,USD,M)&lt;/Q&gt;&lt;R&gt;1&lt;/R&gt;&lt;C&gt;1&lt;/C&gt;&lt;D xsi:type="xsd:double"&gt;10234.1238930509&lt;/D&gt;&lt;/FQL&gt;&lt;FQL&gt;&lt;Q&gt;WTC-AU^P_DCOUNTRY&lt;/Q&gt;&lt;R&gt;1&lt;/R&gt;&lt;C&gt;1&lt;/C&gt;&lt;D xsi:type="xsd:string"&gt;AUSTRALIA&lt;/D&gt;&lt;/FQL&gt;&lt;FQL&gt;&lt;Q&gt;WTC-AU^FR_RBICS_NAME_CURR("IND")&lt;/Q&gt;&lt;R&gt;1&lt;/R&gt;&lt;C&gt;1&lt;/C&gt;&lt;D xsi:type="xsd:string"&gt;Enterprise Resource Planning Software&lt;/D&gt;&lt;/FQL&gt;&lt;FQL&gt;&lt;Q&gt;PSN-US^FE_RATING(MEAN,TEXTONLY,0,NOW,,,'')&lt;/Q&gt;&lt;R&gt;1&lt;/R&gt;&lt;C&gt;1&lt;/C&gt;&lt;D xsi:type="xsd:string"&gt;Overweight&lt;/D&gt;&lt;/FQL&gt;&lt;FQL&gt;&lt;Q&gt;PSN-US^FG_PRICE(0,,,USD)/FG_PRICE_MAVG(0,,,USD,200)&lt;/Q&gt;&lt;R&gt;1&lt;/R&gt;&lt;C&gt;1&lt;/C&gt;&lt;D xsi:type="xsd:double"&gt;0.871327349832745&lt;/D&gt;&lt;/FQL&gt;&lt;FQL&gt;&lt;Q&gt;PSN-US^FG_PRICE(0,,,USD)/FG_PRICE_MAVG(0,,,USD,100)&lt;/Q&gt;&lt;R&gt;1&lt;/R&gt;&lt;C&gt;1&lt;/C&gt;&lt;D xsi:type="xsd:double"&gt;0.867400025744443&lt;/D&gt;&lt;/FQL&gt;&lt;FQL&gt;&lt;Q&gt;PSN-US^FG_PRICE(0,,,USD)/FG_PRICE_MAVG(0,,,USD,50)&lt;/Q&gt;&lt;R&gt;1&lt;/R&gt;&lt;C&gt;1&lt;/C&gt;&lt;D xsi:type="xsd:double"&gt;0.973980023547762&lt;/D&gt;&lt;/FQL&gt;&lt;FQL&gt;&lt;Q&gt;PSN-US^RTP_PRICE_TARGET(USD)/FG_PRICE(0,,,USD)&lt;/Q&gt;&lt;R&gt;1&lt;/R&gt;&lt;C&gt;1&lt;/C&gt;&lt;D xsi:type="xsd:double"&gt;1.24931494821456&lt;/D&gt;&lt;/FQL&gt;&lt;FQL&gt;&lt;Q&gt;PSN-US^FG_PRICE(0,,,USD)/P_PRICE_HIGH(-1AY,0,USD,,,"PRICE","INTRA")&lt;/Q&gt;&lt;R&gt;1&lt;/R&gt;&lt;C&gt;1&lt;/C&gt;&lt;D xsi:type="xsd:double"&gt;0.722793296089385&lt;/D&gt;&lt;/FQL&gt;&lt;FQL&gt;&lt;Q&gt;PSN-US^PERCENT_CHANGE(FE_VALUATION(FFEV_EBITDA,MEAN,NTMA,,0,,,''),MAX(FE_VALUATION(FFEV_EBITDA,MEAN,NTMA,,-1AY,0,,'')))&lt;/Q&gt;&lt;R&gt;1&lt;/R&gt;&lt;C&gt;1&lt;/C&gt;&lt;D xsi:type="xsd:double"&gt;-24.7920847563561&lt;/D&gt;&lt;/FQL&gt;&lt;FQL&gt;&lt;Q&gt;PSN-US^PERCENT_CHANGE(FE_VALUATION(PE,MEAN,NTMA,,0,,,''),MAX(FE_VALUATION(PE,MEAN,NTMA,,-1AY,0,,'')))&lt;/Q&gt;&lt;R&gt;1&lt;/R&gt;&lt;C&gt;1&lt;/C&gt;&lt;D xsi:type="xsd:double"&gt;-25.4755365739178&lt;/D&gt;&lt;/FQL&gt;&lt;FQL&gt;&lt;Q&gt;PSN-US^FE_VALUATION(FFEV_EBITDA,MEAN,NTMA,,0,,,'')&lt;/Q&gt;&lt;R&gt;1&lt;/R&gt;&lt;C&gt;1&lt;/C&gt;&lt;D xsi:type="xsd:double"&gt;12.325471&lt;/D&gt;&lt;/FQL&gt;&lt;FQL&gt;&lt;Q&gt;PSN-US^FE_VALUATION(FFEV_SALES,MEAN,NTMA,,0,,,'')&lt;/Q&gt;&lt;R&gt;1&lt;/R&gt;&lt;C&gt;1&lt;/C&gt;&lt;D xsi:type="xsd:double"&gt;1.202695&lt;/D&gt;&lt;/FQL&gt;&lt;FQL&gt;&lt;Q&gt;PSN-US^FE_VALUATION(P_SALESPS,MEAN,NTMA,,0,,,'')&lt;/Q&gt;&lt;R&gt;1&lt;/R&gt;&lt;C&gt;1&lt;/C&gt;&lt;D xsi:type="xsd:double"&gt;1.0113027&lt;/D&gt;&lt;/FQL&gt;&lt;FQL&gt;&lt;Q&gt;PSN-US^FE_VALUATION(PE,MEAN,NTMA,,0,,,'')&lt;/Q&gt;&lt;R&gt;1&lt;/R&gt;&lt;C&gt;1&lt;/C&gt;&lt;D xsi:type="xsd:double"&gt;19.211885&lt;/D&gt;&lt;/FQL&gt;&lt;FQL&gt;&lt;Q&gt;PSN-US^FE_ACTUAL(ACTUAL,SALES,ANN_ROLL,0,,,,'CURRENCY=USD')&lt;/Q&gt;&lt;R&gt;1&lt;/R&gt;&lt;C&gt;1&lt;/C&gt;&lt;D xsi:type="xsd:double"&gt;6364.245&lt;/D&gt;&lt;/FQL&gt;&lt;FQL&gt;&lt;Q&gt;PSN-US^FE_ACTUAL(ACTUAL,SALES,ANN_ROLL,-1,,,,'CURRENCY=USD')&lt;/Q&gt;&lt;R&gt;1&lt;/R&gt;&lt;C&gt;1&lt;/C&gt;&lt;D xsi:type="xsd:double"&gt;6750.576&lt;/D&gt;&lt;/FQL&gt;&lt;FQL&gt;&lt;Q&gt;PSN-US^FE_VALUATION(EBITDA_MARGIN,MEAN,ANN_ROLL,0,NOW,,,'')&lt;/Q&gt;&lt;R&gt;1&lt;/R&gt;&lt;C&gt;1&lt;/C&gt;&lt;D xsi:type="xsd:double"&gt;9.573894&lt;/D&gt;&lt;/FQL&gt;&lt;FQL&gt;&lt;Q&gt;PSN-US^FE_VALUATION(ROIC,MEAN,NTMA,,0,,,'')&lt;/Q&gt;&lt;R&gt;1&lt;/R&gt;&lt;C&gt;1&lt;/C&gt;&lt;D xsi:type="xsd:double"&gt;6.479396&lt;/D&gt;&lt;/FQL&gt;&lt;FQL&gt;&lt;Q&gt;PSN-US^FE_VALUATION(ROE,MEAN,NTMA,,0,,,'')&lt;/Q&gt;&lt;R&gt;1&lt;/R&gt;&lt;C&gt;1&lt;/C&gt;&lt;D xsi:type="xsd:double"&gt;12.483823&lt;/D&gt;&lt;/FQL&gt;&lt;FQL&gt;&lt;Q&gt;PSN-US^FE_VALUATION(DIV_YLD,MEAN,NTMA,,NOW,,,'')&lt;/Q&gt;&lt;R&gt;1&lt;/R&gt;&lt;C&gt;1&lt;/C&gt;&lt;D xsi:type="xsd:double"&gt;0&lt;/D&gt;&lt;/FQL&gt;&lt;FQL&gt;&lt;Q&gt;PSN-US^FE_VALUATION(MCAP_FCF,MEAN,NTMA,,NOW,,,'')&lt;/Q&gt;&lt;R&gt;1&lt;/R&gt;&lt;C&gt;1&lt;/C&gt;&lt;D xsi:type="xsd:double"&gt;6.1855626&lt;/D&gt;&lt;/FQL&gt;&lt;FQL&gt;&lt;Q&gt;PSN-US^FE_VALUATION(NETDEBT_EBITDA,MEAN,NTMA,,NOW,,,'')&lt;/Q&gt;&lt;R&gt;1&lt;/R&gt;&lt;C&gt;1&lt;/C&gt;&lt;D xsi:type="xsd:double"&gt;0.4243441&lt;/D&gt;&lt;/FQL&gt;&lt;FQL&gt;&lt;Q&gt;PSN-US^FF_NET_MGN(LTM_R,0)&lt;/Q&gt;&lt;R&gt;1&lt;/R&gt;&lt;C&gt;1&lt;/C&gt;&lt;D xsi:type="xsd:double"&gt;3.78896475544232&lt;/D&gt;&lt;/FQL&gt;&lt;FQL&gt;&lt;Q&gt;PSN-US^FF_EBITDA_OPER_MGN(LTM_R,0)&lt;/Q&gt;&lt;R&gt;1&lt;/R&gt;&lt;C&gt;1&lt;/C&gt;&lt;D xsi:type="xsd:double"&gt;8.29202835528802&lt;/D&gt;&lt;/FQL&gt;&lt;FQL&gt;&lt;Q&gt;PSN-US^FF_GROSS_MGN(LTM_R,0)&lt;/Q&gt;&lt;R&gt;1&lt;/R&gt;&lt;C&gt;1&lt;/C&gt;&lt;D xsi:type="xsd:double"&gt;22.4933829543017&lt;/D&gt;&lt;/FQL&gt;&lt;FQL&gt;&lt;Q&gt;PSN-US^POW(FE_ESTIMATE(EPS,MEAN,STMA,,NOW,,,'CURRENCY=USD')/FE_ESTIMATE(EPS,MEAN,LTMA,,NOW,,,'CURRENCY=USD'),0.5)-1&lt;/Q&gt;&lt;R&gt;1&lt;/R&gt;&lt;C&gt;1&lt;/C&gt;&lt;D xsi:type="xsd:double"&gt;0.0942533070546325&lt;/D&gt;&lt;/FQL&gt;&lt;FQL&gt;&lt;Q&gt;PSN-US^POW(FE_ESTIMATE(SALES,MEAN,STMA,,NOW,,,'CURRENCY=USD')/FE_ESTIMATE(SALES,MEAN,LTMA,,NOW,,,'CURRENCY=USD'),0.5)-1&lt;/Q&gt;&lt;R&gt;1&lt;/R&gt;&lt;C&gt;1&lt;/C&gt;&lt;D xsi:type="xsd:double"&gt;0.0647308110503799&lt;/D&gt;&lt;/FQL&gt;&lt;FQL&gt;&lt;Q&gt;PSN-US^FE_ACTUAL(ACTUAL,EPS,ANN_ROLL,0,,,,'CURRENCY=USD')&lt;/Q&gt;&lt;R&gt;1&lt;/R&gt;&lt;C&gt;1&lt;/C&gt;&lt;D xsi:type="xsd:double"&gt;3.17&lt;/D&gt;&lt;/FQL&gt;&lt;FQL&gt;&lt;Q&gt;PSN-US^OS_SEC_FLT_PCT(0D,,MTD,SEC)&lt;/Q&gt;&lt;R&gt;1&lt;/R&gt;&lt;C&gt;1&lt;/C&gt;&lt;D xsi:type="xsd:double"&gt;98.6373&lt;/D&gt;&lt;/FQL&gt;&lt;FQL&gt;&lt;Q&gt;PSN-US^AVG(P_VOLUME_FRQ(-1AM,NOW,D,,6))*P_PRICE_AVG(-1AM,NOW,,USD)&lt;/Q&gt;&lt;R&gt;1&lt;/R&gt;&lt;C&gt;1&lt;/C&gt;&lt;D xsi:type="xsd:double"&gt;83.8229120938961&lt;/D&gt;&lt;/FQL&gt;&lt;FQL&gt;&lt;Q&gt;PSN-US^FCS_EV_DAILY(MV,NOW,,,USD,M)&lt;/Q&gt;&lt;R&gt;1&lt;/R&gt;&lt;C&gt;1&lt;/C&gt;&lt;D xsi:type="xsd:double"&gt;6949.14625816&lt;/D&gt;&lt;/FQL&gt;&lt;FQL&gt;&lt;Q&gt;PSN-US^P_DCOUNTRY&lt;/Q&gt;&lt;R&gt;1&lt;/R&gt;&lt;C&gt;1&lt;/C&gt;&lt;D xsi:type="xsd:string"&gt;UNITED STATES&lt;/D&gt;&lt;/FQL&gt;&lt;FQL&gt;&lt;Q&gt;PSN-US^FR_RBICS_NAME_CURR("IND")&lt;/Q&gt;&lt;R&gt;1&lt;/R&gt;&lt;C&gt;1&lt;/C&gt;&lt;D xsi:type="xsd:string"&gt;Industry-Specific Software&lt;/D&gt;&lt;/FQL&gt;&lt;FQL&gt;&lt;Q&gt;TNE-AU^FE_RATING(MEAN,TEXTONLY,0,NOW,,,'')&lt;/Q&gt;&lt;R&gt;1&lt;/R&gt;&lt;C&gt;1&lt;/C&gt;&lt;D xsi:type="xsd:string"&gt;Overweight&lt;/D&gt;&lt;/FQL&gt;&lt;FQL&gt;&lt;Q&gt;TNE-AU^FG_PRICE(0,,,USD)/FG_PRICE_MAVG(0,,,USD,200)&lt;/Q&gt;&lt;R&gt;1&lt;/R&gt;&lt;C&gt;1&lt;/C&gt;&lt;D xsi:type="xsd:double"&gt;0.693619673906044&lt;/D&gt;&lt;/FQL&gt;&lt;FQL&gt;&lt;Q&gt;TNE-AU^FG_PRICE(0,,,USD)/FG_PRICE_MAVG(0,,,USD,100)&lt;/Q&gt;&lt;R&gt;1&lt;/R&gt;&lt;C&gt;1&lt;/C&gt;&lt;D xsi:type="xsd:double"&gt;0.786841816988765&lt;/D&gt;&lt;/FQL&gt;&lt;FQL&gt;&lt;Q&gt;TNE-AU^FG_PRICE(0,,,USD)/FG_PRICE_MAVG(0,,,USD,50)&lt;/Q&gt;&lt;R&gt;1&lt;/R&gt;&lt;C&gt;1&lt;/C&gt;&lt;D xsi:type="xsd:double"&gt;0.902663889029591&lt;/D&gt;&lt;/FQL&gt;&lt;FQL&gt;&lt;Q&gt;TNE-AU^RTP_PRICE_TARGET(USD)/FG_PRICE(0,,,USD)&lt;/Q&gt;&lt;R&gt;1&lt;/R&gt;&lt;C&gt;1&lt;/C&gt;&lt;D xsi:type="xsd:double"&gt;1.45256009174724&lt;/D&gt;&lt;/FQL&gt;&lt;FQL&gt;&lt;Q&gt;TNE-AU^FG_PRICE(0,,,USD)/P_PRICE_HIGH(-1AY,0,USD,,,"PRICE","INTRA")&lt;/Q&gt;&lt;R&gt;1&lt;/R&gt;&lt;C&gt;1&lt;/C&gt;&lt;D xsi:type="xsd:double"&gt;0.572610847318002&lt;/D&gt;&lt;/FQL&gt;&lt;FQL&gt;&lt;Q&gt;TNE-AU^PERCENT_CHANGE(FE_VALUATION(FFEV_EBITDA,MEAN,NTMA,,0,,,''),MAX(FE_VALUATION(FFEV_EBITDA,MEAN,NTMA,,-1AY,0,,'')))&lt;/Q&gt;&lt;R&gt;1&lt;/R&gt;&lt;C&gt;1&lt;/C&gt;&lt;D xsi:type="xsd:double"&gt;-53.8180611332459&lt;/D&gt;&lt;/FQL&gt;&lt;FQL&gt;&lt;Q&gt;TNE-AU^PERCENT_CHANGE(FE_VALUATION(PE,MEAN,NTMA,,0,,,''),MAX(FE_VALUATION(PE,MEAN,NTMA,,-1AY,0,,'')))&lt;/Q&gt;&lt;R&gt;1&lt;/R&gt;&lt;C&gt;1&lt;/C&gt;&lt;D xsi:type="xsd:double"&gt;-52.6149648460284&lt;/D&gt;&lt;/FQL&gt;&lt;FQL&gt;&lt;Q&gt;TNE-AU^FE_VALUATION(FFEV_EBITDA,MEAN,NTMA,,0,,,'')&lt;/Q&gt;&lt;R&gt;1&lt;/R&gt;&lt;C&gt;1&lt;/C&gt;&lt;D xsi:type="xsd:double"&gt;22.166758&lt;/D&gt;&lt;/FQL&gt;&lt;FQL&gt;&lt;Q&gt;TNE-AU^FE_VALUATION(FFEV_SALES,MEAN,NTMA,,0,,,'')&lt;/Q&gt;&lt;R&gt;1&lt;/R&gt;&lt;C&gt;1&lt;/C&gt;&lt;D xsi:type="xsd:double"&gt;9.812459&lt;/D&gt;&lt;/FQL&gt;&lt;FQL&gt;&lt;Q&gt;TNE-AU^FE_VALUATION(P_SALESPS,MEAN,NTMA,,0,,,'')&lt;/Q&gt;&lt;R&gt;1&lt;/R&gt;&lt;C&gt;1&lt;/C&gt;&lt;D xsi:type="xsd:double"&gt;10.099098&lt;/D&gt;&lt;/FQL&gt;&lt;FQL&gt;&lt;Q&gt;TNE-AU^FE_VALUATION(PE,MEAN,NTMA,,0,,,'')&lt;/Q&gt;&lt;R&gt;1&lt;/R&gt;&lt;C&gt;1&lt;/C&gt;&lt;D xsi:type="xsd:double"&gt;42.049973&lt;/D&gt;&lt;/FQL&gt;&lt;FQL&gt;&lt;Q&gt;TNE-AU^FE_ACTUAL(ACTUAL,SALES,ANN_ROLL,0,,,,'CURRENCY=USD')&lt;/Q&gt;&lt;R&gt;1&lt;/R&gt;&lt;C&gt;1&lt;/C&gt;&lt;D xsi:type="xsd:double"&gt;395.72516&lt;/D&gt;&lt;/FQL&gt;&lt;FQL&gt;&lt;Q&gt;TNE-AU^FE_ACTUAL(ACTUAL,SALES,ANN_ROLL,-1,,,,'CURRENCY=USD')&lt;/Q&gt;&lt;R&gt;1&lt;/R&gt;&lt;C&gt;1&lt;/C&gt;&lt;D xsi:type="xsd:double"&gt;330.28677&lt;/D&gt;&lt;/FQL&gt;&lt;FQL&gt;&lt;Q&gt;TNE-AU^FE_VALUATION(EBITDA_MARGIN,MEAN,ANN_ROLL,0,NOW,,,'')&lt;/Q&gt;&lt;R&gt;1&lt;/R&gt;&lt;C&gt;1&lt;/C&gt;&lt;D xsi:type="xsd:double"&gt;41.995132&lt;/D&gt;&lt;/FQL&gt;&lt;FQL&gt;&lt;Q&gt;TNE-AU^FE_VALUATION(ROIC,MEAN,NTMA,,0,,,'')&lt;/Q&gt;&lt;R&gt;1&lt;/R&gt;&lt;C&gt;1&lt;/C&gt;&lt;D xsi:type="xsd:double"&gt;32.395695&lt;/D&gt;&lt;/FQL&gt;&lt;FQL&gt;&lt;Q&gt;TNE-AU^FE_VALUATION(ROE,MEAN,NTMA,,0,,,'')&lt;/Q&gt;&lt;R&gt;1&lt;/R&gt;&lt;C&gt;1&lt;/C&gt;&lt;D xsi:type="xsd:double"&gt;34.5582&lt;/D&gt;&lt;/FQL&gt;&lt;FQL&gt;&lt;Q&gt;TNE-AU^FE_VALUATION(DIV_YLD,MEAN,NTMA,,NOW,,,'')&lt;/Q&gt;&lt;R&gt;1&lt;/R&gt;&lt;C&gt;1&lt;/C&gt;&lt;D xsi:type="xsd:double"&gt;1.5591692&lt;/D&gt;&lt;/FQL&gt;&lt;FQL&gt;&lt;Q&gt;TNE-AU^FE_VALUATION(MCAP_FCF,MEAN,NTMA,,NOW,,,'')&lt;/Q&gt;&lt;R&gt;1&lt;/R&gt;&lt;C&gt;1&lt;/C&gt;&lt;D xsi:type="xsd:double"&gt;2.4676094&lt;/D&gt;&lt;/FQL&gt;&lt;FQL&gt;&lt;Q&gt;TNE-AU^FE_VALUATION(NETDEBT_EBITDA,MEAN,NTMA,,NOW,,,'')&lt;/Q&gt;&lt;R&gt;1&lt;/R&gt;&lt;C&gt;1&lt;/C&gt;&lt;D xsi:type="xsd:double"&gt;-0.80580986&lt;/D&gt;&lt;/FQL&gt;&lt;FQL&gt;&lt;Q&gt;TNE-AU^FF_NET_MGN(LTM_R,0)&lt;/Q&gt;&lt;R&gt;0&lt;/R&gt;&lt;C&gt;0&lt;/C&gt;&lt;/FQL&gt;&lt;FQL&gt;&lt;Q&gt;TNE-AU^FF_EBITDA_OPER_MGN(LTM_R,0)&lt;/Q&gt;&lt;R&gt;0&lt;/R&gt;&lt;C&gt;0&lt;/C&gt;&lt;/FQL&gt;&lt;FQL&gt;&lt;Q&gt;TNE-AU^FF_GROSS_MGN(LTM_R,0)&lt;/Q&gt;&lt;R&gt;0&lt;/R&gt;&lt;C&gt;0&lt;/C&gt;&lt;/FQL&gt;&lt;FQL&gt;&lt;Q&gt;TNE-AU^POW(FE_ESTIMATE(EPS,MEAN,STMA,,NOW,,,'CURRENCY=USD')/FE_ESTIMATE(EPS,MEAN,LTMA,,NOW,,,'CURRENCY=USD'),0.5)-1&lt;/Q&gt;&lt;R&gt;1&lt;/R&gt;&lt;C&gt;1&lt;/C&gt;&lt;D xsi:type="xsd:double"&gt;0.215174966825765&lt;/D&gt;&lt;/FQL&gt;&lt;FQL&gt;&lt;Q&gt;TNE-AU^POW(FE_ESTIMATE(SALES,MEAN,STMA,,NOW,,,'CURRENCY=USD')/FE_ESTIMATE(SALES,MEAN,LTMA,,NOW,,,'CURRENCY=USD'),0.5)-1&lt;/Q&gt;&lt;R&gt;1&lt;/R&gt;&lt;C&gt;1&lt;/C&gt;&lt;D xsi:type="xsd:double"&gt;0.167532397837422&lt;/D&gt;&lt;/FQL&gt;&lt;FQL&gt;&lt;Q&gt;TNE-AU^FE_ACTUAL(ACTUAL,EPS,ANN_ROLL,0,,,,'CURRENCY=USD')&lt;/Q&gt;&lt;R&gt;1&lt;/R&gt;&lt;C&gt;1&lt;/C&gt;&lt;D xsi:type="xsd:double"&gt;0.2732973&lt;/D&gt;&lt;/FQL&gt;&lt;FQL&gt;&lt;Q&gt;TNE-AU^OS_SEC_FLT_PCT(0D,,MTD,SEC)&lt;/Q&gt;&lt;R&gt;1&lt;/R&gt;&lt;C&gt;1&lt;/C&gt;&lt;D xsi:type="xsd:double"&gt;90.8408&lt;/D&gt;&lt;/FQL&gt;&lt;FQL&gt;&lt;Q&gt;TNE-AU^AVG(P_VOLUME_FRQ(-1AM,NOW,D,,6))*P_PRICE_AVG(-1AM,NOW,,USD)&lt;/Q&gt;&lt;R&gt;1&lt;/R&gt;&lt;C&gt;1&lt;/C&gt;&lt;D xsi:type="xsd:double"&gt;25.2517327758209&lt;/D&gt;&lt;/FQL&gt;&lt;FQL&gt;&lt;Q&gt;TNE-AU^FCS_EV_DAILY(MV,NOW,,,USD,M)&lt;/Q&gt;&lt;R&gt;1&lt;/R&gt;&lt;C&gt;1&lt;/C&gt;&lt;D xsi:type="xsd:double"&gt;5247.91788387452&lt;/D&gt;&lt;/FQL&gt;&lt;FQL&gt;&lt;Q&gt;TNE-AU^P_DCOUNTRY&lt;/Q&gt;&lt;R&gt;1&lt;/R&gt;&lt;C&gt;1&lt;/C&gt;&lt;D xsi:type="xsd:string"&gt;AUSTRALIA&lt;/D&gt;&lt;/FQL&gt;&lt;FQL&gt;&lt;Q&gt;TNE-AU^FR_RBICS_NAME_CURR("IND")&lt;/Q&gt;&lt;R&gt;1&lt;/R&gt;&lt;C&gt;1&lt;/C&gt;&lt;D xsi:type="xsd:string"&gt;General Enterprise Management Software&lt;/D&gt;&lt;/FQL&gt;&lt;FQL&gt;&lt;Q&gt;MANH-US^FE_RATING(MEAN,TEXTONLY,0,NOW,,,'')&lt;/Q&gt;&lt;R&gt;1&lt;/R&gt;&lt;C&gt;1&lt;/C&gt;&lt;D xsi:type="xsd:string"&gt;Overweight&lt;/D&gt;&lt;/FQL&gt;&lt;FQL&gt;&lt;Q&gt;MANH-US^FG_PRICE(0,,,USD)/FG_PRICE_MAVG(0,,,USD,200)&lt;/Q&gt;&lt;R&gt;1&lt;/R&gt;&lt;C&gt;1&lt;/C&gt;&lt;D xsi:type="xsd:double"&gt;0.706254149276228&lt;/D&gt;&lt;/FQL&gt;&lt;FQL&gt;&lt;Q&gt;MANH-US^FG_PRICE(0,,,USD)/FG_PRICE_MAVG(0,,,USD,100)&lt;/Q&gt;&lt;R&gt;1&lt;/R&gt;&lt;C&gt;1&lt;/C&gt;&lt;D xsi:type="xsd:double"&gt;0.768566633315044&lt;/D&gt;&lt;/FQL&gt;&lt;FQL&gt;&lt;Q&gt;MANH-US^FG_PRICE(0,,,USD)/FG_PRICE_MAVG(0,,,USD,50)&lt;/Q&gt;&lt;R&gt;1&lt;/R&gt;&lt;C&gt;1&lt;/C&gt;&lt;D xsi:type="xsd:double"&gt;0.823316877285962&lt;/D&gt;&lt;/FQL&gt;&lt;FQL&gt;&lt;Q&gt;MANH-US^RTP_PRICE_TARGET(USD)/FG_PRICE(0,,,USD)&lt;/Q&gt;&lt;R&gt;1&lt;/R&gt;&lt;C&gt;1&lt;/C&gt;&lt;D xsi:type="xsd:double"&gt;1.59355080614923&lt;/D&gt;&lt;/FQL&gt;&lt;FQL&gt;&lt;Q&gt;MANH-US^FG_PRICE(0,,,USD)/P_PRICE_HIGH(-1AY,0,USD,,,"PRICE","INTRA")&lt;/Q&gt;&lt;R&gt;1&lt;/R&gt;&lt;C&gt;1&lt;/C&gt;&lt;D xsi:type="xsd:double"&gt;0.539398106949276&lt;/D&gt;&lt;/FQL&gt;&lt;FQL&gt;&lt;Q&gt;MANH-US^PERCENT_CHANGE(FE_VALUATION(FFEV_EBITDA,MEAN,NTMA,,0,,,''),MAX(FE_VALUATION(FFEV_EBITDA,MEAN,NTMA,,-1AY,0,,'')))&lt;/Q&gt;&lt;R&gt;1&lt;/R&gt;&lt;C&gt;1&lt;/C&gt;&lt;D xsi:type="xsd:double"&gt;-44.3794440783742&lt;/D&gt;&lt;/FQL&gt;&lt;FQL&gt;&lt;Q&gt;MANH-US^PERCENT_CHANGE(FE_VALUATION(PE,MEAN,NTMA,,0,,,''),MAX(FE_VALUATION(PE,MEAN,NTMA,,-1AY,0,,'')))&lt;/Q&gt;&lt;R&gt;1&lt;/R&gt;&lt;C&gt;1&lt;/C&gt;&lt;D xsi:type="xsd:double"&gt;-44.2691215626141&lt;/D&gt;&lt;/FQL&gt;&lt;FQL&gt;&lt;Q&gt;MANH-US^FE_VALUATION(FFEV_EBITDA,MEAN,NTMA,,0,,,'')&lt;/Q&gt;&lt;R&gt;1&lt;/R&gt;&lt;C&gt;1&lt;/C&gt;&lt;D xsi:type="xsd:double"&gt;19.3934&lt;/D&gt;&lt;/FQL&gt;&lt;FQL&gt;&lt;Q&gt;MANH-US^FE_VALUATION(FFEV_SALES,MEAN,NTMA,,0,,,'')&lt;/Q&gt;&lt;R&gt;1&lt;/R&gt;&lt;C&gt;1&lt;/C&gt;&lt;D xsi:type="xsd:double"&gt;6.7815366&lt;/D&gt;&lt;/FQL&gt;&lt;FQL&gt;&lt;Q&gt;MANH-US^FE_VALUATION(P_SALESPS,MEAN,NTMA,,0,,,'')&lt;/Q&gt;&lt;R&gt;1&lt;/R&gt;&lt;C&gt;1&lt;/C&gt;&lt;D xsi:type="xsd:double"&gt;6.8735247&lt;/D&gt;&lt;/FQL&gt;&lt;FQL&gt;&lt;Q&gt;MANH-US^FE_VALUATION(PE,MEAN,NTMA,,0,,,'')&lt;/Q&gt;&lt;R&gt;1&lt;/R&gt;&lt;C&gt;1&lt;/C&gt;&lt;D xsi:type="xsd:double"&gt;25.092293&lt;/D&gt;&lt;/FQL&gt;&lt;FQL&gt;&lt;Q&gt;MANH-US^FE_ACTUAL(ACTUAL,SALES,ANN_ROLL,0,,,,'CURRENCY=USD')&lt;/Q&gt;&lt;R&gt;1&lt;/R&gt;&lt;C&gt;1&lt;/C&gt;&lt;D xsi:type="xsd:double"&gt;1081.392&lt;/D&gt;&lt;/FQL&gt;&lt;FQL&gt;&lt;Q&gt;MANH-US^FE_ACTUAL(ACTUAL,SALES,ANN_ROLL,-1,,,,'CURRENCY=USD')&lt;/Q&gt;&lt;R&gt;1&lt;/R&gt;&lt;C&gt;1&lt;/C&gt;&lt;D xsi:type="xsd:double"&gt;1042.352&lt;/D&gt;&lt;/FQL&gt;&lt;FQL&gt;&lt;Q&gt;MANH-US^FE_VALUATION(EBITDA_MARGIN,MEAN,ANN_ROLL,0,NOW,,,'')&lt;/Q&gt;&lt;R&gt;1&lt;/R&gt;&lt;C&gt;1&lt;/C&gt;&lt;D xsi:type="xsd:double"&gt;36.5032&lt;/D&gt;&lt;/FQL&gt;&lt;FQL&gt;&lt;Q&gt;MANH-US^FE_VALUATION(ROIC,MEAN,NTMA,,0,,,'')&lt;/Q&gt;&lt;R&gt;0&lt;/R&gt;&lt;C&gt;0&lt;/C&gt;&lt;/FQL&gt;&lt;FQL&gt;&lt;Q&gt;MANH-US^FE_VALUATION(ROE,MEAN,NTMA,,0,,,'')&lt;/Q&gt;&lt;R&gt;1&lt;/R&gt;&lt;C&gt;1&lt;/C&gt;&lt;D xsi:type="xsd:double"&gt;89.426445&lt;/D&gt;&lt;/FQL&gt;&lt;FQL&gt;&lt;Q&gt;MANH-US^FE_VALUATION(DIV_YLD,MEAN,NTMA,,NOW,,,'')&lt;/Q&gt;&lt;R&gt;1&lt;/R&gt;&lt;C&gt;1&lt;/C&gt;&lt;D xsi:type="xsd:double"&gt;0&lt;/D&gt;&lt;/FQL&gt;&lt;FQL&gt;&lt;Q&gt;MANH-US^FE_VALUATION(MCAP_FCF,MEAN,NTMA,,NOW,,,'')&lt;/Q&gt;&lt;R&gt;1&lt;/R&gt;&lt;C&gt;1&lt;/C&gt;&lt;D xsi:type="xsd:double"&gt;4.7632623&lt;/D&gt;&lt;/FQL&gt;&lt;FQL&gt;&lt;Q&gt;MANH-US^FE_VALUATION(NETDEBT_EBITDA,MEAN,NTMA,,NOW,,,'')&lt;/Q&gt;&lt;R&gt;1&lt;/R&gt;&lt;C&gt;1&lt;/C&gt;&lt;D xsi:type="xsd:double"&gt;-1.3762695&lt;/D&gt;&lt;/FQL&gt;&lt;FQL&gt;&lt;Q&gt;MANH-US^FF_NET_MGN(LTM_R,0)&lt;/Q&gt;&lt;R&gt;1&lt;/R&gt;&lt;C&gt;1&lt;/C&gt;&lt;D xsi:type="xsd:double"&gt;20.3393404056993&lt;/D&gt;&lt;/FQL&gt;&lt;FQL&gt;&lt;Q&gt;MANH-US^FF_EBITDA_OPER_MGN(LTM_R,0)&lt;/Q&gt;&lt;R&gt;1&lt;/R&gt;&lt;C&gt;1&lt;/C&gt;&lt;D xsi:type="xsd:double"&gt;26.7298075073609&lt;/D&gt;&lt;/FQL&gt;&lt;FQL&gt;&lt;Q&gt;MANH-US^FF_GROSS_MGN(LTM_R,0)&lt;/Q&gt;&lt;R&gt;1&lt;/R&gt;&lt;C&gt;1&lt;/C&gt;&lt;D xsi:type="xsd:double"&gt;55.737050024413&lt;/D&gt;&lt;/FQL&gt;&lt;FQL&gt;&lt;Q&gt;MANH-US^POW(FE_ESTIMATE(EPS,MEAN,STMA,,NOW,,,'CURRENCY=USD')/FE_ESTIMATE(EPS,MEAN,LTMA,,NOW,,,'CURRENCY=USD'),0.5)-1&lt;/Q&gt;&lt;R&gt;1&lt;/R&gt;&lt;C&gt;1&lt;/C&gt;&lt;D xsi:type="xsd:double"&gt;0.0840524895040831&lt;/D&gt;&lt;/FQL&gt;&lt;FQL&gt;&lt;Q&gt;MANH-US^POW(FE_ESTIMATE(SALES,MEAN,STMA,,NOW,,,'CURRENCY=USD')/FE_ESTIMATE(SALES,MEAN,LTMA,,NOW,,,'CURRENCY=USD'),0.5)-1&lt;/Q&gt;&lt;R&gt;1&lt;/R&gt;&lt;C&gt;1&lt;/C&gt;&lt;D xsi:type="xsd:double"&gt;0.0765687158746533&lt;/D&gt;&lt;/FQL&gt;&lt;FQL&gt;&lt;Q&gt;MANH-US^FE_ACTUAL(ACTUAL,EPS,ANN_ROLL,0,,,,'CURRENCY=USD')&lt;/Q&gt;&lt;R&gt;1&lt;/R&gt;&lt;C&gt;1&lt;/C&gt;&lt;D xsi:type="xsd:double"&gt;5.06&lt;/D&gt;&lt;/FQL&gt;&lt;FQL&gt;&lt;Q&gt;MANH-US^OS_SEC_FLT_PCT(0D,,MTD,SEC)&lt;/Q&gt;&lt;R&gt;1&lt;/R&gt;&lt;C&gt;1&lt;/C&gt;&lt;D xsi:type="xsd:double"&gt;98.5669&lt;/D&gt;&lt;/FQL&gt;&lt;FQL&gt;&lt;Q&gt;MANH-US^AVG(P_VOLUME_FRQ(-1AM,NOW,D,,6))*P_PRICE_AVG(-1AM,NOW,,USD)&lt;/Q&gt;&lt;R&gt;1&lt;/R&gt;&lt;C&gt;1&lt;/C&gt;&lt;D xsi:type="xsd:double"&gt;154.301343950062&lt;/D&gt;&lt;/FQL&gt;&lt;FQL&gt;&lt;Q&gt;MANH-US^FCS_EV_DAILY(MV,NOW,,,USD,M)&lt;/Q&gt;&lt;R&gt;1&lt;/R&gt;&lt;C&gt;1&lt;/C&gt;&lt;D xsi:type="xsd:double"&gt;8166.95260815&lt;/D&gt;&lt;/FQL&gt;&lt;FQL&gt;&lt;Q&gt;MANH-US^P_DCOUNTRY&lt;/Q&gt;&lt;R&gt;1&lt;/R&gt;&lt;C&gt;1&lt;/C&gt;&lt;D xsi:type="xsd:string"&gt;UNITED STATES&lt;/D&gt;&lt;/FQL&gt;&lt;FQL&gt;&lt;Q&gt;MANH-US^FR_RBICS_NAME_CURR("IND")&lt;/Q&gt;&lt;R&gt;1&lt;/R&gt;&lt;C&gt;1&lt;/C&gt;&lt;D xsi:type="xsd:string"&gt;Enterprise Resource Planning Software&lt;/D&gt;&lt;/FQL&gt;&lt;FQL&gt;&lt;Q&gt;SGE-GB^FE_RATING(MEAN,TEXTONLY,0,NOW,,,'')&lt;/Q&gt;&lt;R&gt;1&lt;/R&gt;&lt;C&gt;1&lt;/C&gt;&lt;D xsi:type="xsd:string"&gt;Overweight&lt;/D&gt;&lt;/FQL&gt;&lt;FQL&gt;&lt;Q&gt;SGE-GB^FG_PRICE(0,,,USD)/FG_PRICE_MAVG(0,,,USD,200)&lt;/Q&gt;&lt;R&gt;1&lt;/R&gt;&lt;C&gt;1&lt;/C&gt;&lt;D xsi:type="xsd:double"&gt;0.710183443662037&lt;/D&gt;&lt;/FQL&gt;&lt;FQL&gt;&lt;Q&gt;SGE-GB^FG_PRICE(0,,,USD)/FG_PRICE_MAVG(0,,,USD,100)&lt;/Q&gt;&lt;R&gt;1&lt;/R&gt;&lt;C&gt;1&lt;/C&gt;&lt;D xsi:type="xsd:double"&gt;0.759623811024594&lt;/D&gt;&lt;/FQL&gt;&lt;FQL&gt;&lt;Q&gt;SGE-GB^FG_PRICE(0,,,USD)/FG_PRICE_MAVG(0,,,USD,50)&lt;/Q&gt;&lt;R&gt;1&lt;/R&gt;&lt;C&gt;1&lt;/C&gt;&lt;D xsi:type="xsd:double"&gt;0.803351368330732&lt;/D&gt;&lt;/FQL&gt;&lt;FQL&gt;&lt;Q&gt;SGE-GB^RTP_PRICE_TARGET(USD)/FG_PRICE(0,,,USD)&lt;/Q&gt;&lt;R&gt;1&lt;/R&gt;&lt;C&gt;1&lt;/C&gt;&lt;D xsi:type="xsd:double"&gt;1.64731975141986&lt;/D&gt;&lt;/FQL&gt;&lt;FQL&gt;&lt;Q&gt;SGE-GB^FG_PRICE(0,,,USD)/P_PRICE_HIGH(-1AY,0,USD,,,"PRICE","INTRA")&lt;/Q&gt;&lt;R&gt;1&lt;/R&gt;&lt;C&gt;1&lt;/C&gt;&lt;D xsi:type="xsd:double"&gt;0.59934084875023&lt;/D&gt;&lt;/FQL&gt;&lt;FQL&gt;&lt;Q&gt;SGE-GB^PERCENT_CHANGE(FE_VALUATION(FFEV_EBITDA,MEAN,NTMA,,0,,,''),MAX(FE_VALUATION(FFEV_EBITDA,MEAN,NTMA,,-1AY,0,,'')))&lt;/Q&gt;&lt;R&gt;1&lt;/R&gt;&lt;C&gt;1&lt;/C&gt;&lt;D xsi:type="xsd:double"&gt;-42.2664705810943&lt;/D&gt;&lt;/FQL&gt;&lt;FQL&gt;&lt;Q&gt;SGE-GB^PERCENT_CHANGE(FE_VALUATION(PE,MEAN,NTMA,,0,,,''),MAX(FE_VALUATION(PE,MEAN,NTMA,,-1AY,0,,'')))&lt;/Q&gt;&lt;R&gt;1&lt;/R&gt;&lt;C&gt;1&lt;/C&gt;&lt;D xsi:type="xsd:double"&gt;-46.8704667239621&lt;/D&gt;&lt;/FQL&gt;&lt;FQL&gt;&lt;Q&gt;SGE-GB^FE_VALUATION(FFEV_EBITDA,MEAN,NTMA,,0,,,'')&lt;/Q&gt;&lt;R&gt;1&lt;/R&gt;&lt;C&gt;1&lt;/C&gt;&lt;D xsi:type="xsd:double"&gt;11.6515875&lt;/D&gt;&lt;/FQL&gt;&lt;FQL&gt;&lt;Q&gt;SGE-GB^FE_VALUATION(FFEV_SALES,MEAN,NTMA,,0,,,'')&lt;/Q&gt;&lt;R&gt;1&lt;/R&gt;&lt;C&gt;1&lt;/C&gt;&lt;D xsi:type="xsd:double"&gt;3.1689575&lt;/D&gt;&lt;/FQL&gt;&lt;FQL&gt;&lt;Q&gt;SGE-GB^FE_VALUATION(P_SALESPS,MEAN,NTMA,,0,,,'')&lt;/Q&gt;&lt;R&gt;1&lt;/R&gt;&lt;C&gt;1&lt;/C&gt;&lt;D xsi:type="xsd:double"&gt;2.613084&lt;/D&gt;&lt;/FQL&gt;&lt;FQL&gt;&lt;Q&gt;SGE-GB^FE_VALUATION(PE,MEAN,NTMA,,0,,,'')&lt;/Q&gt;&lt;R&gt;1&lt;/R&gt;&lt;C&gt;1&lt;/C&gt;&lt;D xsi:type="xsd:double"&gt;15.010992&lt;/D&gt;&lt;/FQL&gt;&lt;FQL&gt;&lt;Q&gt;SGE-GB^FE_ACTUAL(ACTUAL,SALES,ANN_ROLL,0,,,,'CURRENCY=USD')&lt;/Q&gt;&lt;R&gt;1&lt;/R&gt;&lt;C&gt;1&lt;/C&gt;&lt;D xsi:type="xsd:double"&gt;3286.8784&lt;/D&gt;&lt;/FQL&gt;&lt;FQL&gt;&lt;Q&gt;SGE-GB^FE_ACTUAL(ACTUAL,SALES,ANN_ROLL,-1,,,,'CURRENCY=USD')&lt;/Q&gt;&lt;R&gt;1&lt;/R&gt;&lt;C&gt;1&lt;/C&gt;&lt;D xsi:type="xsd:double"&gt;2950.563&lt;/D&gt;&lt;/FQL&gt;&lt;FQL&gt;&lt;Q&gt;SGE-GB^FE_VALUATION(EBITDA_MARGIN,MEAN,ANN_ROLL,0,NOW,,,'')&lt;/Q&gt;&lt;R&gt;1&lt;/R&gt;&lt;C&gt;1&lt;/C&gt;&lt;D xsi:type="xsd:double"&gt;26.174746&lt;/D&gt;&lt;/FQL&gt;&lt;FQL&gt;&lt;Q&gt;SGE-GB^FE_VALUATION(ROIC,MEAN,NTMA,,0,,,'')&lt;/Q&gt;&lt;R&gt;1&lt;/R&gt;&lt;C&gt;1&lt;/C&gt;&lt;D xsi:type="xsd:double"&gt;20.889921&lt;/D&gt;&lt;/FQL&gt;&lt;FQL&gt;&lt;Q&gt;SGE-GB^FE_VALUATION(ROE,MEAN,NTMA,,0,,,'')&lt;/Q&gt;&lt;R&gt;1&lt;/R&gt;&lt;C&gt;1&lt;/C&gt;&lt;D xsi:type="xsd:double"&gt;54.160404&lt;/D&gt;&lt;/FQL&gt;&lt;FQL&gt;&lt;Q&gt;SGE-GB^FE_VALUATION(DIV_YLD,MEAN,NTMA,,NOW,,,'')&lt;/Q&gt;&lt;R&gt;1&lt;/R&gt;&lt;C&gt;1&lt;/C&gt;&lt;D xsi:type="xsd:double"&gt;2.9654176&lt;/D&gt;&lt;/FQL&gt;&lt;FQL&gt;&lt;Q&gt;SGE-GB^FE_VALUATION(MCAP_FCF,MEAN,NTMA,,NOW,,,'')&lt;/Q&gt;&lt;R&gt;1&lt;/R&gt;&lt;C&gt;1&lt;/C&gt;&lt;D xsi:type="xsd:double"&gt;7.536601&lt;/D&gt;&lt;/FQL&gt;&lt;FQL&gt;&lt;Q&gt;SGE-GB^FE_VALUATION(NETDEBT_EBITDA,MEAN,NTMA,,NOW,,,'')&lt;/Q&gt;&lt;R&gt;1&lt;/R&gt;&lt;C&gt;1&lt;/C&gt;&lt;D xsi:type="xsd:double"&gt;1.1941296&lt;/D&gt;&lt;/FQL&gt;&lt;FQL&gt;&lt;Q&gt;SGE-GB^FF_NET_MGN(LTM_R,0)&lt;/Q&gt;&lt;R&gt;0&lt;/R&gt;&lt;C&gt;0&lt;/C&gt;&lt;/FQL&gt;&lt;FQL&gt;&lt;Q&gt;SGE-GB^FF_EBITDA_OPER_MGN(LTM_R,0)&lt;/Q&gt;&lt;R</t>
        </r>
      </text>
    </comment>
    <comment ref="A2" authorId="0" shapeId="0" xr:uid="{0173CB32-EA27-40B4-BEC2-F5CC4276B744}">
      <text>
        <r>
          <rPr>
            <b/>
            <sz val="9"/>
            <color indexed="81"/>
            <rFont val="Tahoma"/>
            <charset val="1"/>
          </rPr>
          <t>&gt;0&lt;/R&gt;&lt;C&gt;0&lt;/C&gt;&lt;/FQL&gt;&lt;FQL&gt;&lt;Q&gt;SGE-GB^FF_GROSS_MGN(LTM_R,0)&lt;/Q&gt;&lt;R&gt;0&lt;/R&gt;&lt;C&gt;0&lt;/C&gt;&lt;/FQL&gt;&lt;FQL&gt;&lt;Q&gt;SGE-GB^POW(FE_ESTIMATE(EPS,MEAN,STMA,,NOW,,,'CURRENCY=USD')/FE_ESTIMATE(EPS,MEAN,LTMA,,NOW,,,'CURRENCY=USD'),0.5)-1&lt;/Q&gt;&lt;R&gt;1&lt;/R&gt;&lt;C&gt;1&lt;/C&gt;&lt;D xsi:type="xsd:double"&gt;0.153882706344107&lt;/D&gt;&lt;/FQL&gt;&lt;FQL&gt;&lt;Q&gt;SGE-GB^POW(FE_ESTIMATE(SALES,MEAN,STMA,,NOW,,,'CURRENCY=USD')/FE_ESTIMATE(SALES,MEAN,LTMA,,NOW,,,'CURRENCY=USD'),0.5)-1&lt;/Q&gt;&lt;R&gt;1&lt;/R&gt;&lt;C&gt;1&lt;/C&gt;&lt;D xsi:type="xsd:double"&gt;0.0990237941009284&lt;/D&gt;&lt;/FQL&gt;&lt;FQL&gt;&lt;Q&gt;SGE-GB^FE_ACTUAL(ACTUAL,EPS,ANN_ROLL,0,,,,'CURRENCY=USD')&lt;/Q&gt;&lt;R&gt;1&lt;/R&gt;&lt;C&gt;1&lt;/C&gt;&lt;D xsi:type="xsd:double"&gt;0.5561403&lt;/D&gt;&lt;/FQL&gt;&lt;FQL&gt;&lt;Q&gt;SGE-GB^OS_SEC_FLT_PCT(0D,,MTD,SEC)&lt;/Q&gt;&lt;R&gt;1&lt;/R&gt;&lt;C&gt;1&lt;/C&gt;&lt;D xsi:type="xsd:double"&gt;97.6583&lt;/D&gt;&lt;/FQL&gt;&lt;FQL&gt;&lt;Q&gt;SGE-GB^AVG(P_VOLUME_FRQ(-1AM,NOW,D,,6))*P_PRICE_AVG(-1AM,NOW,,USD)&lt;/Q&gt;&lt;R&gt;1&lt;/R&gt;&lt;C&gt;1&lt;/C&gt;&lt;D xsi:type="xsd:double"&gt;56.1053724697384&lt;/D&gt;&lt;/FQL&gt;&lt;FQL&gt;&lt;Q&gt;SGE-GB^FCS_EV_DAILY(MV,NOW,,,USD,M)&lt;/Q&gt;&lt;R&gt;1&lt;/R&gt;&lt;C&gt;1&lt;/C&gt;&lt;D xsi:type="xsd:double"&gt;10135.4418049423&lt;/D&gt;&lt;/FQL&gt;&lt;FQL&gt;&lt;Q&gt;SGE-GB^P_DCOUNTRY&lt;/Q&gt;&lt;R&gt;1&lt;/R&gt;&lt;C&gt;1&lt;/C&gt;&lt;D xsi:type="xsd:string"&gt;UNITED KINGDOM&lt;/D&gt;&lt;/FQL&gt;&lt;FQL&gt;&lt;Q&gt;SGE-GB^FR_RBICS_NAME_CURR("IND")&lt;/Q&gt;&lt;R&gt;1&lt;/R&gt;&lt;C&gt;1&lt;/C&gt;&lt;D xsi:type="xsd:string"&gt;Enterprise Resource Planning Software&lt;/D&gt;&lt;/FQL&gt;&lt;FQL&gt;&lt;Q&gt;HEXA.B-SE^FE_RATING(MEAN,TEXTONLY,0,NOW,,,'')&lt;/Q&gt;&lt;R&gt;1&lt;/R&gt;&lt;C&gt;1&lt;/C&gt;&lt;D xsi:type="xsd:string"&gt;Overweight&lt;/D&gt;&lt;/FQL&gt;&lt;FQL&gt;&lt;Q&gt;HEXA.B-SE^FG_PRICE(0,,,USD)/FG_PRICE_MAVG(0,,,USD,200)&lt;/Q&gt;&lt;R&gt;1&lt;/R&gt;&lt;C&gt;1&lt;/C&gt;&lt;D xsi:type="xsd:double"&gt;0.977128115573759&lt;/D&gt;&lt;/FQL&gt;&lt;FQL&gt;&lt;Q&gt;HEXA.B-SE^FG_PRICE(0,,,USD)/FG_PRICE_MAVG(0,,,USD,100)&lt;/Q&gt;&lt;R&gt;1&lt;/R&gt;&lt;C&gt;1&lt;/C&gt;&lt;D xsi:type="xsd:double"&gt;0.938746386499979&lt;/D&gt;&lt;/FQL&gt;&lt;FQL&gt;&lt;Q&gt;HEXA.B-SE^FG_PRICE(0,,,USD)/FG_PRICE_MAVG(0,,,USD,50)&lt;/Q&gt;&lt;R&gt;1&lt;/R&gt;&lt;C&gt;1&lt;/C&gt;&lt;D xsi:type="xsd:double"&gt;0.967438676673371&lt;/D&gt;&lt;/FQL&gt;&lt;FQL&gt;&lt;Q&gt;HEXA.B-SE^RTP_PRICE_TARGET(USD)/FG_PRICE(0,,,USD)&lt;/Q&gt;&lt;R&gt;1&lt;/R&gt;&lt;C&gt;1&lt;/C&gt;&lt;D xsi:type="xsd:double"&gt;1.16485490758755&lt;/D&gt;&lt;/FQL&gt;&lt;FQL&gt;&lt;Q&gt;HEXA.B-SE^FG_PRICE(0,,,USD)/P_PRICE_HIGH(-1AY,0,USD,,,"PRICE","INTRA")&lt;/Q&gt;&lt;R&gt;1&lt;/R&gt;&lt;C&gt;1&lt;/C&gt;&lt;D xsi:type="xsd:double"&gt;0.843354662068853&lt;/D&gt;&lt;/FQL&gt;&lt;FQL&gt;&lt;Q&gt;HEXA.B-SE^PERCENT_CHANGE(FE_VALUATION(FFEV_EBITDA,MEAN,NTMA,,0,,,''),MAX(FE_VALUATION(FFEV_EBITDA,MEAN,NTMA,,-1AY,0,,'')))&lt;/Q&gt;&lt;R&gt;1&lt;/R&gt;&lt;C&gt;1&lt;/C&gt;&lt;D xsi:type="xsd:double"&gt;-14.9285395403216&lt;/D&gt;&lt;/FQL&gt;&lt;FQL&gt;&lt;Q&gt;HEXA.B-SE^PERCENT_CHANGE(FE_VALUATION(PE,MEAN,NTMA,,0,,,''),MAX(FE_VALUATION(PE,MEAN,NTMA,,-1AY,0,,'')))&lt;/Q&gt;&lt;R&gt;1&lt;/R&gt;&lt;C&gt;1&lt;/C&gt;&lt;D xsi:type="xsd:double"&gt;-16.380849503438&lt;/D&gt;&lt;/FQL&gt;&lt;FQL&gt;&lt;Q&gt;HEXA.B-SE^FE_VALUATION(FFEV_EBITDA,MEAN,NTMA,,0,,,'')&lt;/Q&gt;&lt;R&gt;1&lt;/R&gt;&lt;C&gt;1&lt;/C&gt;&lt;D xsi:type="xsd:double"&gt;13.819202&lt;/D&gt;&lt;/FQL&gt;&lt;FQL&gt;&lt;Q&gt;HEXA.B-SE^FE_VALUATION(FFEV_SALES,MEAN,NTMA,,0,,,'')&lt;/Q&gt;&lt;R&gt;1&lt;/R&gt;&lt;C&gt;1&lt;/C&gt;&lt;D xsi:type="xsd:double"&gt;5.1659036&lt;/D&gt;&lt;/FQL&gt;&lt;FQL&gt;&lt;Q&gt;HEXA.B-SE^FE_VALUATION(P_SALESPS,MEAN,NTMA,,0,,,'')&lt;/Q&gt;&lt;R&gt;1&lt;/R&gt;&lt;C&gt;1&lt;/C&gt;&lt;D xsi:type="xsd:double"&gt;4.544544&lt;/D&gt;&lt;/FQL&gt;&lt;FQL&gt;&lt;Q&gt;HEXA.B-SE^FE_VALUATION(PE,MEAN,NTMA,,0,,,'')&lt;/Q&gt;&lt;R&gt;1&lt;/R&gt;&lt;C&gt;1&lt;/C&gt;&lt;D xsi:type="xsd:double"&gt;21.428583&lt;/D&gt;&lt;/FQL&gt;&lt;FQL&gt;&lt;Q&gt;HEXA.B-SE^FE_ACTUAL(ACTUAL,SALES,ANN_ROLL,0,,,,'CURRENCY=USD')&lt;/Q&gt;&lt;R&gt;1&lt;/R&gt;&lt;C&gt;1&lt;/C&gt;&lt;D xsi:type="xsd:double"&gt;6455.6353&lt;/D&gt;&lt;/FQL&gt;&lt;FQL&gt;&lt;Q&gt;HEXA.B-SE^FE_ACTUAL(ACTUAL,SALES,ANN_ROLL,-1,,,,'CURRENCY=USD')&lt;/Q&gt;&lt;R&gt;1&lt;/R&gt;&lt;C&gt;1&lt;/C&gt;&lt;D xsi:type="xsd:double"&gt;5614.7134&lt;/D&gt;&lt;/FQL&gt;&lt;FQL&gt;&lt;Q&gt;HEXA.B-SE^FE_VALUATION(EBITDA_MARGIN,MEAN,ANN_ROLL,0,NOW,,,'')&lt;/Q&gt;&lt;R&gt;1&lt;/R&gt;&lt;C&gt;1&lt;/C&gt;&lt;D xsi:type="xsd:double"&gt;35.948334&lt;/D&gt;&lt;/FQL&gt;&lt;FQL&gt;&lt;Q&gt;HEXA.B-SE^FE_VALUATION(ROIC,MEAN,NTMA,,0,,,'')&lt;/Q&gt;&lt;R&gt;1&lt;/R&gt;&lt;C&gt;1&lt;/C&gt;&lt;D xsi:type="xsd:double"&gt;7.3086524&lt;/D&gt;&lt;/FQL&gt;&lt;FQL&gt;&lt;Q&gt;HEXA.B-SE^FE_VALUATION(ROE,MEAN,NTMA,,0,,,'')&lt;/Q&gt;&lt;R&gt;1&lt;/R&gt;&lt;C&gt;1&lt;/C&gt;&lt;D xsi:type="xsd:double"&gt;10.817455&lt;/D&gt;&lt;/FQL&gt;&lt;FQL&gt;&lt;Q&gt;HEXA.B-SE^FE_VALUATION(DIV_YLD,MEAN,NTMA,,NOW,,,'')&lt;/Q&gt;&lt;R&gt;1&lt;/R&gt;&lt;C&gt;1&lt;/C&gt;&lt;D xsi:type="xsd:double"&gt;1.5305086&lt;/D&gt;&lt;/FQL&gt;&lt;FQL&gt;&lt;Q&gt;HEXA.B-SE^FE_VALUATION(MCAP_FCF,MEAN,NTMA,,NOW,,,'')&lt;/Q&gt;&lt;R&gt;1&lt;/R&gt;&lt;C&gt;1&lt;/C&gt;&lt;D xsi:type="xsd:double"&gt;5.499259&lt;/D&gt;&lt;/FQL&gt;&lt;FQL&gt;&lt;Q&gt;HEXA.B-SE^FE_VALUATION(NETDEBT_EBITDA,MEAN,NTMA,,NOW,,,'')&lt;/Q&gt;&lt;R&gt;1&lt;/R&gt;&lt;C&gt;1&lt;/C&gt;&lt;D xsi:type="xsd:double"&gt;0.82659304&lt;/D&gt;&lt;/FQL&gt;&lt;FQL&gt;&lt;Q&gt;HEXA.B-SE^FF_NET_MGN(LTM_R,0)&lt;/Q&gt;&lt;R&gt;1&lt;/R&gt;&lt;C&gt;1&lt;/C&gt;&lt;D xsi:type="xsd:double"&gt;11.3479884465933&lt;/D&gt;&lt;/FQL&gt;&lt;FQL&gt;&lt;Q&gt;HEXA.B-SE^FF_EBITDA_OPER_MGN(LTM_R,0)&lt;/Q&gt;&lt;R&gt;0&lt;/R&gt;&lt;C&gt;0&lt;/C&gt;&lt;/FQL&gt;&lt;FQL&gt;&lt;Q&gt;HEXA.B-SE^FF_GROSS_MGN(LTM_R,0)&lt;/Q&gt;&lt;R&gt;1&lt;/R&gt;&lt;C&gt;1&lt;/C&gt;&lt;D xsi:type="xsd:double"&gt;77.3103741642381&lt;/D&gt;&lt;/FQL&gt;&lt;FQL&gt;&lt;Q&gt;HEXA.B-SE^POW(FE_ESTIMATE(EPS,MEAN,STMA,,NOW,,,'CURRENCY=USD')/FE_ESTIMATE(EPS,MEAN,LTMA,,NOW,,,'CURRENCY=USD'),0.5)-1&lt;/Q&gt;&lt;R&gt;1&lt;/R&gt;&lt;C&gt;1&lt;/C&gt;&lt;D xsi:type="xsd:double"&gt;0.0872989469322591&lt;/D&gt;&lt;/FQL&gt;&lt;FQL&gt;&lt;Q&gt;HEXA.B-SE^POW(FE_ESTIMATE(SALES,MEAN,STMA,,NOW,,,'CURRENCY=USD')/FE_ESTIMATE(SALES,MEAN,LTMA,,NOW,,,'CURRENCY=USD'),0.5)-1&lt;/Q&gt;&lt;R&gt;1&lt;/R&gt;&lt;C&gt;1&lt;/C&gt;&lt;D xsi:type="xsd:double"&gt;0.0337474546522472&lt;/D&gt;&lt;/FQL&gt;&lt;FQL&gt;&lt;Q&gt;HEXA.B-SE^FE_ACTUAL(ACTUAL,EPS,ANN_ROLL,0,,,,'CURRENCY=USD')&lt;/Q&gt;&lt;R&gt;1&lt;/R&gt;&lt;C&gt;1&lt;/C&gt;&lt;D xsi:type="xsd:double"&gt;0.4841875&lt;/D&gt;&lt;/FQL&gt;&lt;FQL&gt;&lt;Q&gt;HEXA.B-SE^OS_SEC_FLT_PCT(0D,,MTD,SEC)&lt;/Q&gt;&lt;R&gt;1&lt;/R&gt;&lt;C&gt;1&lt;/C&gt;&lt;D xsi:type="xsd:double"&gt;79.279&lt;/D&gt;&lt;/FQL&gt;&lt;FQL&gt;&lt;Q&gt;HEXA.B-SE^AVG(P_VOLUME_FRQ(-1AM,NOW,D,,6))*P_PRICE_AVG(-1AM,NOW,,USD)&lt;/Q&gt;&lt;R&gt;1&lt;/R&gt;&lt;C&gt;1&lt;/C&gt;&lt;D xsi:type="xsd:double"&gt;61.3288648074273&lt;/D&gt;&lt;/FQL&gt;&lt;FQL&gt;&lt;Q&gt;HEXA.B-SE^FCS_EV_DAILY(MV,NOW,,,USD,M)&lt;/Q&gt;&lt;R&gt;1&lt;/R&gt;&lt;C&gt;1&lt;/C&gt;&lt;D xsi:type="xsd:double"&gt;28896.6242327341&lt;/D&gt;&lt;/FQL&gt;&lt;FQL&gt;&lt;Q&gt;HEXA.B-SE^P_DCOUNTRY&lt;/Q&gt;&lt;R&gt;1&lt;/R&gt;&lt;C&gt;1&lt;/C&gt;&lt;D xsi:type="xsd:string"&gt;SWEDEN&lt;/D&gt;&lt;/FQL&gt;&lt;FQL&gt;&lt;Q&gt;HEXA.B-SE^FR_RBICS_NAME_CURR("IND")&lt;/Q&gt;&lt;R&gt;1&lt;/R&gt;&lt;C&gt;1&lt;/C&gt;&lt;D xsi:type="xsd:string"&gt;Computer Aided Design Software&lt;/D&gt;&lt;/FQL&gt;&lt;FQL&gt;&lt;Q&gt;XRO-AU^FE_RATING(MEAN,TEXTONLY,0,NOW,,,'')&lt;/Q&gt;&lt;R&gt;1&lt;/R&gt;&lt;C&gt;1&lt;/C&gt;&lt;D xsi:type="xsd:string"&gt;Buy&lt;/D&gt;&lt;/FQL&gt;&lt;FQL&gt;&lt;Q&gt;XRO-AU^FG_PRICE(0,,,USD)/FG_PRICE_MAVG(0,,,USD,200)&lt;/Q&gt;&lt;R&gt;1&lt;/R&gt;&lt;C&gt;1&lt;/C&gt;&lt;D xsi:type="xsd:double"&gt;0.524773164343043&lt;/D&gt;&lt;/FQL&gt;&lt;FQL&gt;&lt;Q&gt;XRO-AU^FG_PRICE(0,,,USD)/FG_PRICE_MAVG(0,,,USD,100)&lt;/Q&gt;&lt;R&gt;1&lt;/R&gt;&lt;C&gt;1&lt;/C&gt;&lt;D xsi:type="xsd:double"&gt;0.641589892023529&lt;/D&gt;&lt;/FQL&gt;&lt;FQL&gt;&lt;Q&gt;XRO-AU^FG_PRICE(0,,,USD)/FG_PRICE_MAVG(0,,,USD,50)&lt;/Q&gt;&lt;R&gt;1&lt;/R&gt;&lt;C&gt;1&lt;/C&gt;&lt;D xsi:type="xsd:double"&gt;0.75467841100497&lt;/D&gt;&lt;/FQL&gt;&lt;FQL&gt;&lt;Q&gt;XRO-AU^RTP_PRICE_TARGET(USD)/FG_PRICE(0,,,USD)&lt;/Q&gt;&lt;R&gt;1&lt;/R&gt;&lt;C&gt;1&lt;/C&gt;&lt;D xsi:type="xsd:double"&gt;2.14734857018297&lt;/D&gt;&lt;/FQL&gt;&lt;FQL&gt;&lt;Q&gt;XRO-AU^FG_PRICE(0,,,USD)/P_PRICE_HIGH(-1AY,0,USD,,,"PRICE","INTRA")&lt;/Q&gt;&lt;R&gt;1&lt;/R&gt;&lt;C&gt;1&lt;/C&gt;&lt;D xsi:type="xsd:double"&gt;0.396176248123417&lt;/D&gt;&lt;/FQL&gt;&lt;FQL&gt;&lt;Q&gt;XRO-AU^PERCENT_CHANGE(FE_VALUATION(FFEV_EBITDA,MEAN,NTMA,,0,,,''),MAX(FE_VALUATION(FFEV_EBITDA,MEAN,NTMA,,-1AY,0,,'')))&lt;/Q&gt;&lt;R&gt;1&lt;/R&gt;&lt;C&gt;1&lt;/C&gt;&lt;D xsi:type="xsd:double"&gt;-68.5187683675132&lt;/D&gt;&lt;/FQL&gt;&lt;FQL&gt;&lt;Q&gt;XRO-AU^PERCENT_CHANGE(FE_VALUATION(PE,MEAN,NTMA,,0,,,''),MAX(FE_VALUATION(PE,MEAN,NTMA,,-1AY,0,,'')))&lt;/Q&gt;&lt;R&gt;1&lt;/R&gt;&lt;C&gt;1&lt;/C&gt;&lt;D xsi:type="xsd:double"&gt;-45.3509526166549&lt;/D&gt;&lt;/FQL&gt;&lt;FQL&gt;&lt;Q&gt;XRO-AU^FE_VALUATION(FFEV_EBITDA,MEAN,NTMA,,0,,,'')&lt;/Q&gt;&lt;R&gt;1&lt;/R&gt;&lt;C&gt;1&lt;/C&gt;&lt;D xsi:type="xsd:double"&gt;11.862764&lt;/D&gt;&lt;/FQL&gt;&lt;FQL&gt;&lt;Q&gt;XRO-AU^FE_VALUATION(FFEV_SALES,MEAN,NTMA,,0,,,'')&lt;/Q&gt;&lt;R&gt;1&lt;/R&gt;&lt;C&gt;1&lt;/C&gt;&lt;D xsi:type="xsd:double"&gt;2.9018226&lt;/D&gt;&lt;/FQL&gt;&lt;FQL&gt;&lt;Q&gt;XRO-AU^FE_VALUATION(P_SALESPS,MEAN,NTMA,,0,,,'')&lt;/Q&gt;&lt;R&gt;1&lt;/R&gt;&lt;C&gt;1&lt;/C&gt;&lt;D xsi:type="xsd:double"&gt;4.116229&lt;/D&gt;&lt;/FQL&gt;&lt;FQL&gt;&lt;Q&gt;XRO-AU^FE_VALUATION(PE,MEAN,NTMA,,0,,,'')&lt;/Q&gt;&lt;R&gt;1&lt;/R&gt;&lt;C&gt;1&lt;/C&gt;&lt;D xsi:type="xsd:double"&gt;55.060276&lt;/D&gt;&lt;/FQL&gt;&lt;FQL&gt;&lt;Q&gt;XRO-AU^FE_ACTUAL(ACTUAL,SALES,ANN_ROLL,0,,,,'CURRENCY=USD')&lt;/Q&gt;&lt;R&gt;1&lt;/R&gt;&lt;C&gt;1&lt;/C&gt;&lt;D xsi:type="xsd:double"&gt;1233.7311&lt;/D&gt;&lt;/FQL&gt;&lt;FQL&gt;&lt;Q&gt;XRO-AU^FE_ACTUAL(ACTUAL,SALES,ANN_ROLL,-1,,,,'CURRENCY=USD')&lt;/Q&gt;&lt;R&gt;1&lt;/R&gt;&lt;C&gt;1&lt;/C&gt;&lt;D xsi:type="xsd:double"&gt;1047.7971&lt;/D&gt;&lt;/FQL&gt;&lt;FQL&gt;&lt;Q&gt;XRO-AU^FE_VALUATION(EBITDA_MARGIN,MEAN,ANN_ROLL,0,NOW,,,'')&lt;/Q&gt;&lt;R&gt;1&lt;/R&gt;&lt;C&gt;1&lt;/C&gt;&lt;D xsi:type="xsd:double"&gt;30.882034&lt;/D&gt;&lt;/FQL&gt;&lt;FQL&gt;&lt;Q&gt;XRO-AU^FE_VALUATION(ROIC,MEAN,NTMA,,0,,,'')&lt;/Q&gt;&lt;R&gt;1&lt;/R&gt;&lt;C&gt;1&lt;/C&gt;&lt;D xsi:type="xsd:double"&gt;3.5985992&lt;/D&gt;&lt;/FQL&gt;&lt;FQL&gt;&lt;Q&gt;XRO-AU^FE_VALUATION(ROE,MEAN,NTMA,,0,,,'')&lt;/Q&gt;&lt;R&gt;1&lt;/R&gt;&lt;C&gt;1&lt;/C&gt;&lt;D xsi:type="xsd:double"&gt;4.9533567&lt;/D&gt;&lt;/FQL&gt;&lt;FQL&gt;&lt;Q&gt;XRO-AU^FE_VALUATION(DIV_YLD,MEAN,NTMA,,NOW,,,'')&lt;/Q&gt;&lt;R&gt;1&lt;/R&gt;&lt;C&gt;1&lt;/C&gt;&lt;D xsi:type="xsd:double"&gt;0&lt;/D&gt;&lt;/FQL&gt;&lt;FQL&gt;&lt;Q&gt;XRO-AU^FE_VALUATION(MCAP_FCF,MEAN,NTMA,,NOW,,,'')&lt;/Q&gt;&lt;R&gt;1&lt;/R&gt;&lt;C&gt;1&lt;/C&gt;&lt;D xsi:type="xsd:double"&gt;3.0951474&lt;/D&gt;&lt;/FQL&gt;&lt;FQL&gt;&lt;Q&gt;XRO-AU^FE_VALUATION(NETDEBT_EBITDA,MEAN,NTMA,,NOW,,,'')&lt;/Q&gt;&lt;R&gt;1&lt;/R&gt;&lt;C&gt;1&lt;/C&gt;&lt;D xsi:type="xsd:double"&gt;0.24909136&lt;/D&gt;&lt;/FQL&gt;&lt;FQL&gt;&lt;Q&gt;XRO-AU^FF_NET_MGN(LTM_R,0)&lt;/Q&gt;&lt;R&gt;0&lt;/R&gt;&lt;C&gt;0&lt;/C&gt;&lt;/FQL&gt;&lt;FQL&gt;&lt;Q&gt;XRO-AU^FF_EBITDA_OPER_MGN(LTM_R,0)&lt;/Q&gt;&lt;R&gt;0&lt;/R&gt;&lt;C&gt;0&lt;/C&gt;&lt;/FQL&gt;&lt;FQL&gt;&lt;Q&gt;XRO-AU^FF_GROSS_MGN(LTM_R,0)&lt;/Q&gt;&lt;R&gt;0&lt;/R&gt;&lt;C&gt;0&lt;/C&gt;&lt;/FQL&gt;&lt;FQL&gt;&lt;Q&gt;XRO-AU^POW(FE_ESTIMATE(EPS,MEAN,STMA,,NOW,,,'CURRENCY=USD')/FE_ESTIMATE(EPS,MEAN,LTMA,,NOW,,,'CURRENCY=USD'),0.5)-1&lt;/Q&gt;&lt;R&gt;1&lt;/R&gt;&lt;C&gt;1&lt;/C&gt;&lt;D xsi:type="xsd:double"&gt;0.304881297283397&lt;/D&gt;&lt;/FQL&gt;&lt;FQL&gt;&lt;Q&gt;XRO-AU^POW(FE_ESTIMATE(SALES,MEAN,STMA,,NOW,,,'CURRENCY=USD')/FE_ESTIMATE(SALES,MEAN,LTMA,,NOW,,,'CURRENCY=USD'),0.5)-1&lt;/Q&gt;&lt;R&gt;1&lt;/R&gt;&lt;C&gt;1&lt;/C&gt;&lt;D xsi:type="xsd:double"&gt;0.266647267395308&lt;/D&gt;&lt;/FQL&gt;&lt;FQL&gt;&lt;Q&gt;XRO-AU^FE_ACTUAL(ACTUAL,EPS,ANN_ROLL,0,,,,'CURRENCY=USD')&lt;/Q&gt;&lt;R&gt;1&lt;/R&gt;&lt;C&gt;1&lt;/C&gt;&lt;D xsi:type="xsd:double"&gt;0.8625225&lt;/D&gt;&lt;/FQL&gt;&lt;FQL&gt;&lt;Q&gt;XRO-AU^OS_SEC_FLT_PCT(0D,,MTD,SEC)&lt;/Q&gt;&lt;R&gt;1&lt;/R&gt;&lt;C&gt;1&lt;/C&gt;&lt;D xsi:type="xsd:double"&gt;97.4181&lt;/D&gt;&lt;/FQL&gt;&lt;FQL&gt;&lt;Q&gt;XRO-AU^AVG(P_VOLUME_FRQ(-1AM,NOW,D,,6))*P_PRICE_AVG(-1AM,NOW,,USD)&lt;/Q&gt;&lt;R&gt;1&lt;/R&gt;&lt;C&gt;1&lt;/C&gt;&lt;D xsi:type="xsd:double"&gt;71.2166959810052&lt;/D&gt;&lt;/FQL&gt;&lt;FQL&gt;&lt;Q&gt;XRO-AU^FCS_EV_DAILY(MV,NOW,,,USD,M)&lt;/Q&gt;&lt;R&gt;1&lt;/R&gt;&lt;C&gt;1&lt;/C&gt;&lt;D xsi:type="xsd:double"&gt;8750.94670888579&lt;/D&gt;&lt;/FQL&gt;&lt;FQL&gt;&lt;Q&gt;XRO-AU^P_DCOUNTRY&lt;/Q&gt;&lt;R&gt;1&lt;/R&gt;&lt;C&gt;1&lt;/C&gt;&lt;D xsi:type="xsd:string"&gt;AUSTRALIA&lt;/D&gt;&lt;/FQL&gt;&lt;FQL&gt;&lt;Q&gt;XRO-AU^FR_RBICS_NAME_CURR("IND")&lt;/Q&gt;&lt;R&gt;1&lt;/R&gt;&lt;C&gt;1&lt;/C&gt;&lt;D xsi:type="xsd:string"&gt;Enterprise Resource Planning Software&lt;/D&gt;&lt;/FQL&gt;&lt;FQL&gt;&lt;Q&gt;TYL-US^FE_RATING(MEAN,TEXTONLY,0,NOW,,,'')&lt;/Q&gt;&lt;R&gt;1&lt;/R&gt;&lt;C&gt;1&lt;/C&gt;&lt;D xsi:type="xsd:string"&gt;Overweight&lt;/D&gt;&lt;/FQL&gt;&lt;FQL&gt;&lt;Q&gt;TYL-US^FG_PRICE(0,,,USD)/FG_PRICE_MAVG(0,,,USD,200)&lt;/Q&gt;&lt;R&gt;1&lt;/R&gt;&lt;C&gt;1&lt;/C&gt;&lt;D xsi:type="xsd:double"&gt;0.640670866176009&lt;/D&gt;&lt;/FQL&gt;&lt;FQL&gt;&lt;Q&gt;TYL-US^FG_PRICE(0,,,USD)/FG_PRICE_MAVG(0,,,USD,100)&lt;/Q&gt;&lt;R&gt;1&lt;/R&gt;&lt;C&gt;1&lt;/C&gt;&lt;D xsi:type="xsd:double"&gt;0.728551463369576&lt;/D&gt;&lt;/FQL&gt;&lt;FQL&gt;&lt;Q&gt;TYL-US^FG_PRICE(0,,,USD)/FG_PRICE_MAVG(0,,,USD,50)&lt;/Q&gt;&lt;R&gt;1&lt;/R&gt;&lt;C&gt;1&lt;/C&gt;&lt;D xsi:type="xsd:double"&gt;0.795712031771466&lt;/D&gt;&lt;/FQL&gt;&lt;FQL&gt;&lt;Q&gt;TYL-US^RTP_PRICE_TARGET(USD)/FG_PRICE(0,,,USD)&lt;/Q&gt;&lt;R&gt;1&lt;/R&gt;&lt;C&gt;1&lt;/C&gt;&lt;D xsi:type="xsd:double"&gt;1.34937303107048&lt;/D&gt;&lt;/FQL&gt;&lt;FQL&gt;&lt;Q&gt;TYL-US^FG_PRICE(0,,,USD)/P_PRICE_HIGH(-1AY,0,USD,,,"PRICE","INTRA")&lt;/Q&gt;&lt;R&gt;1&lt;/R&gt;&lt;C&gt;1&lt;/C&gt;&lt;D xsi:type="xsd:double"&gt;0.516758171603677&lt;/D&gt;&lt;/FQL&gt;&lt;FQL&gt;&lt;Q&gt;TYL-US^PERCENT_CHANGE(FE_VALUATION(FFEV_EBITDA,MEAN,NTMA,,0,,,''),MAX(FE_VALUATION(FFEV_EBITDA,MEAN,NTMA,,-1AY,0,,'')))&lt;/Q&gt;&lt;R&gt;1&lt;/R&gt;&lt;C&gt;1&lt;/C&gt;&lt;D xsi:type="xsd:double"&gt;-54.1988903373322&lt;/D&gt;&lt;/FQL&gt;&lt;FQL&gt;&lt;Q&gt;TYL-US^PERCENT_CHANGE(FE_VALUATION(PE,MEAN,NTMA,,0,,,''),MAX(FE_VALUATION(PE,MEAN,NTMA,,-1AY,0,,'')))&lt;/Q&gt;&lt;R&gt;1&lt;/R&gt;&lt;C&gt;1&lt;/C&gt;&lt;D xsi:type="xsd:double"&gt;-54.4246110286936&lt;/D&gt;&lt;/FQL&gt;&lt;FQL&gt;&lt;Q&gt;TYL-US^FE_VALUATION(FFEV_EBITDA,MEAN,NTMA,,0,,,'')&lt;/Q&gt;&lt;R&gt;1&lt;/R&gt;&lt;C&gt;1&lt;/C&gt;&lt;D xsi:type="xsd:double"&gt;18.20838&lt;/D&gt;&lt;/FQL&gt;&lt;FQL&gt;&lt;Q&gt;TYL-US^FE_VALUATION(FFEV_SALES,MEAN,NTMA,,0,,,'')&lt;/Q&gt;&lt;R&gt;1&lt;/R&gt;&lt;C&gt;1&lt;/C&gt;&lt;D xsi:type="xsd:double"&gt;5.3438025&lt;/D&gt;&lt;/FQL&gt;&lt;FQL&gt;&lt;Q&gt;TYL-US^FE_VALUATION(P_SALESPS,MEAN,NTMA,,0,,,'')&lt;/Q&gt;&lt;R&gt;1&lt;/R&gt;&lt;C&gt;1&lt;/C&gt;&lt;D xsi:type="xsd:double"&gt;5.4165545&lt;/D&gt;&lt;/FQL&gt;&lt;FQL&gt;&lt;Q&gt;TYL-US^FE_VALUATION(PE,MEAN,NTMA,,0,,,'')&lt;/Q&gt;&lt;R&gt;1&lt;/R&gt;&lt;C&gt;1&lt;/C&gt;&lt;D xsi:type="xsd:double"&gt;25.327198&lt;/D&gt;&lt;/FQL&gt;&lt;FQL&gt;&lt;Q&gt;TYL-US^FE_ACTUAL(ACTUAL,SALES,ANN_ROLL,0,,,,'CURRENCY=USD')&lt;/Q&gt;&lt;R&gt;1&lt;/R&gt;&lt;C&gt;1&lt;/C&gt;&lt;D xsi:type="xsd:double"&gt;2332.34&lt;/D&gt;&lt;/FQL&gt;&lt;FQL&gt;&lt;Q&gt;TYL-US^FE_ACTUAL(ACTUAL,SALES,ANN_ROLL,-1,,,,'CURRENCY=USD')&lt;/Q&gt;&lt;R&gt;1&lt;/R&gt;&lt;C&gt;1&lt;/C&gt;&lt;D xsi:type="xsd:double"&gt;2137.803&lt;/D&gt;&lt;/FQL&gt;&lt;FQL&gt;&lt;Q&gt;TYL-US^FE_VALUATION(EBITDA_MARGIN,MEAN,ANN_ROLL,0,NOW,,,'')&lt;/Q&gt;&lt;R&gt;1&lt;/R&gt;&lt;C&gt;1&lt;/C&gt;&lt;D xsi:type="xsd:double"&gt;27.901846&lt;/D&gt;&lt;/FQL&gt;&lt;FQL&gt;&lt;Q&gt;TYL-US^FE_VALUATION(ROIC,MEAN,NTMA,,0,,,'')&lt;/Q&gt;&lt;R&gt;1&lt;/R&gt;&lt;C&gt;1&lt;/C&gt;&lt;D xsi:type="xsd:double"&gt;7.8122134&lt;/D&gt;&lt;/FQL&gt;&lt;FQL&gt;&lt;Q&gt;TYL-US^FE_VALUATION(ROE,MEAN,NTMA,,0,,,'')&lt;/Q&gt;&lt;R&gt;1&lt;/R&gt;&lt;C&gt;1&lt;/C&gt;&lt;D xsi:type="xsd:double"&gt;12.747772&lt;/D&gt;&lt;/FQL&gt;&lt;FQL&gt;&lt;Q&gt;TYL-US^FE_VALUATION(DIV_YLD,MEAN,NTMA,,NOW,,,'')&lt;/Q&gt;&lt;R&gt;0&lt;/R&gt;&lt;C&gt;0&lt;/C&gt;&lt;/FQL&gt;&lt;FQL&gt;&lt;Q&gt;TYL-US^FE_VALUATION(MCAP_FCF,MEAN,NTMA,,NOW,,,'')&lt;/Q&gt;&lt;R&gt;1&lt;/R&gt;&lt;C&gt;1&lt;/C&gt;&lt;D xsi:type="xsd:double"&gt;4.9913015&lt;/D&gt;&lt;/FQL&gt;&lt;FQL&gt;&lt;Q&gt;TYL-US^FE_VALUATION(NETDEBT_EBITDA,MEAN,NTMA,,NOW,,,'')&lt;/Q&gt;&lt;R&gt;1&lt;/R&gt;&lt;C&gt;1&lt;/C&gt;&lt;D xsi:type="xsd:double"&gt;-1.6734495&lt;/D&gt;&lt;/FQL&gt;&lt;FQL&gt;&lt;Q&gt;TYL-US^FF_NET_MGN(LTM_R,0)&lt;/Q&gt;&lt;R&gt;1&lt;/R&gt;&lt;C&gt;1&lt;/C&gt;&lt;D xsi:type="xsd:double"&gt;13.5316034540419&lt;/D&gt;&lt;/FQL&gt;&lt;FQL&gt;&lt;Q&gt;TYL-US^FF_EBITDA_OPER_MGN(LTM_R,0)&lt;/Q&gt;&lt;R&gt;1&lt;/R&gt;&lt;C&gt;1&lt;/C&gt;&lt;D xsi:type="xsd:double"&gt;21.6752274539733&lt;/D&gt;&lt;/FQL&gt;&lt;FQL&gt;&lt;Q&gt;TYL-US^FF_GROSS_MGN(LTM_R,0)&lt;/Q&gt;&lt;R&gt;1&lt;/R&gt;&lt;C&gt;1&lt;/C&gt;&lt;D xsi:type="xsd:double"&gt;44.0450791908555&lt;/D&gt;&lt;/FQL&gt;&lt;FQL&gt;&lt;Q&gt;TYL-US^POW(FE_ESTIMATE(EPS,MEAN,STMA,,NOW,,,'CURRENCY=USD')/FE_ESTIMATE(EPS,MEAN,LTMA,,NOW,,,'CURRENCY=USD'),0.5)-1&lt;/Q&gt;&lt;R&gt;1&lt;/R&gt;&lt;C&gt;1&lt;/C&gt;&lt;D xsi:type="xsd:double"&gt;0.123214449693379&lt;/D&gt;&lt;/FQL&gt;&lt;FQL&gt;&lt;Q&gt;TYL-US^POW(FE_ESTIMATE(SALES,MEAN,STMA,,NOW,,,'CURRENCY=USD')/FE_ESTIMATE(SALES,MEAN,LTMA,,NOW,,,'CURRENCY=USD'),0.5)-1&lt;/Q&gt;&lt;R&gt;1&lt;/R&gt;&lt;C&gt;1&lt;/C&gt;&lt;D xsi:type="xsd:double"&gt;0.0913504478397396&lt;/D&gt;&lt;/FQL&gt;&lt;FQL&gt;&lt;Q&gt;TYL-US^FE_ACTUAL(ACTUAL,EPS,ANN_ROLL,0,,,,'CURRENCY=USD')&lt;/Q&gt;&lt;R&gt;1&lt;/R&gt;&lt;C&gt;1&lt;/C&gt;&lt;D xsi:type="xsd:double"&gt;11.31&lt;/D&gt;&lt;/FQL&gt;&lt;FQL&gt;&lt;Q&gt;TYL-US^OS_SEC_FLT_PCT(0D,,MTD,SEC)&lt;/Q&gt;&lt;R&gt;1&lt;/R&gt;&lt;C&gt;1&lt;/C&gt;&lt;D xsi:type="xsd:double"&gt;99.5873&lt;/D&gt;&lt;/FQL&gt;&lt;FQL&gt;&lt;Q&gt;TYL-US^AVG(P_VOLUME_FRQ(-1AM,NOW,D,,6))*P_PRICE_AVG(-1AM,NOW,,USD)&lt;/Q&gt;&lt;R&gt;1&lt;/R&gt;&lt;C&gt;1&lt;/C&gt;&lt;D xsi:type="xsd:double"&gt;322.995788926244&lt;/D&gt;&lt;/FQL&gt;&lt;FQL&gt;&lt;Q&gt;TYL-US^FCS_EV_DAILY(MV,NOW,,,USD,M)&lt;/Q&gt;&lt;R&gt;1&lt;/R&gt;&lt;C&gt;1&lt;/C&gt;&lt;D xsi:type="xsd:double"&gt;14142.2516252&lt;/D&gt;&lt;/FQL&gt;&lt;FQL&gt;&lt;Q&gt;TYL-US^P_DCOUNTRY&lt;/Q&gt;&lt;R&gt;1&lt;/R&gt;&lt;C&gt;1&lt;/C&gt;&lt;D xsi:type="xsd:string"&gt;UNITED STATES&lt;/D&gt;&lt;/FQL&gt;&lt;FQL&gt;&lt;Q&gt;TYL-US^FR_RBICS_NAME_CURR("IND")&lt;/Q&gt;&lt;R&gt;1&lt;/R&gt;&lt;C&gt;1&lt;/C&gt;&lt;D xsi:type="xsd:string"&gt;Government and Not-For-Profit Industry Software&lt;/D&gt;&lt;/FQL&gt;&lt;FQL&gt;&lt;Q&gt;AGYS-US^FE_RATING(MEAN,TEXTONLY,0,NOW,,,'')&lt;/Q&gt;&lt;R&gt;1&lt;/R&gt;&lt;C&gt;1&lt;/C&gt;&lt;D xsi:type="xsd:string"&gt;Buy&lt;/D&gt;&lt;/FQL&gt;&lt;FQL&gt;&lt;Q&gt;AGYS-US^FG_PRICE(0,,,USD)/FG_PRICE_MAVG(0,,,USD,200)&lt;/Q&gt;&lt;R&gt;1&lt;/R&gt;&lt;C&gt;1&lt;/C&gt;&lt;D xsi:type="xsd:double"&gt;0.654354372852431&lt;/D&gt;&lt;/FQL&gt;&lt;FQL&gt;&lt;Q&gt;AGYS-US^FG_PRICE(0,,,USD)/FG_PRICE_MAVG(0,,,USD,100)&lt;/Q&gt;&lt;R&gt;1&lt;/R&gt;&lt;C&gt;1&lt;/C&gt;&lt;D xsi:type="xsd:double"&gt;0.643310425213264&lt;/D&gt;&lt;/FQL&gt;&lt;FQL&gt;&lt;Q&gt;AGYS-US^FG_PRICE(0,,,USD)/FG_PRICE_MAVG(0,,,USD,50)&lt;/Q&gt;&lt;R&gt;1&lt;/R&gt;&lt;C&gt;1&lt;/C&gt;&lt;D xsi:type="xsd:double"&gt;0.693686078374864&lt;/D&gt;&lt;/FQL&gt;&lt;FQL&gt;&lt;Q&gt;AGYS-US^RTP_PRICE_TARGET(USD)/FG_PRICE(0,,,USD)&lt;/Q&gt;&lt;R&gt;1&lt;/R&gt;&lt;C&gt;1&lt;/C&gt;&lt;D xsi:type="xsd:double"&gt;1.91746561067111&lt;/D&gt;&lt;/FQL&gt;&lt;FQL&gt;&lt;Q&gt;AGYS-US^FG_PRICE(0,,,USD)/P_PRICE_HIGH(-1AY,0,USD,,,"PRICE","INTRA")&lt;/Q&gt;&lt;R&gt;1&lt;/R&gt;&lt;C&gt;1&lt;/C&gt;&lt;D xsi:type="xsd:double"&gt;0.495490533562823&lt;/D&gt;&lt;/FQL&gt;&lt;FQL&gt;&lt;Q&gt;AGYS-US^PERCENT_CHANGE(FE_VALUATION(FFEV_EBITDA,MEAN,NTMA,,0,,,''),MAX(FE_VALUATION(FFEV_EBITDA,MEAN,NTMA,,-1AY,0,,'')))&lt;/Q&gt;&lt;R&gt;1&lt;/R&gt;&lt;C&gt;1&lt;/C&gt;&lt;D xsi:type="xsd:double"&gt;-52.9640314241315&lt;/D&gt;&lt;/FQL&gt;&lt;FQL&gt;&lt;Q&gt;AGYS-US^PERCENT_CHANGE(FE_VALUATION(PE,MEAN,NTMA,,0,,,''),MAX(FE_VALUATION(PE,MEAN,NTMA,,-1AY,0,,'')))&lt;/Q&gt;&lt;R&gt;1&lt;/R&gt;&lt;C&gt;1&lt;/C&gt;&lt;D xsi:type="xsd:double"&gt;-52.8200281433403&lt;/D&gt;&lt;/FQL&gt;&lt;FQL&gt;&lt;Q&gt;AGYS-US^FE_VALUATION(FFEV_EBITDA,MEAN,NTMA,,0,,,'')&lt;/Q&gt;&lt;R&gt;1&lt;/R&gt;&lt;C&gt;1&lt;/C&gt;&lt;D xsi:type="xsd:double"&gt;25.218502&lt;/D&gt;&lt;/FQL&gt;&lt;FQL&gt;&lt;Q&gt;AGYS-US^FE_VALUATION(FFEV_SALES,MEAN,NTMA,,0,,,'')&lt;/Q&gt;&lt;R&gt;1&lt;/R&gt;&lt;C&gt;1&lt;/C&gt;&lt;D xsi:type="xsd:double"&gt;5.5277386&lt;/D&gt;&lt;/FQL&gt;&lt;FQL&gt;&lt;Q&gt;AGYS-US^FE_VALUATION(P_SALESPS,MEAN,NTMA,,0,,,'')&lt;/Q&gt;&lt;R&gt;1&lt;/R&gt;&lt;C&gt;1&lt;/C&gt;&lt;D xsi:type="xsd:double"&gt;5.631908&lt;/D&gt;&lt;/FQL&gt;&lt;FQL&gt;&lt;Q&gt;AGYS-US^FE_VALUATION(PE,MEAN,NTMA,,0,,,'')&lt;/Q&gt;&lt;R&gt;1&lt;/R&gt;&lt;C&gt;1&lt;/C&gt;&lt;D xsi:type="xsd:double"&gt;33.880386&lt;/D&gt;&lt;/FQL&gt;&lt;FQL&gt;&lt;Q&gt;AGYS-US^FE_ACTUAL(ACTUAL,SALES,ANN_ROLL,0,,,,'CURRENCY=USD')&lt;/Q&gt;&lt;R&gt;1&lt;/R&gt;&lt;C&gt;1&lt;/C&gt;&lt;D xsi:type="xsd:double"&gt;275.624&lt;/D&gt;&lt;/FQL&gt;&lt;FQL&gt;&lt;Q&gt;AGYS-US^FE_ACTUAL(ACTUAL,SALES,ANN_ROLL,-1,,,,'CURRENCY=USD')&lt;/Q&gt;&lt;R&gt;1&lt;/R&gt;&lt;C&gt;1&lt;/C&gt;&lt;D xsi:type="xsd:double"&gt;237.464&lt;/D&gt;&lt;/FQL&gt;&lt;FQL&gt;&lt;Q&gt;AGYS-US^FE_VALUATION(EBITDA_MARGIN,MEAN,ANN_ROLL,0,NOW,,,'')&lt;/Q&gt;&lt;R&gt;1&lt;/R&gt;&lt;C&gt;1&lt;/C&gt;&lt;D xsi:type="xsd:double"&gt;19.533495&lt;/D&gt;&lt;/FQL&gt;&lt;FQL&gt;&lt;Q&gt;AGYS-US^FE_VALUATION(ROIC,MEAN,NTMA,,0,,,'')&lt;/Q&gt;&lt;R&gt;0&lt;/R&gt;&lt;C&gt;0&lt;/C&gt;&lt;/FQL&gt;&lt;FQL&gt;&lt;Q&gt;AGYS-US^FE_VALUATION(ROE,MEAN,NTMA,,0,,,'')&lt;/Q&gt;&lt;R&gt;0&lt;/R&gt;&lt;C&gt;0&lt;/C&gt;&lt;/FQL&gt;&lt;FQL&gt;&lt;Q&gt;AGYS-US^FE_VALUATION(DIV_YLD,MEAN,NTMA,,NOW,,,'')&lt;/Q&gt;&lt;R&gt;0&lt;/R&gt;&lt;C&gt;0&lt;/C&gt;&lt;/FQL&gt;&lt;FQL&gt;&lt;Q&gt;AGYS-US^FE_VALUATION(MCAP_FCF,MEAN,NTMA,,NOW,,,'')&lt;/Q&gt;&lt;R&gt;1&lt;/R&gt;&lt;C&gt;1&lt;/C&gt;&lt;D xsi:type="xsd:double"&gt;3.5821302&lt;/D&gt;&lt;/FQL&gt;&lt;FQL&gt;&lt;Q&gt;AGYS-US^FE_VALUATION(NETDEBT_EBITDA,MEAN,NTMA,,NOW,,,'')&lt;/Q&gt;&lt;R&gt;1&lt;/R&gt;&lt;C&gt;1&lt;/C&gt;&lt;D xsi:type="xsd:double"&gt;-1.9759985&lt;/D&gt;&lt;/FQL&gt;&lt;FQL&gt;&lt;Q&gt;AGYS-US^FF_NET_MGN(LTM_R,0)&lt;/Q&gt;&lt;R&gt;1&lt;/R&gt;&lt;C&gt;1&lt;/C&gt;&lt;D xsi:type="xsd:double"&gt;9.7934560063869&lt;/D&gt;&lt;/FQL&gt;&lt;FQL&gt;&lt;Q&gt;AGYS-US^FF_EBITDA_OPER_MGN(LTM_R,0)&lt;/Q&gt;&lt;R&gt;1&lt;/R&gt;&lt;C&gt;1&lt;/C&gt;&lt;D xsi:type="xsd:double"&gt;12.121582817188&lt;/D&gt;&lt;/FQL&gt;&lt;FQL&gt;&lt;Q&gt;AGYS-US^FF_GROSS_MGN(LTM_R,0)&lt;/Q&gt;&lt;R&gt;1&lt;/R&gt;&lt;C&gt;1&lt;/C&gt;&lt;D xsi:type="xsd:double"&gt;58.6886259158629&lt;/D&gt;&lt;/FQL&gt;&lt;FQL&gt;&lt;Q&gt;AGYS-US^POW(FE_ESTIMATE(EPS,MEAN,STMA,,NOW,,,'CURRENCY=USD')/FE_ESTIMATE(EPS,MEAN,LTMA,,NOW,,,'CURRENCY=USD'),0.5)-1&lt;/Q&gt;&lt;R&gt;1&lt;/R&gt;&lt;C&gt;1&lt;/C&gt;&lt;D xsi:type="xsd:double"&gt;0.29194125253434&lt;/D&gt;&lt;/FQL&gt;&lt;FQL&gt;&lt;Q&gt;AGYS-US^POW(FE_ESTIMATE(SALES,MEAN,STMA,,NOW,,,'CURRENCY=USD')/FE_ESTIMATE(SALES,MEAN,LTMA,,NOW,,,'CURRENCY=USD'),0.5)-1&lt;/Q&gt;&lt;R&gt;1&lt;/R&gt;&lt;C&gt;1&lt;/C&gt;&lt;D xsi:type="xsd:double"&gt;0.143391971285438&lt;/D&gt;&lt;/FQL&gt;&lt;FQL&gt;&lt;Q&gt;AGYS-US^FE_ACTUAL(ACTUAL,EPS,ANN_ROLL,0,,,,'CURRENCY=USD')&lt;/Q&gt;&lt;R&gt;1&lt;/R&gt;&lt;C&gt;1&lt;/C&gt;&lt;D xsi:type="xsd:double"&gt;1.55&lt;/D&gt;&lt;/FQL&gt;&lt;FQL&gt;&lt;Q&gt;AGYS-US^OS_SEC_FLT_PCT(0D,,MTD,SEC)&lt;/Q&gt;&lt;R&gt;1&lt;/R&gt;&lt;C&gt;1&lt;/C&gt;&lt;D xsi:type="xsd:double"&gt;91.4653&lt;/D&gt;&lt;/FQL&gt;&lt;FQL&gt;&lt;Q&gt;AGYS-US^AVG(P_VOLUME_FRQ(-1AM,NOW,D,,6))*P_PRICE_AVG(-1AM,NOW,,USD)&lt;/Q&gt;&lt;R&gt;1&lt;/R&gt;&lt;C&gt;1&lt;/C&gt;&lt;D xsi:type="xsd:double"&gt;40.946989161792&lt;/D&gt;&lt;/FQL&gt;&lt;FQL&gt;&lt;Q&gt;AGYS-US^FCS_EV_DAILY(MV,NOW,,,USD,M)&lt;/Q&gt;&lt;R&gt;1&lt;/R&gt;&lt;C&gt;1&lt;/C&gt;&lt;D xsi:type="xsd:double"&gt;2071.09128653&lt;/D&gt;&lt;/FQL&gt;&lt;FQL&gt;&lt;Q&gt;AGYS-US^P_DCOUNTRY&lt;/Q&gt;&lt;R&gt;1&lt;/R&gt;&lt;C&gt;1&lt;/C&gt;&lt;D xsi:type="xsd:string"&gt;UNITED STATES&lt;/D&gt;&lt;/FQL&gt;&lt;FQL&gt;&lt;Q&gt;AGYS-US^FR_RBICS_NAME_CURR("IND")&lt;/Q&gt;&lt;R&gt;1&lt;/R&gt;&lt;C&gt;1&lt;/C&gt;&lt;D xsi:type="xsd:string"&gt;Hospitality Industry Software&lt;/D&gt;&lt;/FQL&gt;&lt;FQL&gt;&lt;Q&gt;DOX-US^FE_RATING(MEAN,TEXTONLY,0,NOW,,,'')&lt;/Q&gt;&lt;R&gt;1&lt;/R&gt;&lt;C&gt;1&lt;/C&gt;&lt;D xsi:type="xsd:string"&gt;Overweight&lt;/D&gt;&lt;/FQL&gt;&lt;FQL&gt;&lt;Q&gt;DOX-US^FG_PRICE(0,,,USD)/FG_PRICE_MAVG(0,,,USD,200)&lt;/Q&gt;&lt;R&gt;1&lt;/R&gt;&lt;C&gt;1&lt;/C&gt;&lt;D xsi:type="xsd:double"&gt;0.801061221514746&lt;/D&gt;&lt;/FQL&gt;&lt;FQL&gt;&lt;Q&gt;DOX-US^FG_PRICE(0,,,USD)/FG_PRICE_MAVG(0,,,USD,100)&lt;/Q&gt;&lt;R&gt;1&lt;/R&gt;&lt;C&gt;1&lt;/C&gt;&lt;D xsi:type="xsd:double"&gt;0.847175295128994&lt;/D&gt;&lt;/FQL&gt;&lt;FQL&gt;&lt;Q&gt;DOX-US^FG_PRICE(0,,,USD)/FG_PRICE_MAVG(0,,,USD,50)&lt;/Q&gt;&lt;R&gt;1&lt;/R&gt;&lt;C&gt;1&lt;/C&gt;&lt;D xsi:type="xsd:double"&gt;0.858536734803287&lt;/D&gt;&lt;/FQL&gt;&lt;FQL&gt;&lt;Q&gt;DOX-US^RTP_PRICE_TARGET(USD)/FG_PRICE(0,,,USD)&lt;/Q&gt;&lt;R&gt;1&lt;/R&gt;&lt;C&gt;1&lt;/C&gt;&lt;D xsi:type="xsd:double"&gt;1.41986321736545&lt;/D&gt;&lt;/FQL&gt;&lt;FQL&gt;&lt;Q&gt;DOX-US^FG_PRICE(0,,,USD)/P_PRICE_HIGH(-1AY,0,USD,,,"PRICE","INTRA")&lt;/Q&gt;&lt;R&gt;1&lt;/R&gt;&lt;C&gt;1&lt;/C&gt;&lt;D xsi:type="xsd:double"&gt;0.704958290491867&lt;/D&gt;&lt;/FQL&gt;&lt;FQL&gt;&lt;Q&gt;DOX-US^PERCENT_CHANGE(FE_VALUATION(FFEV_EBITDA,MEAN,NTMA,,0,,,''),MAX(FE_VALUATION(FFEV_EBITDA,MEAN,NTMA,,-1AY,0,,'')))&lt;/Q&gt;&lt;R&gt;1&lt;/R&gt;&lt;C&gt;1&lt;/C&gt;&lt;D xsi:type="xsd:double"&gt;-32.0195423201228&lt;/D&gt;&lt;/FQL&gt;&lt;FQL&gt;&lt;Q&gt;DOX-US^PERCENT_CHANGE(FE_VALUATION(PE,MEAN,NTMA,,0,,,''),MAX(FE_VALUATION(PE,MEAN,NTMA,,-1AY,0,,'')))&lt;/Q&gt;&lt;R&gt;1&lt;/R&gt;&lt;C&gt;1&lt;/C&gt;&lt;D xsi:type="xsd:double"&gt;-31.2403875245827&lt;/D&gt;&lt;/FQL&gt;&lt;FQL&gt;&lt;Q&gt;DOX-US^FE_VALUATION(FFEV_EBITDA,MEAN,NTMA,,0,,,'')&lt;/Q&gt;&lt;R&gt;1&lt;/R&gt;&lt;C&gt;1&lt;/C&gt;&lt;D xsi:type="xsd:double"&gt;6.4737263&lt;/D&gt;&lt;/FQL&gt;&lt;FQL&gt;&lt;Q&gt;DOX-US^FE_VALUATION(FFEV_SALES,MEAN,NTMA,,0,,,'')&lt;/Q&gt;&lt;R&gt;1&lt;/R&gt;&lt;C&gt;1&lt;/C&gt;&lt;D xsi:type="xsd:double"&gt;1.6640435&lt;/D&gt;&lt;/FQL&gt;&lt;FQL&gt;&lt;Q&gt;DOX-US^FE_VALUATION(P_SALESPS,MEAN,NTMA,,0,,,'')&lt;/Q&gt;&lt;R&gt;1&lt;/R&gt;&lt;C&gt;1&lt;/C&gt;&lt;D xsi:type="xsd:double"&gt;1.5283306&lt;/D&gt;&lt;/FQL&gt;&lt;FQL&gt;&lt;Q&gt;DOX-US^FE_VALUATION(PE,MEAN,NTMA,,0,,,'')&lt;/Q&gt;&lt;R&gt;1&lt;/R&gt;&lt;C&gt;1&lt;/C&gt;&lt;D xsi:type="xsd:double"&gt;8.72686&lt;/D&gt;&lt;/FQL&gt;&lt;FQL&gt;&lt;Q&gt;DOX-US^FE_ACTUAL(ACTUAL,SALES,ANN_ROLL,0,,,,'CURRENCY=USD')&lt;/Q&gt;&lt;R&gt;1&lt;/R&gt;&lt;C&gt;1&lt;/C&gt;&lt;D xsi:type="xsd:double"&gt;4532.913&lt;/D&gt;&lt;/FQL&gt;&lt;FQL&gt;&lt;Q&gt;DOX-US^FE_ACTUAL(ACTUAL,SALES,ANN_ROLL,-1,,,,'CURRENCY=USD')&lt;/Q&gt;&lt;R&gt;1&lt;/R&gt;&lt;C&gt;1&lt;/C&gt;&lt;D xsi:type="xsd:double"&gt;5004.989&lt;/D&gt;&lt;/FQL&gt;&lt;FQL&gt;&lt;Q&gt;DOX-US^FE_VALUATION(EBITDA_MARGIN,MEAN,ANN_ROLL,0,NOW,,,'')&lt;/Q&gt;&lt;R&gt;1&lt;/R&gt;&lt;C&gt;1&lt;/C&gt;&lt;D xsi:type="xsd:double"&gt;24.984386&lt;/D&gt;&lt;/FQL&gt;&lt;FQL&gt;&lt;Q&gt;DOX-US^FE_VALUATION(ROIC,MEAN,NTMA,,0,,,'')&lt;/Q&gt;&lt;R&gt;0&lt;/R&gt;&lt;C&gt;0&lt;/C&gt;&lt;/FQL&gt;&lt;FQL&gt;&lt;Q&gt;DOX-US^FE_VALUATION(ROE,MEAN,NTMA,,0,,,'')&lt;/Q&gt;&lt;R&gt;1&lt;/R&gt;&lt;C&gt;1&lt;/C&gt;&lt;D xsi:type="xsd:double"&gt;23.628893&lt;/D&gt;&lt;/FQL&gt;&lt;FQL&gt;&lt;Q&gt;DOX-US^FE_VALUATION(DIV_YLD,MEAN,NTMA,,NOW,,,'')&lt;/Q&gt;&lt;R&gt;1&lt;/R&gt;&lt;C&gt;1&lt;/C&gt;&lt;D xsi:type="xsd:double"&gt;2.8645198&lt;/D&gt;&lt;/FQL&gt;&lt;FQL&gt;&lt;Q&gt;DOX-US^FE_VALUATION(MCAP_FCF,MEAN,NTMA,,NOW,,,'')&lt;/Q&gt;&lt;R&gt;1&lt;/R&gt;&lt;C&gt;1&lt;/C&gt;&lt;D xsi:type="xsd:double"&gt;9.92673&lt;/D&gt;&lt;/FQL&gt;&lt;FQL&gt;&lt;Q&gt;DOX-US^FE_VALUATION(NETDEBT_EBITDA,MEAN,NTMA,,NOW,,,'')&lt;/Q&gt;&lt;R&gt;1&lt;/R&gt;&lt;C&gt;1&lt;/C&gt;&lt;D xsi:type="xsd:double"&gt;0.4145857&lt;/D&gt;&lt;/FQL&gt;&lt;FQL&gt;&lt;Q&gt;DOX-US^FF_NET_MGN(LTM_R,0)&lt;/Q&gt;&lt;R&gt;1&lt;/R&gt;&lt;C&gt;1&lt;/C&gt;&lt;D xsi:type="xsd:double"&gt;12.3025158996156&lt;/D&gt;&lt;/FQL&gt;&lt;FQL&gt;&lt;Q&gt;DOX-US^FF_EBITDA_OPER_MGN(LTM_R,0)&lt;/Q&gt;&lt;R&gt;1&lt;/R&gt;&lt;C&gt;1&lt;/C&gt;&lt;D xsi:type="xsd:double"&gt;22.0410249825521&lt;/D&gt;&lt;/FQL&gt;&lt;FQL&gt;&lt;Q&gt;DOX-US^FF_GROSS_MGN(LTM_R,0)&lt;/Q&gt;&lt;R&gt;1&lt;/R&gt;&lt;C&gt;1&lt;/C&gt;&lt;D xsi:type="xsd:double"&gt;36.0796146881789&lt;/D&gt;&lt;/FQL&gt;&lt;FQL&gt;&lt;Q&gt;DOX-US^POW(FE_ESTIMATE(EPS,MEAN,STMA,,NOW,,,'CURRENCY=USD')/FE_ESTIMATE(EPS,MEAN,LTMA,,NOW,,,'CURRENCY=USD'),0.5)-1&lt;/Q&gt;&lt;R&gt;1&lt;/R&gt;&lt;C&gt;1&lt;/C&gt;&lt;D xsi:type="xsd:double"&gt;0.0863358136414356&lt;/D&gt;&lt;/FQL&gt;&lt;FQL&gt;&lt;Q&gt;DOX-US^POW(FE_ESTIMATE(SALES,MEAN,STMA,,NOW,,,'CURRENCY=USD')/FE_ESTIMATE(SALES,MEAN,LTMA,,NOW,,,'CURRENCY=USD'),0.5)-1&lt;/Q&gt;&lt;R&gt;1&lt;/R&gt;&lt;C&gt;1&lt;/C&gt;&lt;D xsi:type="xsd:double"&gt;0.0368987414400694&lt;/D&gt;&lt;/FQL&gt;&lt;FQL&gt;&lt;Q&gt;DOX-US^FE_ACTUAL(ACTUAL,EPS,ANN_ROLL,0,,,,'CURRENCY=USD')&lt;/Q&gt;&lt;R&gt;1&lt;/R&gt;&lt;C&gt;1&lt;/C&gt;&lt;D xsi:type="xsd:double"&gt;6.99&lt;/D&gt;&lt;/FQL&gt;&lt;FQL&gt;&lt;Q&gt;DOX-US^OS_SEC_FLT_PCT(0D,,MTD,SEC)&lt;/Q&gt;&lt;R&gt;1&lt;/R&gt;&lt;C&gt;1&lt;/C&gt;&lt;D xsi:type="xsd:double"&gt;99.0732&lt;/D&gt;&lt;/FQL&gt;&lt;FQL&gt;&lt;Q&gt;DOX-US^AVG(P_VOLUME_FRQ(-1AM,NOW,D,,6))*P_PRICE_AVG(-1AM,NOW,,USD)&lt;/Q&gt;&lt;R&gt;1&lt;/R&gt;&lt;C&gt;1&lt;/C&gt;&lt;D xsi:type="xsd:double"&gt;125.216768150595&lt;/D&gt;&lt;/FQL&gt;&lt;FQL&gt;&lt;Q&gt;DOX-US^FCS_EV_DAILY(MV,NOW,,,USD,M)&lt;/Q&gt;&lt;R&gt;1&lt;/R&gt;&lt;C&gt;1&lt;/C&gt;&lt;D xsi:type="xsd:double"&gt;7314.0494369&lt;/D&gt;&lt;/FQL&gt;&lt;FQL&gt;&lt;Q&gt;DOX-US^P_DCOUNTRY&lt;/Q&gt;&lt;R&gt;1&lt;/R&gt;&lt;C&gt;1&lt;/C&gt;&lt;D xsi:type="xsd:string"&gt;UNITED STATES&lt;/D&gt;&lt;/FQL&gt;&lt;FQL&gt;&lt;Q&gt;DOX-US^FR_RBICS_NAME_CURR("IND")&lt;/Q&gt;&lt;R&gt;1&lt;/R&gt;&lt;C&gt;1&lt;/C&gt;&lt;D xsi:type="xsd:string"&gt;Design, Integration and Implementation Consulting&lt;/D&gt;&lt;/FQL&gt;&lt;FQL&gt;&lt;Q&gt;ACIW-US^FE_RATING(MEAN,TEXTONLY,0,NOW,,,'')&lt;/Q&gt;&lt;R&gt;1&lt;/R&gt;&lt;C&gt;1&lt;/C&gt;&lt;D xsi:type="xsd:string"&gt;Buy&lt;/D&gt;&lt;/FQL&gt;&lt;FQL&gt;&lt;Q&gt;ACIW-US^FG_PRICE(0,,,USD)/FG_PRICE_MAVG(0,,,USD,200)&lt;/Q&gt;&lt;R&gt;1&lt;/R&gt;&lt;C&gt;1&lt;/C&gt;&lt;D xsi:type="xsd:double"&gt;0.835389475225561&lt;/D&gt;&lt;/FQL&gt;&lt;FQL&gt;&lt;Q&gt;ACIW-US^FG_PRICE(0,,,USD)/FG_PRICE_MAVG(0,,,USD,100)&lt;/Q&gt;&lt;R&gt;1&lt;/R&gt;&lt;C&gt;1&lt;/C&gt;&lt;D xsi:type="xsd:double"&gt;0.840485236128391&lt;/D&gt;&lt;/FQL&gt;&lt;FQL&gt;&lt;Q&gt;ACIW-US^FG_PRICE(0,,,USD)/FG_PRICE_MAVG(0,,,USD,50)&lt;/Q&gt;&lt;R&gt;1&lt;/R&gt;&lt;C&gt;1&lt;/C&gt;&lt;D xsi:type="xsd:double"&gt;0.880695903006265&lt;/D&gt;&lt;/FQL&gt;&lt;FQL&gt;&lt;Q&gt;ACIW-US^RTP_PRICE_TARGET(USD)/FG_PRICE(0,,,USD)&lt;/Q&gt;&lt;R&gt;1&lt;/R&gt;&lt;C&gt;1&lt;/C&gt;&lt;D xsi:type="xsd:double"&gt;1.6171954964176&lt;/D&gt;&lt;/FQL&gt;&lt;FQL&gt;&lt;Q&gt;ACIW-US^FG_PRICE(0,,,USD)/P_PRICE_HIGH(-1AY,0,USD,,,"PRICE","INTRA")&lt;/Q&gt;&lt;R&gt;1&lt;/R&gt;&lt;C&gt;1&lt;/C&gt;&lt;D xsi:type="xsd:double"&gt;0.672170622635019&lt;/D&gt;&lt;/FQL&gt;&lt;FQL&gt;&lt;Q&gt;ACIW-US^PERCENT_CHANGE(FE_VALUATION(FFEV_EBITDA,MEAN,NTMA,,0,,,''),MAX(FE_VALUATION(FFEV_EBITDA,MEAN,NTMA,,-1AY,0,,'')))&lt;/Q&gt;&lt;R&gt;1&lt;/R&gt;&lt;C&gt;1&lt;/C&gt;&lt;D xsi:type="xsd:double"&gt;-37.0506657749182&lt;/D&gt;&lt;/FQL&gt;&lt;FQL&gt;&lt;Q&gt;ACIW-US^PERCENT_CHANGE(FE_VALUATION(PE,MEAN,NTMA,,0,,,''),MAX(FE_VALUATION(PE,MEAN,NTMA,,-1AY,0,,'')))&lt;/Q&gt;&lt;R&gt;1&lt;/R&gt;&lt;C&gt;1&lt;/C&gt;&lt;D xsi:type="xsd:double"&gt;-43.7053632035333&lt;/D&gt;&lt;/FQL&gt;&lt;FQL&gt;&lt;Q&gt;ACIW-US^FE_VALUATION(FFEV_EBITDA,MEAN,NTMA,,0,,,'')&lt;/Q&gt;&lt;R&gt;1&lt;/R&gt;&lt;C&gt;1&lt;/C&gt;&lt;D xsi:type="xsd:double"&gt;8.738213&lt;/D&gt;&lt;/FQL&gt;&lt;FQL&gt;&lt;Q&gt;ACIW-US^FE_VALUATION(FFEV_SALES,MEAN,NTMA,,0,,,'')&lt;/Q&gt;&lt;R&gt;1&lt;/R&gt;&lt;C&gt;1&lt;/C&gt;&lt;D xsi:type="xsd:double"&gt;2.5361083&lt;/D&gt;&lt;/FQL&gt;&lt;FQL&gt;&lt;Q&gt;ACIW-US^FE_VALUATION(P_SALESPS,MEAN,NTMA,,0,,,'')&lt;/Q&gt;&lt;R&gt;1&lt;/R&gt;&lt;C&gt;1&lt;/C&gt;&lt;D xsi:type="xsd:double"&gt;2.139244&lt;/D&gt;&lt;/FQL&gt;&lt;FQL&gt;&lt;Q&gt;ACIW-US^FE_VALUATION(PE,MEAN,NTMA,,0,,,'')&lt;/Q&gt;&lt;R&gt;1&lt;/R&gt;&lt;C&gt;1&lt;/C&gt;&lt;D xsi:type="xsd:double"&gt;15.068945&lt;/D&gt;&lt;/FQL&gt;&lt;FQL&gt;&lt;Q&gt;ACIW-US^FE_ACTUAL(ACTUAL,SALES,ANN_ROLL,0,,,,'CURRENCY=USD')&lt;/Q&gt;&lt;R&gt;1&lt;/R&gt;&lt;C&gt;1&lt;/C&gt;&lt;D xsi:type="xsd:double"&gt;1594.288&lt;/D&gt;&lt;/FQL&gt;&lt;FQL&gt;&lt;Q&gt;ACIW-US^FE_ACTUAL(ACTUAL,SALES,ANN_ROLL,-1,,,,'CURRENCY=USD')&lt;/Q&gt;&lt;R&gt;1&lt;/R&gt;&lt;C&gt;1&lt;/C&gt;&lt;D xsi:type="xsd:double"&gt;1452.579&lt;/D&gt;&lt;/FQL&gt;&lt;FQL&gt;&lt;Q&gt;ACIW-US^FE_VALUATION(EBITDA_MARGIN,MEAN,ANN_ROLL,0,NOW,,,'')&lt;/Q&gt;&lt;R&gt;1&lt;/R&gt;&lt;C&gt;1&lt;/C&gt;&lt;D xsi:type="xsd:double"&gt;29.210531&lt;/D&gt;&lt;/FQL&gt;&lt;FQL&gt;&lt;Q&gt;ACIW-US^FE_VALUATION(ROIC,MEAN,NTMA,,0,,,'')&lt;/Q&gt;&lt;R&gt;0&lt;/R&gt;&lt;C&gt;0&lt;/C&gt;&lt;/FQL&gt;&lt;FQL&gt;&lt;Q&gt;ACIW-US^FE_VALUATION(ROE,MEAN,NTMA,,0,,,'')&lt;/Q&gt;&lt;R&gt;0&lt;/R&gt;&lt;C&gt;0&lt;/C&gt;&lt;/FQL&gt;&lt;FQL&gt;&lt;Q&gt;ACIW-US^FE_VALUATION(DIV_YLD,MEAN,NTMA,,NOW,,,'')&lt;/Q&gt;&lt;R&gt;0&lt;/R&gt;&lt;C&gt;0&lt;/C&gt;&lt;/FQL&gt;&lt;FQL&gt;&lt;Q&gt;ACIW-US^FE_VALUATION(MCAP_FCF,MEAN,NTMA,,NOW,,,'')&lt;/Q&gt;&lt;R&gt;1&lt;/R&gt;&lt;C&gt;1&lt;/C&gt;&lt;D xsi:type="xsd:double"&gt;8.81873&lt;/D&gt;&lt;/FQL&gt;&lt;FQL&gt;&lt;Q&gt;ACIW-US^FE_VALUATION(NETDEBT_EBITDA,MEAN,NTMA,,NOW,,,'')&lt;/Q&gt;&lt;R&gt;0&lt;/R&gt;&lt;C&gt;0&lt;/C&gt;&lt;/FQL&gt;&lt;FQL&gt;&lt;Q&gt;ACIW-US^FF_NET_MGN(LTM_R,0)&lt;/Q&gt;&lt;R&gt;1&lt;/R&gt;&lt;C&gt;1&lt;/C&gt;&lt;D xsi:type="xsd:double"&gt;15.0689687041508&lt;/D&gt;&lt;/FQL&gt;&lt;FQL&gt;&lt;Q&gt;ACIW-US^FF_EBITDA_OPER_MGN(LTM_R,0)&lt;/Q&gt;&lt;R&gt;1&lt;/R&gt;&lt;C&gt;1&lt;/C&gt;&lt;D xsi:type="xsd:double"&gt;25.9620383313501&lt;/D&gt;&lt;/FQL&gt;&lt;FQL&gt;&lt;Q&gt;ACIW-US^FF_GROSS_MGN(LTM_R,0)&lt;/Q&gt;&lt;R&gt;1&lt;/R&gt;&lt;C&gt;1&lt;/C&gt;&lt;D xsi:type="xsd:double"&gt;44.0925474520858&lt;/D&gt;&lt;/FQL&gt;&lt;FQL&gt;&lt;Q&gt;ACIW-US^POW(FE_ESTIMATE(EPS,MEAN,STMA,,NOW,,,'CURRENCY=USD')/FE_ESTIMATE(EPS,MEAN,LTMA,,NOW,,,'CURRENCY=USD'),0.5)-1&lt;/Q&gt;&lt;R&gt;1&lt;/R&gt;&lt;C&gt;1&lt;/C&gt;&lt;D xsi:type="xsd:double"&gt;0.0953394451036629&lt;/D&gt;&lt;/FQL&gt;&lt;FQL&gt;&lt;Q&gt;ACIW-US^POW(FE_ESTIMATE(SALES,MEAN,STMA,,NOW,,,'CURRENCY=USD')/FE_ESTIMATE(SALES,MEAN,LTMA,,NOW,,,'CURRENCY=USD'),0.5)-1&lt;/Q&gt;&lt;R&gt;1&lt;/R&gt;&lt;C&gt;1&lt;/C&gt;&lt;D xsi:type="xsd:double"&gt;0.0661111105321057&lt;/D&gt;&lt;/FQL&gt;&lt;FQL&gt;&lt;Q&gt;ACIW-US^FE_ACTUAL(ACTUAL,EPS,ANN_ROLL,0,,,,'CURRENCY=USD')&lt;/Q&gt;&lt;R&gt;1&lt;/R&gt;&lt;C&gt;1&lt;/C&gt;&lt;D xsi:type="xsd:double"&gt;1.91&lt;/D&gt;&lt;/FQL&gt;&lt;FQL&gt;&lt;Q&gt;ACIW-US^OS_SEC_FLT_PCT(0D,,MTD,SEC)&lt;/Q&gt;&lt;R&gt;1&lt;/R&gt;&lt;C&gt;1&lt;/C&gt;&lt;D xsi:type="xsd:double"&gt;98.3885&lt;/D&gt;&lt;/FQL&gt;&lt;FQL&gt;&lt;Q&gt;ACIW-US^AVG(P_VOLUME_FRQ(-1AM,NOW,D,,6))*P_PRICE_AVG(-1AM,NOW,,USD)&lt;/Q&gt;&lt;R&gt;1&lt;/R&gt;&lt;C&gt;1&lt;/C&gt;&lt;D xsi:type="xsd:double"&gt;34.4127868822572&lt;/D&gt;&lt;/FQL&gt;&lt;FQL&gt;&lt;Q&gt;ACIW-US^FCS_EV_DAILY(MV,NOW,,,USD,M)&lt;/Q&gt;&lt;R&gt;1&lt;/R&gt;&lt;C&gt;1&lt;/C&gt;&lt;D xsi:type="xsd:double"&gt;4157.02084292&lt;/D&gt;&lt;/FQL&gt;&lt;FQL&gt;&lt;Q&gt;ACIW-US^P_DCOUNTRY&lt;/Q&gt;&lt;R&gt;1&lt;/R&gt;&lt;C&gt;1&lt;/C&gt;&lt;D xsi:type="xsd:string"&gt;UNITED STATES&lt;/D&gt;&lt;/FQL&gt;&lt;FQL&gt;&lt;Q&gt;ACIW-US^FR_RBICS_NAME_CURR("IND")&lt;/Q&gt;&lt;R&gt;1&lt;/R&gt;&lt;C&gt;1&lt;/C&gt;&lt;D xsi:type="xsd:string"&gt;Enterprise Resource Planning Software&lt;/D&gt;&lt;/FQL&gt;&lt;FQL&gt;&lt;Q&gt;SSNC-US^FE_RATING(MEAN,TEXTONLY,0,NOW,,,'')&lt;/Q&gt;&lt;R&gt;1&lt;/R&gt;&lt;C&gt;1&lt;/C&gt;&lt;D xsi:type="xsd:string"&gt;Overweight&lt;/D&gt;&lt;/FQL&gt;&lt;FQL&gt;&lt;Q&gt;SSNC-US^FG_PRICE(0,,,USD)/FG_PRICE_MAVG(0,,,USD,200)&lt;/Q&gt;&lt;R&gt;1&lt;/R&gt;&lt;C&gt;1&lt;/C&gt;&lt;D xsi:type="xsd:double"&gt;0.838924574278861&lt;/D&gt;&lt;/FQL&gt;&lt;FQL&gt;&lt;Q&gt;SSNC-US^FG_PRICE(0,,,USD)/FG_PRICE_MAVG(0,,,USD,100)&lt;/Q&gt;&lt;R&gt;1&lt;/R&gt;&lt;C&gt;1&lt;/C&gt;&lt;D xsi:type="xsd:double"&gt;0.842743389009247&lt;/D&gt;&lt;/FQL&gt;&lt;FQL&gt;&lt;Q&gt;SSNC-US^FG_PRICE(0,,,USD)/FG_PRICE_MAVG(0,,,USD,50)&lt;/Q&gt;&lt;R&gt;1&lt;/R&gt;&lt;C&gt;1&lt;/C&gt;&lt;D xsi:type="xsd:double"&gt;0.853184802956382&lt;/D&gt;&lt;/FQL&gt;&lt;FQL&gt;&lt;Q&gt;SSNC-US^RTP_PRICE_TARGET(USD)/FG_PRICE(0,,,USD)&lt;/Q&gt;&lt;R&gt;1&lt;/R&gt;&lt;C&gt;1&lt;/C&gt;&lt;D xsi:type="xsd:double"&gt;1.42283643598124&lt;/D&gt;&lt;/FQL&gt;&lt;FQL&gt;&lt;Q&gt;SSNC-US^FG_PRICE(0,,,USD)/P_PRICE_HIGH(-1AY,0,USD,,,"PRICE","INTRA")&lt;/Q&gt;&lt;R&gt;1&lt;/R&gt;&lt;C&gt;1&lt;/C&gt;&lt;D xsi:type="xsd:double"&gt;0.772702316899089&lt;/D&gt;&lt;/FQL&gt;&lt;FQL&gt;&lt;Q&gt;SSNC-US^PERCENT_CHANGE(FE_VALUATION(FFEV_EBITDA,MEAN,NTMA,,0,,,''),MAX(FE_VALUATION(FFEV_EBITDA,MEAN,NTMA,,-1AY,0,,'')))&lt;/Q&gt;&lt;R&gt;1&lt;/R&gt;&lt;C&gt;1&lt;/C&gt;&lt;D xsi:type="xsd:double"&gt;-16.7703299212984&lt;/D&gt;&lt;/FQL&gt;&lt;FQL&gt;&lt;Q&gt;SSNC-US^PERCENT_CHANGE(FE_VALUATION(PE,MEAN,NTMA,,0,,,''),MAX(FE_VALUATION(PE,MEAN,NTMA,,-1AY,0,,'')))&lt;/Q&gt;&lt;R&gt;1&lt;/R&gt;&lt;C&gt;1&lt;/C&gt;&lt;D xsi:type="xsd:double"&gt;-32.3263631194222&lt;/D&gt;&lt;/FQL&gt;&lt;FQL&gt;&lt;Q&gt;SSNC-US^FE_VALUATION(FFEV_EBITDA,MEAN,NTMA,,0,,,'')&lt;/Q&gt;&lt;R&gt;1&lt;/R&gt;&lt;C&gt;1&lt;/C&gt;&lt;D xsi:type="xsd:double"&gt;9.242009&lt;/D&gt;&lt;/FQL&gt;&lt;FQL&gt;&lt;Q&gt;SSNC-US^FE_VALUATION(FFEV_SALES,MEAN,NTMA,,0,,,'')&lt;/Q&gt;&lt;R&gt;1&lt;/R&gt;&lt;C&gt;1&lt;/C&gt;&lt;D xsi:type="xsd:double"&gt;3.6997662&lt;/D&gt;&lt;/FQL&gt;&lt;FQL&gt;&lt;Q&gt;SSNC-US^FE_VALUATION(P_SALESPS,MEAN,NTMA,,0,,,'')&lt;/Q&gt;&lt;R&gt;1&lt;/R&gt;&lt;C&gt;1&lt;/C&gt;&lt;D xsi:type="xsd:double"&gt;2.5367756&lt;/D&gt;&lt;/FQL&gt;&lt;FQL&gt;&lt;Q&gt;SSNC-US^FE_VALUATION(PE,MEAN,NTMA,,0,,,'')&lt;/Q&gt;&lt;R&gt;1&lt;/R&gt;&lt;C&gt;1&lt;/C&gt;&lt;D xsi:type="xsd:double"&gt;10.1242285&lt;/D&gt;&lt;/FQL&gt;&lt;FQL&gt;&lt;Q&gt;SSNC-US^FE_ACTUAL(ACTUAL,SALES,ANN_ROLL,0,,,,'CURRENCY=USD')&lt;/Q&gt;&lt;R&gt;1&lt;/R&gt;&lt;C&gt;1&lt;/C&gt;&lt;D xsi:type="xsd:double"&gt;6276.2&lt;/D&gt;&lt;/FQL&gt;&lt;FQL&gt;&lt;Q&gt;SSNC-US^FE_ACTUAL(ACTUAL,SALES,ANN_ROLL,-1,,,,'CURRENCY=USD')&lt;/Q&gt;&lt;R&gt;1&lt;/R&gt;&lt;C&gt;1&lt;/C&gt;&lt;D xsi:type="xsd:double"&gt;5885.7&lt;/D&gt;&lt;/FQL&gt;&lt;FQL&gt;&lt;Q&gt;SSNC-US^FE_VALUATION(EBITDA_MARGIN,MEAN,ANN_ROLL,0,NOW,,,'')&lt;/Q&gt;&lt;R&gt;1&lt;/R&gt;&lt;C&gt;1&lt;/C&gt;&lt;D xsi:type="xsd:double"&gt;39.27376&lt;/D&gt;&lt;/FQL&gt;&lt;FQL&gt;&lt;Q&gt;SSNC-US^FE_VALUATION(ROIC,MEAN,NTMA,,0,,,'')&lt;/Q&gt;&lt;R&gt;1&lt;/R&gt;&lt;C&gt;1&lt;/C&gt;&lt;D xsi:type="xsd:double"&gt;12.625288&lt;/D&gt;&lt;/FQL&gt;&lt;FQL&gt;&lt;Q&gt;SSNC-US^FE_VALUATION(ROE,MEAN,NTMA,,0,,,'')&lt;/Q&gt;&lt;R&gt;1&lt;/R&gt;&lt;C&gt;1&lt;/C&gt;&lt;D xsi:type="xsd:double"&gt;23.502134&lt;/D&gt;&lt;/FQL&gt;&lt;FQL&gt;&lt;Q&gt;SSNC-US^FE_VALUATION(DIV_YLD,MEAN,NTMA,,NOW,,,'')&lt;/Q&gt;&lt;R&gt;1&lt;/R&gt;&lt;C&gt;1&lt;/C&gt;&lt;D xsi:type="xsd:double"&gt;1.5615114&lt;/D&gt;&lt;/FQL&gt;&lt;FQL&gt;&lt;Q&gt;SSNC-US^FE_VALUATION(MCAP_FCF,MEAN,NTMA,,NOW,,,'')&lt;/Q&gt;&lt;R&gt;1&lt;/R&gt;&lt;C&gt;1&lt;/C&gt;&lt;D xsi:type="xsd:double"&gt;9.539992&lt;/D&gt;&lt;/FQL&gt;&lt;FQL&gt;&lt;Q&gt;SSNC-US^FE_VALUATION(NETDEBT_EBITDA,MEAN,NTMA,,NOW,,,'')&lt;/Q&gt;&lt;R&gt;1&lt;/R&gt;&lt;C&gt;1&lt;/C&gt;&lt;D xsi:type="xsd:double"&gt;2.2352138&lt;/D&gt;&lt;/FQL&gt;&lt;FQL&gt;&lt;Q&gt;SSNC-US^FF_NET_MGN(LTM_R,0)&lt;/Q&gt;&lt;R&gt;1&lt;/R&gt;&lt;C&gt;1&lt;/C&gt;&lt;D xsi:type="xsd:double"&gt;12.7052708778419&lt;/D&gt;&lt;/FQL&gt;&lt;FQL&gt;&lt;Q&gt;SSNC-US^FF_EBITDA_OPER_MGN(LTM_R,0)&lt;/Q&gt;&lt;R&gt;1&lt;/R&gt;&lt;C&gt;1&lt;/C&gt;&lt;D xsi:type="xsd:double"&gt;34.8123465450719&lt;/D&gt;&lt;/FQL&gt;&lt;FQL&gt;&lt;Q&gt;SSNC-US^FF_GROSS_MGN(LTM_R,0)&lt;/Q&gt;&lt;R&gt;1&lt;/R&gt;&lt;C&gt;1&lt;/C&gt;&lt;D xsi:type="xsd:double"&gt;48.1744842320079&lt;/D&gt;&lt;/FQL&gt;&lt;FQL&gt;&lt;Q&gt;SSNC-US^POW(FE_ESTIMATE(EPS,MEAN,STMA,,NOW,,,'CURRENCY=USD')/FE_ESTIMATE(EPS,MEAN,LTMA,,NOW,,,'CURRENCY=USD'),0.5)-1&lt;/Q&gt;&lt;R&gt;1&lt;/R&gt;&lt;C&gt;1&lt;/C&gt;&lt;D xsi:type="xsd:double"&gt;0.0975382909037843&lt;/D&gt;&lt;/FQL&gt;&lt;FQL&gt;&lt;Q&gt;SSNC-US^POW(FE_ESTIMATE(SALES,MEAN,STMA,,NOW,,,'CURRENCY=USD')/FE_ESTIMATE(SALES,MEAN,LTMA,,NOW,,,'CURRENCY=USD'),0.5)-1&lt;/Q&gt;&lt;R&gt;1&lt;/R&gt;&lt;C&gt;1&lt;/C&gt;&lt;D xsi:type="xsd:double"&gt;0.0580041587819966&lt;/D&gt;&lt;/FQL&gt;&lt;FQL&gt;&lt;Q&gt;SSNC-US^FE_ACTUAL(ACTUAL,EPS,ANN_ROLL,0,,,,'CURRENCY=USD')&lt;/Q&gt;&lt;R&gt;1&lt;/R&gt;&lt;C&gt;1&lt;/C&gt;&lt;D xsi:type="xsd:double"&gt;6.14&lt;/D&gt;&lt;/FQL&gt;&lt;FQL&gt;&lt;Q&gt;SSNC-US^OS_SEC_FLT_PCT(0D,,MTD,SEC)&lt;/Q&gt;&lt;R&gt;1&lt;/R&gt;&lt;C&gt;1&lt;/C&gt;&lt;D xsi:type="xsd:double"&gt;86.2455&lt;/D&gt;&lt;/FQL&gt;&lt;FQL&gt;&lt;Q&gt;SSNC-US^AVG(P_VOLUME_FRQ(-1AM,NOW,D,,6))*P_PRICE_AVG(-1AM,NOW,,USD)&lt;/Q&gt;&lt;R&gt;1&lt;/R&gt;&lt;C&gt;1&lt;/C&gt;&lt;D xsi:type="xsd:double"&gt;201.779776498133&lt;/D&gt;&lt;/FQL&gt;&lt;FQL&gt;&lt;Q&gt;SSNC-US^FCS_EV_DAILY(MV,NOW,,,USD,M)&lt;/Q&gt;&lt;R&gt;1&lt;/R&gt;&lt;C&gt;1&lt;/C&gt;&lt;D xsi:type="xsd:double"&gt;17792.96534911&lt;/D&gt;&lt;/FQL&gt;&lt;FQL&gt;&lt;Q&gt;SSNC-US^P_DCOUNTRY&lt;/Q&gt;&lt;R&gt;1&lt;/R&gt;&lt;C&gt;1&lt;/C&gt;&lt;D xsi:type="xsd:string"&gt;UNITED STATES&lt;/D&gt;&lt;/FQL&gt;&lt;FQL&gt;&lt;Q&gt;SSNC-US^FR_RBICS_NAME_CURR("IND")&lt;/Q&gt;&lt;R&gt;1&lt;/R&gt;&lt;C&gt;1&lt;/C&gt;&lt;D xsi:type="xsd:string"&gt;Finance Industry Software&lt;/D&gt;&lt;/FQL&gt;&lt;FQL&gt;&lt;Q&gt;CFLT-US^FE_RATING(MEAN,TEXTONLY,0,NOW,,,'')&lt;/Q&gt;&lt;R&gt;1&lt;/R&gt;&lt;C&gt;1&lt;/C&gt;&lt;D xsi:type="xsd:string"&gt;Hold&lt;/D&gt;&lt;/FQL&gt;&lt;FQL&gt;&lt;Q&gt;CFLT-US^FG_PRICE(0,,,USD)/FG_PRICE_MAVG(0,,,USD,200)&lt;/Q&gt;&lt;R&gt;1&lt;/R&gt;&lt;C&gt;1&lt;/C&gt;&lt;D xsi:type="xsd:double"&gt;1.26453680454606&lt;/D&gt;&lt;/FQL&gt;&lt;FQL&gt;&lt;Q&gt;CFLT-US^FG_PRICE(0,,,USD)/FG_PRICE_MAVG(0,,,USD,100)&lt;/Q&gt;&lt;R&gt;1&lt;/R&gt;&lt;C&gt;1&lt;/C&gt;&lt;D xsi:type="xsd:double"&gt;1.14732353624448&lt;/D&gt;&lt;/FQL&gt;&lt;FQL&gt;&lt;Q&gt;CFLT-US^FG_PRICE(0,,,USD)/FG_PRICE_MAVG(0,,,USD,50)&lt;/Q&gt;&lt;R&gt;1&lt;/R&gt;&lt;C&gt;1&lt;/C&gt;&lt;D xsi:type="xsd:double"&gt;1.00819197134127&lt;/D&gt;&lt;/FQL&gt;&lt;FQL&gt;&lt;Q&gt;CFLT-US^RTP_PRICE_TARGET(USD)/FG_PRICE(0,,,USD)&lt;/Q&gt;&lt;R&gt;1&lt;/R&gt;&lt;C&gt;1&lt;/C&gt;&lt;D xsi:type="xsd:double"&gt;1.01241018941868&lt;/D&gt;&lt;/FQL&gt;&lt;FQL&gt;&lt;Q&gt;CFLT-US^FG_PRICE(0,,,USD)/P_PRICE_HIGH(-1AY,0,USD,,,"PRICE","INTRA")&lt;/Q&gt;&lt;R&gt;1&lt;/R&gt;&lt;C&gt;1&lt;/C&gt;&lt;D xsi:type="xsd:double"&gt;0.927878787878788&lt;/D&gt;&lt;/FQL&gt;&lt;FQL&gt;&lt;Q&gt;CFLT-US^PERCENT_CHANGE(FE_VALUATION(FFEV_EBITDA,MEAN,NTMA,,0,,,''),MAX(FE_VALUATION(FFEV_EBITDA,MEAN,NTMA,,-1AY,0,,'')))&lt;/Q&gt;&lt;R&gt;1&lt;/R&gt;&lt;C&gt;1&lt;/C&gt;&lt;D xsi:type="xsd:double"&gt;-36.0538187458165&lt;/D&gt;&lt;/FQL&gt;&lt;FQL&gt;&lt;Q&gt;CFLT-US^PERCENT_CHANGE(FE_VALUATION(PE,MEAN,NTMA,,0,,,''),MAX(FE_VALUATION(PE,MEAN,NTMA,,-1AY,0,,'')))&lt;/Q&gt;&lt;R&gt;1&lt;/R&gt;&lt;C&gt;1&lt;/C&gt;&lt;D xsi:type="xsd:double"&gt;-30.6443693950127&lt;/D&gt;&lt;/FQL&gt;&lt;FQL&gt;&lt;Q&gt;CFLT-US^FE_VALUATION(FFEV_EBITDA,MEAN,NTMA,,0,,,'')&lt;/Q&gt;&lt;R&gt;1&lt;/R&gt;&lt;C&gt;1&lt;/C&gt;&lt;D xsi:type="xsd:double"&gt;56.876404&lt;/D&gt;&lt;/FQL&gt;&lt;FQL&gt;&lt;Q&gt;CFLT-US^FE_VALUATION(FFEV_SALES,MEAN,NTMA,,0,,,'')&lt;/Q&gt;&lt;R&gt;1&lt;/R&gt;&lt;C&gt;1&lt;/C&gt;&lt;D xsi:type="xsd:double"&gt;6.8581357&lt;/D&gt;&lt;/FQL&gt;&lt;FQL&gt;&lt;Q&gt;CFLT-US^FE_VALUATION(P_SALESPS,MEAN,NTMA,,0,,,'')&lt;/Q&gt;&lt;R&gt;1&lt;/R&gt;&lt;C&gt;1&lt;/C&gt;&lt;D xsi:type="xsd:double"&gt;7.847891&lt;/D&gt;&lt;/FQL&gt;&lt;FQL&gt;&lt;Q&gt;CFLT-US^FE_VALUATION(PE,MEAN,NTMA,,0,,,'')&lt;/Q&gt;&lt;R&gt;1&lt;/R&gt;&lt;C&gt;1&lt;/C&gt;&lt;D xsi:type="xsd:double"&gt;58.508892&lt;/D&gt;&lt;/FQL&gt;&lt;FQL&gt;&lt;Q&gt;CFLT-US^FE_ACTUAL(ACTUAL,SALES,ANN_ROLL,0,,,,'CURRENCY=USD')&lt;/Q&gt;&lt;R&gt;1&lt;/R&gt;&lt;C&gt;1&lt;/C&gt;&lt;D xsi:type="xsd:double"&gt;1166.748&lt;/D&gt;&lt;/FQL&gt;&lt;FQL&gt;&lt;Q&gt;CFLT-US^FE_ACTUAL(ACTUAL,SALES,ANN_ROLL,-1,,,,'CURRENCY=USD')&lt;/Q&gt;&lt;R&gt;1&lt;/R&gt;&lt;C&gt;1&lt;/C&gt;&lt;D xsi:type="xsd:double"&gt;963.642&lt;/D&gt;&lt;/FQL&gt;&lt;FQL&gt;&lt;Q&gt;CFLT-US^FE_VALUATION(EBITDA_MARGIN,MEAN,ANN_ROLL,0,NOW,,,'')&lt;/Q&gt;&lt;R&gt;1&lt;/R&gt;&lt;C&gt;1&lt;/C&gt;&lt;D xsi:type="xsd:double"&gt;9.859341&lt;/D&gt;&lt;/FQL&gt;&lt;FQL&gt;&lt;Q&gt;CFLT-US^FE_VALUATION(ROIC,MEAN,NTMA,,0,,,'')&lt;/Q&gt;&lt;R&gt;1&lt;/R&gt;&lt;C&gt;1&lt;/C&gt;&lt;D xsi:type="xsd:double"&gt;8.4914875&lt;/D&gt;&lt;/FQL&gt;&lt;FQL&gt;&lt;Q&gt;CFLT-US^FE_VALUATION(ROE,MEAN,NTMA,,0,,,'')&lt;/Q&gt;&lt;R&gt;1&lt;/R&gt;&lt;C&gt;1&lt;/C&gt;&lt;D xsi:type="xsd:double"&gt;14.2757435&lt;/D&gt;&lt;/FQL&gt;&lt;FQL&gt;&lt;Q&gt;CFLT-US^FE_VALUATION(DIV_YLD,MEAN,NTMA,,NOW,,,'')&lt;/Q&gt;&lt;R&gt;1&lt;/R&gt;&lt;C&gt;1&lt;/C&gt;&lt;D xsi:type="xsd:double"&gt;0&lt;/D&gt;&lt;/FQL&gt;&lt;FQL&gt;&lt;Q&gt;CFLT-US^FE_VALUATION(MCAP_FCF,MEAN,NTMA,,NOW,,,'')&lt;/Q&gt;&lt;R&gt;1&lt;/R&gt;&lt;C&gt;1&lt;/C&gt;&lt;D xsi:type="xsd:double"&gt;1.2147428&lt;/D&gt;&lt;/FQL&gt;&lt;FQL&gt;&lt;Q&gt;CFLT-US^FE_VALUATION(NETDEBT_EBITDA,MEAN,NTMA,,NOW,,,'')&lt;/Q&gt;&lt;R&gt;1&lt;/R&gt;&lt;C&gt;1&lt;/C&gt;&lt;D xsi:type="xsd:double"&gt;-8.395449&lt;/D&gt;&lt;/FQL&gt;&lt;FQL&gt;&lt;Q&gt;CFLT-US^FF_NET_MGN(LTM_R,0)&lt;/Q&gt;&lt;R&gt;1&lt;/R&gt;&lt;C&gt;1&lt;/C&gt;&lt;D xsi:type="xsd:double"&gt;-25.3075214185068&lt;/D&gt;&lt;/FQL&gt;&lt;FQL&gt;&lt;Q&gt;CFLT-US^FF_EBITDA_OPER_MGN(LTM_R,0)&lt;/Q&gt;&lt;R&gt;1&lt;/R&gt;&lt;C&gt;1&lt;/C&gt;&lt;D xsi:type="xsd:double"&gt;-28.7391107591356&lt;/D&gt;&lt;/FQL&gt;&lt;FQL&gt;&lt;Q&gt;CFLT-US^FF_GROSS_MGN(LTM_R,0)&lt;/Q&gt;&lt;R&gt;1&lt;/R&gt;&lt;C&gt;1&lt;/C&gt;&lt;D xsi:type="xsd:double"&gt;74.2356532858852&lt;/D&gt;&lt;/FQL&gt;&lt;FQL&gt;&lt;Q&gt;CFLT-US^POW(FE_ESTIMATE(EPS,MEAN,STMA,,NOW,,,'CURRENCY=USD')/FE_ESTIMATE(EPS,MEAN,LTMA,,NOW,,,'CURRENCY=USD'),0.5)-1&lt;/Q&gt;&lt;R&gt;1&lt;/R&gt;&lt;C&gt;1&lt;/C&gt;&lt;D xsi:type="xsd:double"&gt;0.268024092831047&lt;/D&gt;&lt;/FQL&gt;&lt;FQL&gt;&lt;Q&gt;CFLT-US^POW(FE_ESTIMATE(SALES,MEAN,STMA,,NOW,,,'CURRENCY=USD')/FE_ESTIMATE(SALES,MEAN,LTMA,,NOW,,,'CURRENCY=USD'),0.5)-1&lt;/Q&gt;&lt;R&gt;1&lt;/R&gt;&lt;C&gt;1&lt;/C&gt;&lt;D xsi:type="xsd:double"&gt;0.165520355892594&lt;/D&gt;&lt;/FQL&gt;&lt;FQL&gt;&lt;Q&gt;CFLT-US^FE_ACTUAL(ACTUAL,EPS,ANN_ROLL,0,,,,'CURRENCY=USD')&lt;/Q&gt;&lt;R&gt;1&lt;/R&gt;&lt;C&gt;1&lt;/C&gt;&lt;D xsi:type="xsd:double"&gt;0.42&lt;/D&gt;&lt;/FQL&gt;&lt;FQL&gt;&lt;Q&gt;CFLT-US^OS_SEC_FLT_PCT(0D,,MTD,SEC)&lt;/Q&gt;&lt;R&gt;1&lt;/R&gt;&lt;C&gt;1&lt;/C&gt;&lt;D xsi:type="xsd:double"&gt;98.5863&lt;/D&gt;&lt;/FQL&gt;&lt;FQ</t>
        </r>
      </text>
    </comment>
    <comment ref="A3" authorId="0" shapeId="0" xr:uid="{7EE0E014-54A3-412D-B1B5-32A75C3F607B}">
      <text>
        <r>
          <rPr>
            <b/>
            <sz val="9"/>
            <color indexed="81"/>
            <rFont val="Tahoma"/>
            <charset val="1"/>
          </rPr>
          <t>L&gt;&lt;Q&gt;CFLT-US^AVG(P_VOLUME_FRQ(-1AM,NOW,D,,6))*P_PRICE_AVG(-1AM,NOW,,USD)&lt;/Q&gt;&lt;R&gt;1&lt;/R&gt;&lt;C&gt;1&lt;/C&gt;&lt;D xsi:type="xsd:double"&gt;533.350943519643&lt;/D&gt;&lt;/FQL&gt;&lt;FQL&gt;&lt;Q&gt;CFLT-US^FCS_EV_DAILY(MV,NOW,,,USD,M)&lt;/Q&gt;&lt;R&gt;1&lt;/R&gt;&lt;C&gt;1&lt;/C&gt;&lt;D xsi:type="xsd:double"&gt;11861.88761458&lt;/D&gt;&lt;/FQL&gt;&lt;FQL&gt;&lt;Q&gt;CFLT-US^P_DCOUNTRY&lt;/Q&gt;&lt;R&gt;1&lt;/R&gt;&lt;C&gt;1&lt;/C&gt;&lt;D xsi:type="xsd:string"&gt;UNITED STATES&lt;/D&gt;&lt;/FQL&gt;&lt;FQL&gt;&lt;Q&gt;CFLT-US^FR_RBICS_NAME_CURR("IND")&lt;/Q&gt;&lt;R&gt;1&lt;/R&gt;&lt;C&gt;1&lt;/C&gt;&lt;D xsi:type="xsd:string"&gt;Data Storage Infrastructure Software&lt;/D&gt;&lt;/FQL&gt;&lt;FQL&gt;&lt;Q&gt;TRMB-US^FE_RATING(MEAN,TEXTONLY,0,NOW,,,'')&lt;/Q&gt;&lt;R&gt;1&lt;/R&gt;&lt;C&gt;1&lt;/C&gt;&lt;D xsi:type="xsd:string"&gt;Buy&lt;/D&gt;&lt;/FQL&gt;&lt;FQL&gt;&lt;Q&gt;TRMB-US^FG_PRICE(0,,,USD)/FG_PRICE_MAVG(0,,,USD,200)&lt;/Q&gt;&lt;R&gt;1&lt;/R&gt;&lt;C&gt;1&lt;/C&gt;&lt;D xsi:type="xsd:double"&gt;0.862683732310556&lt;/D&gt;&lt;/FQL&gt;&lt;FQL&gt;&lt;Q&gt;TRMB-US^FG_PRICE(0,,,USD)/FG_PRICE_MAVG(0,,,USD,100)&lt;/Q&gt;&lt;R&gt;1&lt;/R&gt;&lt;C&gt;1&lt;/C&gt;&lt;D xsi:type="xsd:double"&gt;0.870915544420085&lt;/D&gt;&lt;/FQL&gt;&lt;FQL&gt;&lt;Q&gt;TRMB-US^FG_PRICE(0,,,USD)/FG_PRICE_MAVG(0,,,USD,50)&lt;/Q&gt;&lt;R&gt;1&lt;/R&gt;&lt;C&gt;1&lt;/C&gt;&lt;D xsi:type="xsd:double"&gt;0.904855906374394&lt;/D&gt;&lt;/FQL&gt;&lt;FQL&gt;&lt;Q&gt;TRMB-US^RTP_PRICE_TARGET(USD)/FG_PRICE(0,,,USD)&lt;/Q&gt;&lt;R&gt;1&lt;/R&gt;&lt;C&gt;1&lt;/C&gt;&lt;D xsi:type="xsd:double"&gt;1.3984617320947&lt;/D&gt;&lt;/FQL&gt;&lt;FQL&gt;&lt;Q&gt;TRMB-US^FG_PRICE(0,,,USD)/P_PRICE_HIGH(-1AY,0,USD,,,"PRICE","INTRA")&lt;/Q&gt;&lt;R&gt;1&lt;/R&gt;&lt;C&gt;1&lt;/C&gt;&lt;D xsi:type="xsd:double"&gt;0.762742857142857&lt;/D&gt;&lt;/FQL&gt;&lt;FQL&gt;&lt;Q&gt;TRMB-US^PERCENT_CHANGE(FE_VALUATION(FFEV_EBITDA,MEAN,NTMA,,0,,,''),MAX(FE_VALUATION(FFEV_EBITDA,MEAN,NTMA,,-1AY,0,,'')))&lt;/Q&gt;&lt;R&gt;1&lt;/R&gt;&lt;C&gt;1&lt;/C&gt;&lt;D xsi:type="xsd:double"&gt;-29.5951650033849&lt;/D&gt;&lt;/FQL&gt;&lt;FQL&gt;&lt;Q&gt;TRMB-US^PERCENT_CHANGE(FE_VALUATION(PE,MEAN,NTMA,,0,,,''),MAX(FE_VALUATION(PE,MEAN,NTMA,,-1AY,0,,'')))&lt;/Q&gt;&lt;R&gt;1&lt;/R&gt;&lt;C&gt;1&lt;/C&gt;&lt;D xsi:type="xsd:double"&gt;-32.4135445523212&lt;/D&gt;&lt;/FQL&gt;&lt;FQL&gt;&lt;Q&gt;TRMB-US^FE_VALUATION(FFEV_EBITDA,MEAN,NTMA,,0,,,'')&lt;/Q&gt;&lt;R&gt;1&lt;/R&gt;&lt;C&gt;1&lt;/C&gt;&lt;D xsi:type="xsd:double"&gt;14.929039&lt;/D&gt;&lt;/FQL&gt;&lt;FQL&gt;&lt;Q&gt;TRMB-US^FE_VALUATION(FFEV_SALES,MEAN,NTMA,,0,,,'')&lt;/Q&gt;&lt;R&gt;1&lt;/R&gt;&lt;C&gt;1&lt;/C&gt;&lt;D xsi:type="xsd:double"&gt;4.4152822&lt;/D&gt;&lt;/FQL&gt;&lt;FQL&gt;&lt;Q&gt;TRMB-US^FE_VALUATION(P_SALESPS,MEAN,NTMA,,0,,,'')&lt;/Q&gt;&lt;R&gt;1&lt;/R&gt;&lt;C&gt;1&lt;/C&gt;&lt;D xsi:type="xsd:double"&gt;4.0627913&lt;/D&gt;&lt;/FQL&gt;&lt;FQL&gt;&lt;Q&gt;TRMB-US^FE_VALUATION(PE,MEAN,NTMA,,0,,,'')&lt;/Q&gt;&lt;R&gt;1&lt;/R&gt;&lt;C&gt;1&lt;/C&gt;&lt;D xsi:type="xsd:double"&gt;18.511307&lt;/D&gt;&lt;/FQL&gt;&lt;FQL&gt;&lt;Q&gt;TRMB-US^FE_ACTUAL(ACTUAL,SALES,ANN_ROLL,0,,,,'CURRENCY=USD')&lt;/Q&gt;&lt;R&gt;1&lt;/R&gt;&lt;C&gt;1&lt;/C&gt;&lt;D xsi:type="xsd:double"&gt;3587.3&lt;/D&gt;&lt;/FQL&gt;&lt;FQL&gt;&lt;Q&gt;TRMB-US^FE_ACTUAL(ACTUAL,SALES,ANN_ROLL,-1,,,,'CURRENCY=USD')&lt;/Q&gt;&lt;R&gt;1&lt;/R&gt;&lt;C&gt;1&lt;/C&gt;&lt;D xsi:type="xsd:double"&gt;3683.3&lt;/D&gt;&lt;/FQL&gt;&lt;FQL&gt;&lt;Q&gt;TRMB-US^FE_VALUATION(EBITDA_MARGIN,MEAN,ANN_ROLL,0,NOW,,,'')&lt;/Q&gt;&lt;R&gt;1&lt;/R&gt;&lt;C&gt;1&lt;/C&gt;&lt;D xsi:type="xsd:double"&gt;29.006842&lt;/D&gt;&lt;/FQL&gt;&lt;FQL&gt;&lt;Q&gt;TRMB-US^FE_VALUATION(ROIC,MEAN,NTMA,,0,,,'')&lt;/Q&gt;&lt;R&gt;1&lt;/R&gt;&lt;C&gt;1&lt;/C&gt;&lt;D xsi:type="xsd:double"&gt;11.315562&lt;/D&gt;&lt;/FQL&gt;&lt;FQL&gt;&lt;Q&gt;TRMB-US^FE_VALUATION(ROE,MEAN,NTMA,,0,,,'')&lt;/Q&gt;&lt;R&gt;1&lt;/R&gt;&lt;C&gt;1&lt;/C&gt;&lt;D xsi:type="xsd:double"&gt;13.422868&lt;/D&gt;&lt;/FQL&gt;&lt;FQL&gt;&lt;Q&gt;TRMB-US^FE_VALUATION(DIV_YLD,MEAN,NTMA,,NOW,,,'')&lt;/Q&gt;&lt;R&gt;0&lt;/R&gt;&lt;C&gt;0&lt;/C&gt;&lt;/FQL&gt;&lt;FQL&gt;&lt;Q&gt;TRMB-US^FE_VALUATION(MCAP_FCF,MEAN,NTMA,,NOW,,,'')&lt;/Q&gt;&lt;R&gt;1&lt;/R&gt;&lt;C&gt;1&lt;/C&gt;&lt;D xsi:type="xsd:double"&gt;5.397986&lt;/D&gt;&lt;/FQL&gt;&lt;FQL&gt;&lt;Q&gt;TRMB-US^FE_VALUATION(NETDEBT_EBITDA,MEAN,NTMA,,NOW,,,'')&lt;/Q&gt;&lt;R&gt;1&lt;/R&gt;&lt;C&gt;1&lt;/C&gt;&lt;D xsi:type="xsd:double"&gt;0.21126547&lt;/D&gt;&lt;/FQL&gt;&lt;FQL&gt;&lt;Q&gt;TRMB-US^FF_NET_MGN(LTM_R,0)&lt;/Q&gt;&lt;R&gt;1&lt;/R&gt;&lt;C&gt;1&lt;/C&gt;&lt;D xsi:type="xsd:double"&gt;11.8194742564045&lt;/D&gt;&lt;/FQL&gt;&lt;FQL&gt;&lt;Q&gt;TRMB-US^FF_EBITDA_OPER_MGN(LTM_R,0)&lt;/Q&gt;&lt;R&gt;1&lt;/R&gt;&lt;C&gt;1&lt;/C&gt;&lt;D xsi:type="xsd:double"&gt;23.1148774844591&lt;/D&gt;&lt;/FQL&gt;&lt;FQL&gt;&lt;Q&gt;TRMB-US^FF_GROSS_MGN(LTM_R,0)&lt;/Q&gt;&lt;R&gt;1&lt;/R&gt;&lt;C&gt;1&lt;/C&gt;&lt;D xsi:type="xsd:double"&gt;66.0970646447189&lt;/D&gt;&lt;/FQL&gt;&lt;FQL&gt;&lt;Q&gt;TRMB-US^POW(FE_ESTIMATE(EPS,MEAN,STMA,,NOW,,,'CURRENCY=USD')/FE_ESTIMATE(EPS,MEAN,LTMA,,NOW,,,'CURRENCY=USD'),0.5)-1&lt;/Q&gt;&lt;R&gt;1&lt;/R&gt;&lt;C&gt;1&lt;/C&gt;&lt;D xsi:type="xsd:double"&gt;0.147675258947408&lt;/D&gt;&lt;/FQL&gt;&lt;FQL&gt;&lt;Q&gt;TRMB-US^POW(FE_ESTIMATE(SALES,MEAN,STMA,,NOW,,,'CURRENCY=USD')/FE_ESTIMATE(SALES,MEAN,LTMA,,NOW,,,'CURRENCY=USD'),0.5)-1&lt;/Q&gt;&lt;R&gt;1&lt;/R&gt;&lt;C&gt;1&lt;/C&gt;&lt;D xsi:type="xsd:double"&gt;0.0829602947476884&lt;/D&gt;&lt;/FQL&gt;&lt;FQL&gt;&lt;Q&gt;TRMB-US^FE_ACTUAL(ACTUAL,EPS,ANN_ROLL,0,,,,'CURRENCY=USD')&lt;/Q&gt;&lt;R&gt;1&lt;/R&gt;&lt;C&gt;1&lt;/C&gt;&lt;D xsi:type="xsd:double"&gt;3.13&lt;/D&gt;&lt;/FQL&gt;&lt;FQL&gt;&lt;Q&gt;TRMB-US^OS_SEC_FLT_PCT(0D,,MTD,SEC)&lt;/Q&gt;&lt;R&gt;1&lt;/R&gt;&lt;C&gt;1&lt;/C&gt;&lt;D xsi:type="xsd:double"&gt;99.6408&lt;/D&gt;&lt;/FQL&gt;&lt;FQL&gt;&lt;Q&gt;TRMB-US^AVG(P_VOLUME_FRQ(-1AM,NOW,D,,6))*P_PRICE_AVG(-1AM,NOW,,USD)&lt;/Q&gt;&lt;R&gt;1&lt;/R&gt;&lt;C&gt;1&lt;/C&gt;&lt;D xsi:type="xsd:double"&gt;159.322835045942&lt;/D&gt;&lt;/FQL&gt;&lt;FQL&gt;&lt;Q&gt;TRMB-US^FCS_EV_DAILY(MV,NOW,,,USD,M)&lt;/Q&gt;&lt;R&gt;1&lt;/R&gt;&lt;C&gt;1&lt;/C&gt;&lt;D xsi:type="xsd:double"&gt;16258.03300388&lt;/D&gt;&lt;/FQL&gt;&lt;FQL&gt;&lt;Q&gt;TRMB-US^P_DCOUNTRY&lt;/Q&gt;&lt;R&gt;1&lt;/R&gt;&lt;C&gt;1&lt;/C&gt;&lt;D xsi:type="xsd:string"&gt;UNITED STATES&lt;/D&gt;&lt;/FQL&gt;&lt;FQL&gt;&lt;Q&gt;TRMB-US^FR_RBICS_NAME_CURR("IND")&lt;/Q&gt;&lt;R&gt;1&lt;/R&gt;&lt;C&gt;1&lt;/C&gt;&lt;D xsi:type="xsd:string"&gt;Industry-Specific Software&lt;/D&gt;&lt;/FQL&gt;&lt;FQL&gt;&lt;Q&gt;RMBS-US^FE_RATING(MEAN,TEXTONLY,0,NOW,,,'')&lt;/Q&gt;&lt;R&gt;1&lt;/R&gt;&lt;C&gt;1&lt;/C&gt;&lt;D xsi:type="xsd:string"&gt;Overweight&lt;/D&gt;&lt;/FQL&gt;&lt;FQL&gt;&lt;Q&gt;RMBS-US^FG_PRICE(0,,,USD)/FG_PRICE_MAVG(0,,,USD,200)&lt;/Q&gt;&lt;R&gt;1&lt;/R&gt;&lt;C&gt;1&lt;/C&gt;&lt;D xsi:type="xsd:double"&gt;1.15428168595154&lt;/D&gt;&lt;/FQL&gt;&lt;FQL&gt;&lt;Q&gt;RMBS-US^FG_PRICE(0,,,USD)/FG_PRICE_MAVG(0,,,USD,100)&lt;/Q&gt;&lt;R&gt;1&lt;/R&gt;&lt;C&gt;1&lt;/C&gt;&lt;D xsi:type="xsd:double"&gt;0.978457943530956&lt;/D&gt;&lt;/FQL&gt;&lt;FQL&gt;&lt;Q&gt;RMBS-US^FG_PRICE(0,,,USD)/FG_PRICE_MAVG(0,,,USD,50)&lt;/Q&gt;&lt;R&gt;1&lt;/R&gt;&lt;C&gt;1&lt;/C&gt;&lt;D xsi:type="xsd:double"&gt;0.965747653479121&lt;/D&gt;&lt;/FQL&gt;&lt;FQL&gt;&lt;Q&gt;RMBS-US^RTP_PRICE_TARGET(USD)/FG_PRICE(0,,,USD)&lt;/Q&gt;&lt;R&gt;1&lt;/R&gt;&lt;C&gt;1&lt;/C&gt;&lt;D xsi:type="xsd:double"&gt;1.20599573906868&lt;/D&gt;&lt;/FQL&gt;&lt;FQL&gt;&lt;Q&gt;RMBS-US^FG_PRICE(0,,,USD)/P_PRICE_HIGH(-1AY,0,USD,,,"PRICE","INTRA")&lt;/Q&gt;&lt;R&gt;1&lt;/R&gt;&lt;C&gt;1&lt;/C&gt;&lt;D xsi:type="xsd:double"&gt;0.726114180478821&lt;/D&gt;&lt;/FQL&gt;&lt;FQL&gt;&lt;Q&gt;RMBS-US^PERCENT_CHANGE(FE_VALUATION(FFEV_EBITDA,MEAN,NTMA,,0,,,''),MAX(FE_VALUATION(FFEV_EBITDA,MEAN,NTMA,,-1AY,0,,'')))&lt;/Q&gt;&lt;R&gt;1&lt;/R&gt;&lt;C&gt;1&lt;/C&gt;&lt;D xsi:type="xsd:double"&gt;-21.0731576911178&lt;/D&gt;&lt;/FQL&gt;&lt;FQL&gt;&lt;Q&gt;RMBS-US^PERCENT_CHANGE(FE_VALUATION(PE,MEAN,NTMA,,0,,,''),MAX(FE_VALUATION(PE,MEAN,NTMA,,-1AY,0,,'')))&lt;/Q&gt;&lt;R&gt;1&lt;/R&gt;&lt;C&gt;1&lt;/C&gt;&lt;D xsi:type="xsd:double"&gt;-22.3626958816631&lt;/D&gt;&lt;/FQL&gt;&lt;FQL&gt;&lt;Q&gt;RMBS-US^FE_VALUATION(FFEV_EBITDA,MEAN,NTMA,,0,,,'')&lt;/Q&gt;&lt;R&gt;1&lt;/R&gt;&lt;C&gt;1&lt;/C&gt;&lt;D xsi:type="xsd:double"&gt;24.03245&lt;/D&gt;&lt;/FQL&gt;&lt;FQL&gt;&lt;Q&gt;RMBS-US^FE_VALUATION(FFEV_SALES,MEAN,NTMA,,0,,,'')&lt;/Q&gt;&lt;R&gt;1&lt;/R&gt;&lt;C&gt;1&lt;/C&gt;&lt;D xsi:type="xsd:double"&gt;12.148227&lt;/D&gt;&lt;/FQL&gt;&lt;FQL&gt;&lt;Q&gt;RMBS-US^FE_VALUATION(P_SALESPS,MEAN,NTMA,,0,,,'')&lt;/Q&gt;&lt;R&gt;1&lt;/R&gt;&lt;C&gt;1&lt;/C&gt;&lt;D xsi:type="xsd:double"&gt;12.868228&lt;/D&gt;&lt;/FQL&gt;&lt;FQL&gt;&lt;Q&gt;RMBS-US^FE_VALUATION(PE,MEAN,NTMA,,0,,,'')&lt;/Q&gt;&lt;R&gt;1&lt;/R&gt;&lt;C&gt;1&lt;/C&gt;&lt;D xsi:type="xsd:double"&gt;32.422554&lt;/D&gt;&lt;/FQL&gt;&lt;FQL&gt;&lt;Q&gt;RMBS-US^FE_ACTUAL(ACTUAL,SALES,ANN_ROLL,0,,,,'CURRENCY=USD')&lt;/Q&gt;&lt;R&gt;1&lt;/R&gt;&lt;C&gt;1&lt;/C&gt;&lt;D xsi:type="xsd:double"&gt;705.693&lt;/D&gt;&lt;/FQL&gt;&lt;FQL&gt;&lt;Q&gt;RMBS-US^FE_ACTUAL(ACTUAL,SALES,ANN_ROLL,-1,,,,'CURRENCY=USD')&lt;/Q&gt;&lt;R&gt;1&lt;/R&gt;&lt;C&gt;1&lt;/C&gt;&lt;D xsi:type="xsd:double"&gt;584.18&lt;/D&gt;&lt;/FQL&gt;&lt;FQL&gt;&lt;Q&gt;RMBS-US^FE_VALUATION(EBITDA_MARGIN,MEAN,ANN_ROLL,0,NOW,,,'')&lt;/Q&gt;&lt;R&gt;1&lt;/R&gt;&lt;C&gt;1&lt;/C&gt;&lt;D xsi:type="xsd:double"&gt;49.55767&lt;/D&gt;&lt;/FQL&gt;&lt;FQL&gt;&lt;Q&gt;RMBS-US^FE_VALUATION(ROIC,MEAN,NTMA,,0,,,'')&lt;/Q&gt;&lt;R&gt;0&lt;/R&gt;&lt;C&gt;0&lt;/C&gt;&lt;/FQL&gt;&lt;FQL&gt;&lt;Q&gt;RMBS-US^FE_VALUATION(ROE,MEAN,NTMA,,0,,,'')&lt;/Q&gt;&lt;R&gt;1&lt;/R&gt;&lt;C&gt;1&lt;/C&gt;&lt;D xsi:type="xsd:double"&gt;18.879816&lt;/D&gt;&lt;/FQL&gt;&lt;FQL&gt;&lt;Q&gt;RMBS-US^FE_VALUATION(DIV_YLD,MEAN,NTMA,,NOW,,,'')&lt;/Q&gt;&lt;R&gt;0&lt;/R&gt;&lt;C&gt;0&lt;/C&gt;&lt;/FQL&gt;&lt;FQL&gt;&lt;Q&gt;RMBS-US^FE_VALUATION(MCAP_FCF,MEAN,NTMA,,NOW,,,'')&lt;/Q&gt;&lt;R&gt;1&lt;/R&gt;&lt;C&gt;1&lt;/C&gt;&lt;D xsi:type="xsd:double"&gt;2.9966881&lt;/D&gt;&lt;/FQL&gt;&lt;FQL&gt;&lt;Q&gt;RMBS-US^FE_VALUATION(NETDEBT_EBITDA,MEAN,NTMA,,NOW,,,'')&lt;/Q&gt;&lt;R&gt;0&lt;/R&gt;&lt;C&gt;0&lt;/C&gt;&lt;/FQL&gt;&lt;FQL&gt;&lt;Q&gt;RMBS-US^FF_NET_MGN(LTM_R,0)&lt;/Q&gt;&lt;R&gt;1&lt;/R&gt;&lt;C&gt;1&lt;/C&gt;&lt;D xsi:type="xsd:double"&gt;32.5671608043752&lt;/D&gt;&lt;/FQL&gt;&lt;FQL&gt;&lt;Q&gt;RMBS-US^FF_EBITDA_OPER_MGN(LTM_R,0)&lt;/Q&gt;&lt;R&gt;1&lt;/R&gt;&lt;C&gt;1&lt;/C&gt;&lt;D xsi:type="xsd:double"&gt;42.7070644263245&lt;/D&gt;&lt;/FQL&gt;&lt;FQL&gt;&lt;Q&gt;RMBS-US^FF_GROSS_MGN(LTM_R,0)&lt;/Q&gt;&lt;R&gt;1&lt;/R&gt;&lt;C&gt;1&lt;/C&gt;&lt;D xsi:type="xsd:double"&gt;74.6301033025734&lt;/D&gt;&lt;/FQL&gt;&lt;FQL&gt;&lt;Q&gt;RMBS-US^POW(FE_ESTIMATE(EPS,MEAN,STMA,,NOW,,,'CURRENCY=USD')/FE_ESTIMATE(EPS,MEAN,LTMA,,NOW,,,'CURRENCY=USD'),0.5)-1&lt;/Q&gt;&lt;R&gt;1&lt;/R&gt;&lt;C&gt;1&lt;/C&gt;&lt;D xsi:type="xsd:double"&gt;0.18823722378993&lt;/D&gt;&lt;/FQL&gt;&lt;FQL&gt;&lt;Q&gt;RMBS-US^POW(FE_ESTIMATE(SALES,MEAN,STMA,,NOW,,,'CURRENCY=USD')/FE_ESTIMATE(SALES,MEAN,LTMA,,NOW,,,'CURRENCY=USD'),0.5)-1&lt;/Q&gt;&lt;R&gt;1&lt;/R&gt;&lt;C&gt;1&lt;/C&gt;&lt;D xsi:type="xsd:double"&gt;0.155399584559385&lt;/D&gt;&lt;/FQL&gt;&lt;FQL&gt;&lt;Q&gt;RMBS-US^FE_ACTUAL(ACTUAL,EPS,ANN_ROLL,0,,,,'CURRENCY=USD')&lt;/Q&gt;&lt;R&gt;1&lt;/R&gt;&lt;C&gt;1&lt;/C&gt;&lt;D xsi:type="xsd:double"&gt;2.498957&lt;/D&gt;&lt;/FQL&gt;&lt;FQL&gt;&lt;Q&gt;RMBS-US^OS_SEC_FLT_PCT(0D,,MTD,SEC)&lt;/Q&gt;&lt;R&gt;1&lt;/R&gt;&lt;C&gt;1&lt;/C&gt;&lt;D xsi:type="xsd:double"&gt;99.176&lt;/D&gt;&lt;/FQL&gt;&lt;FQL&gt;&lt;Q&gt;RMBS-US^AVG(P_VOLUME_FRQ(-1AM,NOW,D,,6))*P_PRICE_AVG(-1AM,NOW,,USD)&lt;/Q&gt;&lt;R&gt;1&lt;/R&gt;&lt;C&gt;1&lt;/C&gt;&lt;D xsi:type="xsd:double"&gt;320.305827114595&lt;/D&gt;&lt;/FQL&gt;&lt;FQL&gt;&lt;Q&gt;RMBS-US^FCS_EV_DAILY(MV,NOW,,,USD,M)&lt;/Q&gt;&lt;R&gt;1&lt;/R&gt;&lt;C&gt;1&lt;/C&gt;&lt;D xsi:type="xsd:double"&gt;10916.65218377&lt;/D&gt;&lt;/FQL&gt;&lt;FQL&gt;&lt;Q&gt;RMBS-US^P_DCOUNTRY&lt;/Q&gt;&lt;R&gt;1&lt;/R&gt;&lt;C&gt;1&lt;/C&gt;&lt;D xsi:type="xsd:string"&gt;UNITED STATES&lt;/D&gt;&lt;/FQL&gt;&lt;FQL&gt;&lt;Q&gt;RMBS-US^FR_RBICS_NAME_CURR("IND")&lt;/Q&gt;&lt;R&gt;1&lt;/R&gt;&lt;C&gt;1&lt;/C&gt;&lt;D xsi:type="xsd:string"&gt;Electronic Design Automation Software&lt;/D&gt;&lt;/FQL&gt;&lt;FQL&gt;&lt;Q&gt;NCNO-US^FE_RATING(MEAN,TEXTONLY,0,NOW,,,'')&lt;/Q&gt;&lt;R&gt;1&lt;/R&gt;&lt;C&gt;1&lt;/C&gt;&lt;D xsi:type="xsd:string"&gt;Overweight&lt;/D&gt;&lt;/FQL&gt;&lt;FQL&gt;&lt;Q&gt;NCNO-US^FG_PRICE(0,,,USD)/FG_PRICE_MAVG(0,,,USD,200)&lt;/Q&gt;&lt;R&gt;1&lt;/R&gt;&lt;C&gt;1&lt;/C&gt;&lt;D xsi:type="xsd:double"&gt;0.590984621933748&lt;/D&gt;&lt;/FQL&gt;&lt;FQL&gt;&lt;Q&gt;NCNO-US^FG_PRICE(0,,,USD)/FG_PRICE_MAVG(0,,,USD,100)&lt;/Q&gt;&lt;R&gt;1&lt;/R&gt;&lt;C&gt;1&lt;/C&gt;&lt;D xsi:type="xsd:double"&gt;0.644791607634232&lt;/D&gt;&lt;/FQL&gt;&lt;FQL&gt;&lt;Q&gt;NCNO-US^FG_PRICE(0,,,USD)/FG_PRICE_MAVG(0,,,USD,50)&lt;/Q&gt;&lt;R&gt;1&lt;/R&gt;&lt;C&gt;1&lt;/C&gt;&lt;D xsi:type="xsd:double"&gt;0.68822446154053&lt;/D&gt;&lt;/FQL&gt;&lt;FQL&gt;&lt;Q&gt;NCNO-US^RTP_PRICE_TARGET(USD)/FG_PRICE(0,,,USD)&lt;/Q&gt;&lt;R&gt;1&lt;/R&gt;&lt;C&gt;1&lt;/C&gt;&lt;D xsi:type="xsd:double"&gt;2.1484375&lt;/D&gt;&lt;/FQL&gt;&lt;FQL&gt;&lt;Q&gt;NCNO-US^FG_PRICE(0,,,USD)/P_PRICE_HIGH(-1AY,0,USD,,,"PRICE","INTRA")&lt;/Q&gt;&lt;R&gt;1&lt;/R&gt;&lt;C&gt;1&lt;/C&gt;&lt;D xsi:type="xsd:double"&gt;0.452830188679245&lt;/D&gt;&lt;/FQL&gt;&lt;FQL&gt;&lt;Q&gt;NCNO-US^PERCENT_CHANGE(FE_VALUATION(FFEV_EBITDA,MEAN,NTMA,,0,,,''),MAX(FE_VALUATION(FFEV_EBITDA,MEAN,NTMA,,-1AY,0,,'')))&lt;/Q&gt;&lt;R&gt;1&lt;/R&gt;&lt;C&gt;1&lt;/C&gt;&lt;D xsi:type="xsd:double"&gt;-57.9223175906272&lt;/D&gt;&lt;/FQL&gt;&lt;FQL&gt;&lt;Q&gt;NCNO-US^PERCENT_CHANGE(FE_VALUATION(PE,MEAN,NTMA,,0,,,''),MAX(FE_VALUATION(PE,MEAN,NTMA,,-1AY,0,,'')))&lt;/Q&gt;&lt;R&gt;1&lt;/R&gt;&lt;C&gt;1&lt;/C&gt;&lt;D xsi:type="xsd:double"&gt;-61.3950592095254&lt;/D&gt;&lt;/FQL&gt;&lt;FQL&gt;&lt;Q&gt;NCNO-US^FE_VALUATION(FFEV_EBITDA,MEAN,NTMA,,0,,,'')&lt;/Q&gt;&lt;R&gt;1&lt;/R&gt;&lt;C&gt;1&lt;/C&gt;&lt;D xsi:type="xsd:double"&gt;11.949442&lt;/D&gt;&lt;/FQL&gt;&lt;FQL&gt;&lt;Q&gt;NCNO-US^FE_VALUATION(FFEV_SALES,MEAN,NTMA,,0,,,'')&lt;/Q&gt;&lt;R&gt;1&lt;/R&gt;&lt;C&gt;1&lt;/C&gt;&lt;D xsi:type="xsd:double"&gt;3.0673332&lt;/D&gt;&lt;/FQL&gt;&lt;FQL&gt;&lt;Q&gt;NCNO-US^FE_VALUATION(P_SALESPS,MEAN,NTMA,,0,,,'')&lt;/Q&gt;&lt;R&gt;1&lt;/R&gt;&lt;C&gt;1&lt;/C&gt;&lt;D xsi:type="xsd:double"&gt;2.7382946&lt;/D&gt;&lt;/FQL&gt;&lt;FQL&gt;&lt;Q&gt;NCNO-US^FE_VALUATION(PE,MEAN,NTMA,,0,,,'')&lt;/Q&gt;&lt;R&gt;1&lt;/R&gt;&lt;C&gt;1&lt;/C&gt;&lt;D xsi:type="xsd:double"&gt;14.730273&lt;/D&gt;&lt;/FQL&gt;&lt;FQL&gt;&lt;Q&gt;NCNO-US^FE_ACTUAL(ACTUAL,SALES,ANN_ROLL,0,,,,'CURRENCY=USD')&lt;/Q&gt;&lt;R&gt;1&lt;/R&gt;&lt;C&gt;1&lt;/C&gt;&lt;D xsi:type="xsd:double"&gt;540.657&lt;/D&gt;&lt;/FQL&gt;&lt;FQL&gt;&lt;Q&gt;NCNO-US^FE_ACTUAL(ACTUAL,SALES,ANN_ROLL,-1,,,,'CURRENCY=USD')&lt;/Q&gt;&lt;R&gt;1&lt;/R&gt;&lt;C&gt;1&lt;/C&gt;&lt;D xsi:type="xsd:double"&gt;476.543&lt;/D&gt;&lt;/FQL&gt;&lt;FQL&gt;&lt;Q&gt;NCNO-US^FE_VALUATION(EBITDA_MARGIN,MEAN,ANN_ROLL,0,NOW,,,'')&lt;/Q&gt;&lt;R&gt;1&lt;/R&gt;&lt;C&gt;1&lt;/C&gt;&lt;D xsi:type="xsd:double"&gt;18.911268&lt;/D&gt;&lt;/FQL&gt;&lt;FQL&gt;&lt;Q&gt;NCNO-US^FE_VALUATION(ROIC,MEAN,NTMA,,0,,,'')&lt;/Q&gt;&lt;R&gt;1&lt;/R&gt;&lt;C&gt;1&lt;/C&gt;&lt;D xsi:type="xsd:double"&gt;8.977409&lt;/D&gt;&lt;/FQL&gt;&lt;FQL&gt;&lt;Q&gt;NCNO-US^FE_VALUATION(ROE,MEAN,NTMA,,0,,,'')&lt;/Q&gt;&lt;R&gt;1&lt;/R&gt;&lt;C&gt;1&lt;/C&gt;&lt;D xsi:type="xsd:double"&gt;10.837655&lt;/D&gt;&lt;/FQL&gt;&lt;FQL&gt;&lt;Q&gt;NCNO-US^FE_VALUATION(DIV_YLD,MEAN,NTMA,,NOW,,,'')&lt;/Q&gt;&lt;R&gt;1&lt;/R&gt;&lt;C&gt;1&lt;/C&gt;&lt;D xsi:type="xsd:double"&gt;0&lt;/D&gt;&lt;/FQL&gt;&lt;FQL&gt;&lt;Q&gt;NCNO-US^FE_VALUATION(MCAP_FCF,MEAN,NTMA,,NOW,,,'')&lt;/Q&gt;&lt;R&gt;1&lt;/R&gt;&lt;C&gt;1&lt;/C&gt;&lt;D xsi:type="xsd:double"&gt;6.6765404&lt;/D&gt;&lt;/FQL&gt;&lt;FQL&gt;&lt;Q&gt;NCNO-US^FE_VALUATION(NETDEBT_EBITDA,MEAN,NTMA,,NOW,,,'')&lt;/Q&gt;&lt;R&gt;1&lt;/R&gt;&lt;C&gt;1&lt;/C&gt;&lt;D xsi:type="xsd:double"&gt;-0.067169234&lt;/D&gt;&lt;/FQL&gt;&lt;FQL&gt;&lt;Q&gt;NCNO-US^FF_NET_MGN(LTM_R,0)&lt;/Q&gt;&lt;R&gt;1&lt;/R&gt;&lt;C&gt;1&lt;/C&gt;&lt;D xsi:type="xsd:double"&gt;-3.71126286264781&lt;/D&gt;&lt;/FQL&gt;&lt;FQL&gt;&lt;Q&gt;NCNO-US^FF_EBITDA_OPER_MGN(LTM_R,0)&lt;/Q&gt;&lt;R&gt;1&lt;/R&gt;&lt;C&gt;1&lt;/C&gt;&lt;D xsi:type="xsd:double"&gt;9.23229068092108&lt;/D&gt;&lt;/FQL&gt;&lt;FQL&gt;&lt;Q&gt;NCNO-US^FF_GROSS_MGN(LTM_R,0)&lt;/Q&gt;&lt;R&gt;1&lt;/R&gt;&lt;C&gt;1&lt;/C&gt;&lt;D xsi:type="xsd:double"&gt;56.7122773813482&lt;/D&gt;&lt;/FQL&gt;&lt;FQL&gt;&lt;Q&gt;NCNO-US^POW(FE_ESTIMATE(EPS,MEAN,STMA,,NOW,,,'CURRENCY=USD')/FE_ESTIMATE(EPS,MEAN,LTMA,,NOW,,,'CURRENCY=USD'),0.5)-1&lt;/Q&gt;&lt;R&gt;1&lt;/R&gt;&lt;C&gt;1&lt;/C&gt;&lt;D xsi:type="xsd:double"&gt;0.168796902802193&lt;/D&gt;&lt;/FQL&gt;&lt;FQL&gt;&lt;Q&gt;NCNO-US^POW(FE_ESTIMATE(SALES,MEAN,STMA,,NOW,,,'CURRENCY=USD')/FE_ESTIMATE(SALES,MEAN,LTMA,,NOW,,,'CURRENCY=USD'),0.5)-1&lt;/Q&gt;&lt;R&gt;1&lt;/R&gt;&lt;C&gt;1&lt;/C&gt;&lt;D xsi:type="xsd:double"&gt;0.0841828259108333&lt;/D&gt;&lt;/FQL&gt;&lt;FQL&gt;&lt;Q&gt;NCNO-US^FE_ACTUAL(ACTUAL,EPS,ANN_ROLL,0,,,,'CURRENCY=USD')&lt;/Q&gt;&lt;R&gt;1&lt;/R&gt;&lt;C&gt;1&lt;/C&gt;&lt;D xsi:type="xsd:double"&gt;0.65&lt;/D&gt;&lt;/FQL&gt;&lt;FQL&gt;&lt;Q&gt;NCNO-US^OS_SEC_FLT_PCT(0D,,MTD,SEC)&lt;/Q&gt;&lt;R&gt;1&lt;/R&gt;&lt;C&gt;1&lt;/C&gt;&lt;D xsi:type="xsd:double"&gt;95.5767&lt;/D&gt;&lt;/FQL&gt;&lt;FQL&gt;&lt;Q&gt;NCNO-US^AVG(P_VOLUME_FRQ(-1AM,NOW,D,,6))*P_PRICE_AVG(-1AM,NOW,,USD)&lt;/Q&gt;&lt;R&gt;1&lt;/R&gt;&lt;C&gt;1&lt;/C&gt;&lt;D xsi:type="xsd:double"&gt;48.0566305629621&lt;/D&gt;&lt;/FQL&gt;&lt;FQL&gt;&lt;Q&gt;NCNO-US^FCS_EV_DAILY(MV,NOW,,,USD,M)&lt;/Q&gt;&lt;R&gt;1&lt;/R&gt;&lt;C&gt;1&lt;/C&gt;&lt;D xsi:type="xsd:double"&gt;1869.50610777&lt;/D&gt;&lt;/FQL&gt;&lt;FQL&gt;&lt;Q&gt;NCNO-US^P_DCOUNTRY&lt;/Q&gt;&lt;R&gt;1&lt;/R&gt;&lt;C&gt;1&lt;/C&gt;&lt;D xsi:type="xsd:string"&gt;UNITED STATES&lt;/D&gt;&lt;/FQL&gt;&lt;FQL&gt;&lt;Q&gt;NCNO-US^FR_RBICS_NAME_CURR("IND")&lt;/Q&gt;&lt;R&gt;1&lt;/R&gt;&lt;C&gt;1&lt;/C&gt;&lt;D xsi:type="xsd:string"&gt;Finance Industry Software&lt;/D&gt;&lt;/FQL&gt;&lt;FQL&gt;&lt;Q&gt;TTAN-US^FE_RATING(MEAN,TEXTONLY,0,NOW,,,'')&lt;/Q&gt;&lt;R&gt;1&lt;/R&gt;&lt;C&gt;1&lt;/C&gt;&lt;D xsi:type="xsd:string"&gt;Buy&lt;/D&gt;&lt;/FQL&gt;&lt;FQL&gt;&lt;Q&gt;TTAN-US^FG_PRICE(0,,,USD)/FG_PRICE_MAVG(0,,,USD,200)&lt;/Q&gt;&lt;R&gt;1&lt;/R&gt;&lt;C&gt;1&lt;/C&gt;&lt;D xsi:type="xsd:double"&gt;0.633529561920419&lt;/D&gt;&lt;/FQL&gt;&lt;FQL&gt;&lt;Q&gt;TTAN-US^FG_PRICE(0,,,USD)/FG_PRICE_MAVG(0,,,USD,100)&lt;/Q&gt;&lt;R&gt;1&lt;/R&gt;&lt;C&gt;1&lt;/C&gt;&lt;D xsi:type="xsd:double"&gt;0.699748697904618&lt;/D&gt;&lt;/FQL&gt;&lt;FQL&gt;&lt;Q&gt;TTAN-US^FG_PRICE(0,,,USD)/FG_PRICE_MAVG(0,,,USD,50)&lt;/Q&gt;&lt;R&gt;1&lt;/R&gt;&lt;C&gt;1&lt;/C&gt;&lt;D xsi:type="xsd:double"&gt;0.725087251865171&lt;/D&gt;&lt;/FQL&gt;&lt;FQL&gt;&lt;Q&gt;TTAN-US^RTP_PRICE_TARGET(USD)/FG_PRICE(0,,,USD)&lt;/Q&gt;&lt;R&gt;1&lt;/R&gt;&lt;C&gt;1&lt;/C&gt;&lt;D xsi:type="xsd:double"&gt;2.05059894212819&lt;/D&gt;&lt;/FQL&gt;&lt;FQL&gt;&lt;Q&gt;TTAN-US^FG_PRICE(0,,,USD)/P_PRICE_HIGH(-1AY,0,USD,,,"PRICE","INTRA")&lt;/Q&gt;&lt;R&gt;1&lt;/R&gt;&lt;C&gt;1&lt;/C&gt;&lt;D xsi:type="xsd:double"&gt;0.489454047057032&lt;/D&gt;&lt;/FQL&gt;&lt;FQL&gt;&lt;Q&gt;TTAN-US^PERCENT_CHANGE(FE_VALUATION(FFEV_EBITDA,MEAN,NTMA,,0,,,''),MAX(FE_VALUATION(FFEV_EBITDA,MEAN,NTMA,,-1AY,0,,'')))&lt;/Q&gt;&lt;R&gt;1&lt;/R&gt;&lt;C&gt;1&lt;/C&gt;&lt;D xsi:type="xsd:double"&gt;-58.3802603262947&lt;/D&gt;&lt;/FQL&gt;&lt;FQL&gt;&lt;Q&gt;TTAN-US^PERCENT_CHANGE(FE_VALUATION(PE,MEAN,NTMA,,0,,,''),MAX(FE_VALUATION(PE,MEAN,NTMA,,-1AY,0,,'')))&lt;/Q&gt;&lt;R&gt;1&lt;/R&gt;&lt;C&gt;1&lt;/C&gt;&lt;D xsi:type="xsd:double"&gt;-77.6344317185713&lt;/D&gt;&lt;/FQL&gt;&lt;FQL&gt;&lt;Q&gt;TTAN-US^FE_VALUATION(FFEV_EBITDA,MEAN,NTMA,,0,,,'')&lt;/Q&gt;&lt;R&gt;1&lt;/R&gt;&lt;C&gt;1&lt;/C&gt;&lt;D xsi:type="xsd:double"&gt;43.009968&lt;/D&gt;&lt;/FQL&gt;&lt;FQL&gt;&lt;Q&gt;TTAN-US^FE_VALUATION(FFEV_SALES,MEAN,NTMA,,0,,,'')&lt;/Q&gt;&lt;R&gt;1&lt;/R&gt;&lt;C&gt;1&lt;/C&gt;&lt;D xsi:type="xsd:double"&gt;5.1135283&lt;/D&gt;&lt;/FQL&gt;&lt;FQL&gt;&lt;Q&gt;TTAN-US^FE_VALUATION(P_SALESPS,MEAN,NTMA,,0,,,'')&lt;/Q&gt;&lt;R&gt;1&lt;/R&gt;&lt;C&gt;1&lt;/C&gt;&lt;D xsi:type="xsd:double"&gt;5.438127&lt;/D&gt;&lt;/FQL&gt;&lt;FQL&gt;&lt;Q&gt;TTAN-US^FE_VALUATION(PE,MEAN,NTMA,,0,,,'')&lt;/Q&gt;&lt;R&gt;1&lt;/R&gt;&lt;C&gt;1&lt;/C&gt;&lt;D xsi:type="xsd:double"&gt;57.3853&lt;/D&gt;&lt;/FQL&gt;&lt;FQL&gt;&lt;Q&gt;TTAN-US^FE_ACTUAL(ACTUAL,SALES,ANN_ROLL,0,,,,'CURRENCY=USD')&lt;/Q&gt;&lt;R&gt;1&lt;/R&gt;&lt;C&gt;1&lt;/C&gt;&lt;D xsi:type="xsd:double"&gt;771.878&lt;/D&gt;&lt;/FQL&gt;&lt;FQL&gt;&lt;Q&gt;TTAN-US^FE_ACTUAL(ACTUAL,SALES,ANN_ROLL,-1,,,,'CURRENCY=USD')&lt;/Q&gt;&lt;R&gt;0&lt;/R&gt;&lt;C&gt;0&lt;/C&gt;&lt;/FQL&gt;&lt;FQL&gt;&lt;Q&gt;TTAN-US^FE_VALUATION(EBITDA_MARGIN,MEAN,ANN_ROLL,0,NOW,,,'')&lt;/Q&gt;&lt;R&gt;1&lt;/R&gt;&lt;C&gt;1&lt;/C&gt;&lt;D xsi:type="xsd:double"&gt;9.64668&lt;/D&gt;&lt;/FQL&gt;&lt;FQL&gt;&lt;Q&gt;TTAN-US^FE_VALUATION(ROIC,MEAN,NTMA,,0,,,'')&lt;/Q&gt;&lt;R&gt;1&lt;/R&gt;&lt;C&gt;1&lt;/C&gt;&lt;D xsi:type="xsd:double"&gt;-6.933286&lt;/D&gt;&lt;/FQL&gt;&lt;FQL&gt;&lt;Q&gt;TTAN-US^FE_VALUATION(ROE,MEAN,NTMA,,0,,,'')&lt;/Q&gt;&lt;R&gt;1&lt;/R&gt;&lt;C&gt;1&lt;/C&gt;&lt;D xsi:type="xsd:double"&gt;6.757479&lt;/D&gt;&lt;/FQL&gt;&lt;FQL&gt;&lt;Q&gt;TTAN-US^FE_VALUATION(DIV_YLD,MEAN,NTMA,,NOW,,,'')&lt;/Q&gt;&lt;R&gt;1&lt;/R&gt;&lt;C&gt;1&lt;/C&gt;&lt;D xsi:type="xsd:double"&gt;0&lt;/D&gt;&lt;/FQL&gt;&lt;FQL&gt;&lt;Q&gt;TTAN-US^FE_VALUATION(MCAP_FCF,MEAN,NTMA,,NOW,,,'')&lt;/Q&gt;&lt;R&gt;1&lt;/R&gt;&lt;C&gt;1&lt;/C&gt;&lt;D xsi:type="xsd:double"&gt;1.6491945&lt;/D&gt;&lt;/FQL&gt;&lt;FQL&gt;&lt;Q&gt;TTAN-US^FE_VALUATION(NETDEBT_EBITDA,MEAN,NTMA,,NOW,,,'')&lt;/Q&gt;&lt;R&gt;1&lt;/R&gt;&lt;C&gt;1&lt;/C&gt;&lt;D xsi:type="xsd:double"&gt;-3.8851738&lt;/D&gt;&lt;/FQL&gt;&lt;FQL&gt;&lt;Q&gt;TTAN-US^FF_NET_MGN(LTM_R,0)&lt;/Q&gt;&lt;R&gt;1&lt;/R&gt;&lt;C&gt;1&lt;/C&gt;&lt;D xsi:type="xsd:double"&gt;-23.9079779843909&lt;/D&gt;&lt;/FQL&gt;&lt;FQL&gt;&lt;Q&gt;TTAN-US^FF_EBITDA_OPER_MGN(LTM_R,0)&lt;/Q&gt;&lt;R&gt;1&lt;/R&gt;&lt;C&gt;1&lt;/C&gt;&lt;D xsi:type="xsd:double"&gt;-14.8157889854288&lt;/D&gt;&lt;/FQL&gt;&lt;FQL&gt;&lt;Q&gt;TTAN-US^FF_GROSS_MGN(LTM_R,0)&lt;/Q&gt;&lt;R&gt;1&lt;/R&gt;&lt;C&gt;1&lt;/C&gt;&lt;D xsi:type="xsd:double"&gt;66.3773016144998&lt;/D&gt;&lt;/FQL&gt;&lt;FQL&gt;&lt;Q&gt;TTAN-US^POW(FE_ESTIMATE(EPS,MEAN,STMA,,NOW,,,'CURRENCY=USD')/FE_ESTIMATE(EPS,MEAN,LTMA,,NOW,,,'CURRENCY=USD'),0.5)-1&lt;/Q&gt;&lt;R&gt;1&lt;/R&gt;&lt;C&gt;1&lt;/C&gt;&lt;D xsi:type="xsd:double"&gt;0.229927843411962&lt;/D&gt;&lt;/FQL&gt;&lt;FQL&gt;&lt;Q&gt;TTAN-US^POW(FE_ESTIMATE(SALES,MEAN,STMA,,NOW,,,'CURRENCY=USD')/FE_ESTIMATE(SALES,MEAN,LTMA,,NOW,,,'CURRENCY=USD'),0.5)-1&lt;/Q&gt;&lt;R&gt;1&lt;/R&gt;&lt;C&gt;1&lt;/C&gt;&lt;D xsi:type="xsd:double"&gt;0.141084089802325&lt;/D&gt;&lt;/FQL&gt;&lt;FQL&gt;&lt;Q&gt;TTAN-US^FE_ACTUAL(ACTUAL,EPS,ANN_ROLL,0,,,,'CURRENCY=USD')&lt;/Q&gt;&lt;R&gt;1&lt;/R&gt;&lt;C&gt;1&lt;/C&gt;&lt;D xsi:type="xsd:double"&gt;0.333181&lt;/D&gt;&lt;/FQL&gt;&lt;FQL&gt;&lt;Q&gt;TTAN-US^OS_SEC_FLT_PCT(0D,,MTD,SEC)&lt;/Q&gt;&lt;R&gt;1&lt;/R&gt;&lt;C&gt;1&lt;/C&gt;&lt;D xsi:type="xsd:double"&gt;65.3607&lt;/D&gt;&lt;/FQL&gt;&lt;FQL&gt;&lt;Q&gt;TTAN-US^AVG(P_VOLUME_FRQ(-1AM,NOW,D,,6))*P_PRICE_AVG(-1AM,NOW,,USD)&lt;/Q&gt;&lt;R&gt;1&lt;/R&gt;&lt;C&gt;1&lt;/C&gt;&lt;D xsi:type="xsd:double"&gt;124.677946218004&lt;/D&gt;&lt;/FQL&gt;&lt;FQL&gt;&lt;Q&gt;TTAN-US^FCS_EV_DAILY(MV,NOW,,,USD,M)&lt;/Q&gt;&lt;R&gt;1&lt;/R&gt;&lt;C&gt;1&lt;/C&gt;&lt;D xsi:type="xsd:double"&gt;7046.25710373&lt;/D&gt;&lt;/FQL&gt;&lt;FQL&gt;&lt;Q&gt;TTAN-US^P_DCOUNTRY&lt;/Q&gt;&lt;R&gt;1&lt;/R&gt;&lt;C&gt;1&lt;/C&gt;&lt;D xsi:type="xsd:string"&gt;UNITED STATES&lt;/D&gt;&lt;/FQL&gt;&lt;FQL&gt;&lt;Q&gt;TTAN-US^FR_RBICS_NAME_CURR("IND")&lt;/Q&gt;&lt;R&gt;1&lt;/R&gt;&lt;C&gt;1&lt;/C&gt;&lt;D xsi:type="xsd:string"&gt;General Enterprise Management Software&lt;/D&gt;&lt;/FQL&gt;&lt;FQL&gt;&lt;Q&gt;MDB-US^FE_RATING(MEAN,TEXTONLY,0,NOW,,,'')&lt;/Q&gt;&lt;R&gt;1&lt;/R&gt;&lt;C&gt;1&lt;/C&gt;&lt;D xsi:type="xsd:string"&gt;Overweight&lt;/D&gt;&lt;/FQL&gt;&lt;FQL&gt;&lt;Q&gt;MDB-US^FG_PRICE(0,,,USD)/FG_PRICE_MAVG(0,,,USD,200)&lt;/Q&gt;&lt;R&gt;1&lt;/R&gt;&lt;C&gt;1&lt;/C&gt;&lt;D xsi:type="xsd:double"&gt;1.03201924665864&lt;/D&gt;&lt;/FQL&gt;&lt;FQL&gt;&lt;Q&gt;MDB-US^FG_PRICE(0,,,USD)/FG_PRICE_MAVG(0,,,USD,100)&lt;/Q&gt;&lt;R&gt;1&lt;/R&gt;&lt;C&gt;1&lt;/C&gt;&lt;D xsi:type="xsd:double"&gt;0.845861151124702&lt;/D&gt;&lt;/FQL&gt;&lt;FQL&gt;&lt;Q&gt;MDB-US^FG_PRICE(0,,,USD)/FG_PRICE_MAVG(0,,,USD,50)&lt;/Q&gt;&lt;R&gt;1&lt;/R&gt;&lt;C&gt;1&lt;/C&gt;&lt;D xsi:type="xsd:double"&gt;0.796495633304635&lt;/D&gt;&lt;/FQL&gt;&lt;FQL&gt;&lt;Q&gt;MDB-US^RTP_PRICE_TARGET(USD)/FG_PRICE(0,,,USD)&lt;/Q&gt;&lt;R&gt;1&lt;/R&gt;&lt;C&gt;1&lt;/C&gt;&lt;D xsi:type="xsd:double"&gt;1.43955345428946&lt;/D&gt;&lt;/FQL&gt;&lt;FQL&gt;&lt;Q&gt;MDB-US^FG_PRICE(0,,,USD)/P_PRICE_HIGH(-1AY,0,USD,,,"PRICE","INTRA")&lt;/Q&gt;&lt;R&gt;1&lt;/R&gt;&lt;C&gt;1&lt;/C&gt;&lt;D xsi:type="xsd:double"&gt;0.702711818672423&lt;/D&gt;&lt;/FQL&gt;&lt;FQL&gt;&lt;Q&gt;MDB-US^PERCENT_CHANGE(FE_VALUATION(FFEV_EBITDA,MEAN,NTMA,,0,,,''),MAX(FE_VALUATION(FFEV_EBITDA,MEAN,NTMA,,-1AY,0,,'')))&lt;/Q&gt;&lt;R&gt;1&lt;/R&gt;&lt;C&gt;1&lt;/C&gt;&lt;D xsi:type="xsd:double"&gt;-42.1814161677081&lt;/D&gt;&lt;/FQL&gt;&lt;FQL&gt;&lt;Q&gt;MDB-US^PERCENT_CHANGE(FE_VALUATION(PE,MEAN,NTMA,,0,,,''),MAX(FE_VALUATION(PE,MEAN,NTMA,,-1AY,0,,'')))&lt;/Q&gt;&lt;R&gt;1&lt;/R&gt;&lt;C&gt;1&lt;/C&gt;&lt;D xsi:type="xsd:double"&gt;-38.1937312609555&lt;/D&gt;&lt;/FQL&gt;&lt;FQL&gt;&lt;Q&gt;MDB-US^FE_VALUATION(FFEV_EBITDA,MEAN,NTMA,,0,,,'')&lt;/Q&gt;&lt;R&gt;1&lt;/R&gt;&lt;C&gt;1&lt;/C&gt;&lt;D xsi:type="xsd:double"&gt;39.634804&lt;/D&gt;&lt;/FQL&gt;&lt;FQL&gt;&lt;Q&gt;MDB-US^FE_VALUATION(FFEV_SALES,MEAN,NTMA,,0,,,'')&lt;/Q&gt;&lt;R&gt;1&lt;/R&gt;&lt;C&gt;1&lt;/C&gt;&lt;D xsi:type="xsd:double"&gt;7.916539&lt;/D&gt;&lt;/FQL&gt;&lt;FQL&gt;&lt;Q&gt;MDB-US^FE_VALUATION(P_SALESPS,MEAN,NTMA,,0,,,'')&lt;/Q&gt;&lt;R&gt;1&lt;/R&gt;&lt;C&gt;1&lt;/C&gt;&lt;D xsi:type="xsd:double"&gt;8.679642&lt;/D&gt;&lt;/FQL&gt;&lt;FQL&gt;&lt;Q&gt;MDB-US^FE_VALUATION(PE,MEAN,NTMA,,0,,,'')&lt;/Q&gt;&lt;R&gt;1&lt;/R&gt;&lt;C&gt;1&lt;/C&gt;&lt;D xsi:type="xsd:double"&gt;54.25434&lt;/D&gt;&lt;/FQL&gt;&lt;FQL&gt;&lt;Q&gt;MDB-US^FE_ACTUAL(ACTUAL,SALES,ANN_ROLL,0,,,,'CURRENCY=USD')&lt;/Q&gt;&lt;R&gt;1&lt;/R&gt;&lt;C&gt;1&lt;/C&gt;&lt;D xsi:type="xsd:double"&gt;2006.443&lt;/D&gt;&lt;/FQL&gt;&lt;FQL&gt;&lt;Q&gt;MDB-US^FE_ACTUAL(ACTUAL,SALES,ANN_ROLL,-1,,,,'CURRENCY=USD')&lt;/Q&gt;&lt;R&gt;1&lt;/R&gt;&lt;C&gt;1&lt;/C&gt;&lt;D xsi:type="xsd:double"&gt;1683.011&lt;/D&gt;&lt;/FQL&gt;&lt;FQL&gt;&lt;Q&gt;MDB-US^FE_VALUATION(EBITDA_MARGIN,MEAN,ANN_ROLL,0,NOW,,,'')&lt;/Q&gt;&lt;R&gt;1&lt;/R&gt;&lt;C&gt;1&lt;/C&gt;&lt;D xsi:type="xsd:double"&gt;15.481252&lt;/D&gt;&lt;/FQL&gt;&lt;FQL&gt;&lt;Q&gt;MDB-US^FE_VALUATION(ROIC,MEAN,NTMA,,0,,,'')&lt;/Q&gt;&lt;R&gt;1&lt;/R&gt;&lt;C&gt;1&lt;/C&gt;&lt;D xsi:type="xsd:double"&gt;14.170832&lt;/D&gt;&lt;/FQL&gt;&lt;FQL&gt;&lt;Q&gt;MDB-US^FE_VALUATION(ROE,MEAN,NTMA,,0,,,'')&lt;/Q&gt;&lt;R&gt;1&lt;/R&gt;&lt;C&gt;1&lt;/C&gt;&lt;D xsi:type="xsd:double"&gt;14.110321&lt;/D&gt;&lt;/FQL&gt;&lt;FQL&gt;&lt;Q&gt;MDB-US^FE_VALUATION(DIV_YLD,MEAN,NTMA,,NOW,,,'')&lt;/Q&gt;&lt;R&gt;1&lt;/R&gt;&lt;C&gt;1&lt;/C&gt;&lt;D xsi:type="xsd:double"&gt;0&lt;/D&gt;&lt;/FQL&gt;&lt;FQL&gt;&lt;Q&gt;MDB-US^FE_VALUATION(MCAP_FCF,MEAN,NTMA,,NOW,,,'')&lt;/Q&gt;&lt;R&gt;1&lt;/R&gt;&lt;C&gt;1&lt;/C&gt;&lt;D xsi:type="xsd:double"&gt;1.907061&lt;/D&gt;&lt;/FQL&gt;&lt;FQL&gt;&lt;Q&gt;MDB-US^FE_VALUATION(NETDEBT_EBITDA,MEAN,NTMA,,NOW,,,'')&lt;/Q&gt;&lt;R&gt;1&lt;/R&gt;&lt;C&gt;1&lt;/C&gt;&lt;D xsi:type="xsd:double"&gt;-4.8618402&lt;/D&gt;&lt;/FQL&gt;&lt;FQL&gt;&lt;Q&gt;MDB-US^FF_NET_MGN(LTM_R,0)&lt;/Q&gt;&lt;R&gt;1&lt;/R&gt;&lt;C&gt;1&lt;/C&gt;&lt;D xsi:type="xsd:double"&gt;-3.05788687091708&lt;/D&gt;&lt;/FQL&gt;&lt;FQL&gt;&lt;Q&gt;MDB-US^FF_EBITDA_OPER_MGN(LTM_R,0)&lt;/Q&gt;&lt;R&gt;1&lt;/R&gt;&lt;C&gt;1&lt;/C&gt;&lt;D xsi:type="xsd:double"&gt;-5.24741241617299&lt;/D&gt;&lt;/FQL&gt;&lt;FQL&gt;&lt;Q&gt;MDB-US^FF_GROSS_MGN(LTM_R,0)&lt;/Q&gt;&lt;R&gt;1&lt;/R&gt;&lt;C&gt;1&lt;/C&gt;&lt;D xsi:type="xsd:double"&gt;71.1426195329294&lt;/D&gt;&lt;/FQL&gt;&lt;FQL&gt;&lt;Q&gt;MDB-US^POW(FE_ESTIMATE(EPS,MEAN,STMA,,NOW,,,'CURRENCY=USD')/FE_ESTIMATE(EPS,MEAN,LTMA,,NOW,,,'CURRENCY=USD'),0.5)-1&lt;/Q&gt;&lt;R&gt;1&lt;/R&gt;&lt;C&gt;1&lt;/C&gt;&lt;D xsi:type="xsd:double"&gt;0.184365864080859&lt;/D&gt;&lt;/FQL&gt;&lt;FQL&gt;&lt;Q&gt;MDB-US^POW(FE_ESTIMATE(SALES,MEAN,STMA,,NOW,,,'CURRENCY=USD')/FE_ESTIMATE(SALES,MEAN,LTMA,,NOW,,,'CURRENCY=USD'),0.5)-1&lt;/Q&gt;&lt;R&gt;1&lt;/R&gt;&lt;C&gt;1&lt;/C&gt;&lt;D xsi:type="xsd:double"&gt;0.181415041380462&lt;/D&gt;&lt;/FQL&gt;&lt;FQL&gt;&lt;Q&gt;MDB-US^FE_ACTUAL(ACTUAL,EPS,ANN_ROLL,0,,,,'CURRENCY=USD')&lt;/Q&gt;&lt;R&gt;1&lt;/R&gt;&lt;C&gt;1&lt;/C&gt;&lt;D xsi:type="xsd:double"&gt;3.66&lt;/D&gt;&lt;/FQL&gt;&lt;FQL&gt;&lt;Q&gt;MDB-US^OS_SEC_FLT_PCT(0D,,MTD,SEC)&lt;/Q&gt;&lt;R&gt;1&lt;/R&gt;&lt;C&gt;1&lt;/C&gt;&lt;D xsi:type="xsd:double"&gt;96.7757&lt;/D&gt;&lt;/FQL&gt;&lt;FQL&gt;&lt;Q&gt;MDB-US^AVG(P_VOLUME_FRQ(-1AM,NOW,D,,6))*P_PRICE_AVG(-1AM,NOW,,USD)&lt;/Q&gt;&lt;R&gt;1&lt;/R&gt;&lt;C&gt;1&lt;/C&gt;&lt;D xsi:type="xsd:double"&gt;561.400756646541&lt;/D&gt;&lt;/FQL&gt;&lt;FQL&gt;&lt;Q&gt;MDB-US^FCS_EV_DAILY(MV,NOW,,,USD,M)&lt;/Q&gt;&lt;R&gt;1&lt;/R&gt;&lt;C&gt;1&lt;/C&gt;&lt;D xsi:type="xsd:double"&gt;26970.06502447&lt;/D&gt;&lt;/FQL&gt;&lt;FQL&gt;&lt;Q&gt;MDB-US^P_DCOUNTRY&lt;/Q&gt;&lt;R&gt;1&lt;/R&gt;&lt;C&gt;1&lt;/C&gt;&lt;D xsi:type="xsd:string"&gt;UNITED STATES&lt;/D&gt;&lt;/FQL&gt;&lt;FQL&gt;&lt;Q&gt;MDB-US^FR_RBICS_NAME_CURR("IND")&lt;/Q&gt;&lt;R&gt;1&lt;/R&gt;&lt;C&gt;1&lt;/C&gt;&lt;D xsi:type="xsd:string"&gt;Data Storage Infrastructure Software&lt;/D&gt;&lt;/FQL&gt;&lt;FQL&gt;&lt;Q&gt;SNPS-US^FE_RATING(MEAN,TEXTONLY,0,NOW,,,'')&lt;/Q&gt;&lt;R&gt;1&lt;/R&gt;&lt;C&gt;1&lt;/C&gt;&lt;D xsi:type="xsd:string"&gt;Overweight&lt;/D&gt;&lt;/FQL&gt;&lt;FQL&gt;&lt;Q&gt;SNPS-US^FG_PRICE(0,,,USD)/FG_PRICE_MAVG(0,,,USD,200)&lt;/Q&gt;&lt;R&gt;1&lt;/R&gt;&lt;C&gt;1&lt;/C&gt;&lt;D xsi:type="xsd:double"&gt;0.887570592090866&lt;/D&gt;&lt;/FQL&gt;&lt;FQL&gt;&lt;Q&gt;SNPS-US^FG_PRICE(0,,,USD)/FG_PRICE_MAVG(0,,,USD,100)&lt;/Q&gt;&lt;R&gt;1&lt;/R&gt;&lt;C&gt;1&lt;/C&gt;&lt;D xsi:type="xsd:double"&gt;0.969237827017702&lt;/D&gt;&lt;/FQL&gt;&lt;FQL&gt;&lt;Q&gt;SNPS-US^FG_PRICE(0,,,USD)/FG_PRICE_MAVG(0,,,USD,50)&lt;/Q&gt;&lt;R&gt;1&lt;/R&gt;&lt;C&gt;1&lt;/C&gt;&lt;D xsi:type="xsd:double"&gt;0.933878986048816&lt;/D&gt;&lt;/FQL&gt;&lt;FQL&gt;&lt;Q&gt;SNPS-US^RTP_PRICE_TARGET(USD)/FG_PRICE(0,,,USD)&lt;/Q&gt;&lt;R&gt;1&lt;/R&gt;&lt;C&gt;1&lt;/C&gt;&lt;D xsi:type="xsd:double"&gt;1.26188135324015&lt;/D&gt;&lt;/FQL&gt;&lt;FQL&gt;&lt;Q&gt;SNPS-US^FG_PRICE(0,,,USD)/P_PRICE_HIGH(-1AY,0,USD,,,"PRICE","INTRA")&lt;/Q&gt;&lt;R&gt;1&lt;/R&gt;&lt;C&gt;1&lt;/C&gt;&lt;D xsi:type="xsd:double"&gt;0.676230954536388&lt;/D&gt;&lt;/FQL&gt;&lt;FQL&gt;&lt;Q&gt;SNPS-US^PERCENT_CHANGE(FE_VALUATION(FFEV_EBITDA,MEAN,NTMA,,0,,,''),MAX(FE_VALUATION(FFEV_EBITDA,MEAN,NTMA,,-1AY,0,,'')))&lt;/Q&gt;&lt;R&gt;1&lt;/R&gt;&lt;C&gt;1&lt;/C&gt;&lt;D xsi:type="xsd:double"&gt;-42.8252089623953&lt;/D&gt;&lt;/FQL&gt;&lt;FQL&gt;&lt;Q&gt;SNPS-US^PERCENT_CHANGE(FE_VALUATION(PE,MEAN,NTMA,,0,,,''),MAX(FE_VALUATION(PE,MEAN,NTMA,,-1AY,0,,'')))&lt;/Q&gt;&lt;R&gt;1&lt;/R&gt;&lt;C&gt;1&lt;/C&gt;&lt;D xsi:type="xsd:double"&gt;-26.4687757695979&lt;/D&gt;&lt;/FQL&gt;&lt;FQL&gt;&lt;Q&gt;SNPS-US^FE_VALUATION(FFEV_EBITDA,MEAN,NTMA,,0,,,'')&lt;/Q&gt;&lt;R&gt;1&lt;/R&gt;&lt;C&gt;1&lt;/C&gt;&lt;D xsi:type="xsd:double"&gt;20.436005&lt;/D&gt;&lt;/FQL&gt;&lt;FQL&gt;&lt;Q&gt;SNPS-US^FE_VALUATION(FFEV_SALES,MEAN,NTMA,,0,,,'')&lt;/Q&gt;&lt;R&gt;1&lt;/R&gt;&lt;C&gt;1&lt;/C&gt;&lt;D xsi:type="xsd:double"&gt;8.4784355&lt;/D&gt;&lt;/FQL&gt;&lt;FQL&gt;&lt;Q&gt;SNPS-US^FE_VALUATION(P_SALESPS,MEAN,NTMA,,0,,,'')&lt;/Q&gt;&lt;R&gt;1&lt;/R&gt;&lt;C&gt;1&lt;/C&gt;&lt;D xsi:type="xsd:double"&gt;8.476692&lt;/D&gt;&lt;/FQL&gt;&lt;FQL&gt;&lt;Q&gt;SNPS-US^FE_VALUATION(PE,MEAN,NTMA,,0,,,'')&lt;/Q&gt;&lt;R&gt;1&lt;/R&gt;&lt;C&gt;1&lt;/C&gt;&lt;D xsi:type="xsd:double"&gt;28.990644&lt;/D&gt;&lt;/FQL&gt;&lt;FQL&gt;&lt;Q&gt;SNPS-US^FE_ACTUAL(ACTUAL,SALES,ANN_ROLL,0,,,,'CURRENCY=USD')&lt;/Q&gt;&lt;R&gt;1&lt;/R&gt;&lt;C&gt;1&lt;/C&gt;&lt;D xsi:type="xsd:double"&gt;7054.178&lt;/D&gt;&lt;/FQL&gt;&lt;FQL&gt;&lt;Q&gt;SNPS-US^FE_ACTUAL(ACTUAL,SALES,ANN_ROLL,-1,,,,'CURRENCY=USD')&lt;/Q&gt;&lt;R&gt;1&lt;/R&gt;&lt;C&gt;1&lt;/C&gt;&lt;D xsi:type="xsd:double"&gt;6127.436&lt;/D&gt;&lt;/FQL&gt;&lt;FQL&gt;&lt;Q&gt;SNPS-US^FE_VALUATION(EBITDA_MARGIN,MEAN,ANN_ROLL,0,NOW,,,'')&lt;/Q&gt;&lt;R&gt;1&lt;/R&gt;&lt;C&gt;1&lt;/C&gt;&lt;D xsi:type="xsd:double"&gt;39.71657&lt;/D&gt;&lt;/FQL&gt;&lt;FQL&gt;&lt;Q&gt;SNPS-US^FE_VALUATION(ROIC,MEAN,NTMA,,0,,,'')&lt;/Q&gt;&lt;R&gt;1&lt;/R&gt;&lt;C&gt;1&lt;/C&gt;&lt;D xsi:type="xsd:double"&gt;6.758365&lt;/D&gt;&lt;/FQL&gt;&lt;FQL&gt;&lt;Q&gt;SNPS-US^FE_VALUATION(ROE,MEAN,NTMA,,0,,,'')&lt;/Q&gt;&lt;R&gt;1&lt;/R&gt;&lt;C&gt;1&lt;/C&gt;&lt;D xsi:type="xsd:double"&gt;8.846686&lt;/D&gt;&lt;/FQL&gt;&lt;FQL&gt;&lt;Q&gt;SNPS-US^FE_VALUATION(DIV_YLD,MEAN,NTMA,,NOW,,,'')&lt;/Q&gt;&lt;R&gt;1&lt;/R&gt;&lt;C&gt;1&lt;/C&gt;&lt;D xsi:type="xsd:double"&gt;0&lt;/D&gt;&lt;/FQL&gt;&lt;FQL&gt;&lt;Q&gt;SNPS-US^FE_VALUATION(MCAP_FCF,MEAN,NTMA,,NOW,,,'')&lt;/Q&gt;&lt;R&gt;1&lt;/R&gt;&lt;C&gt;1&lt;/C&gt;&lt;D xsi:type="xsd:double"&gt;2.6081593&lt;/D&gt;&lt;/FQL&gt;&lt;FQL&gt;&lt;Q&gt;SNPS-US^FE_VALUATION(NETDEBT_EBITDA,MEAN,NTMA,,NOW,,,'')&lt;/Q&gt;&lt;R&gt;1&lt;/R&gt;&lt;C&gt;1&lt;/C&gt;&lt;D xsi:type="xsd:double"&gt;1.6996561&lt;/D&gt;&lt;/FQL&gt;&lt;FQL&gt;&lt;Q&gt;SNPS-US^FF_NET_MGN(LTM_R,0)&lt;/Q&gt;&lt;R&gt;1&lt;/R&gt;&lt;C&gt;1&lt;/C&gt;&lt;D xsi:type="xsd:double"&gt;18.9493070721795&lt;/D&gt;&lt;/FQL&gt;&lt;FQL&gt;&lt;Q&gt;SNPS-US^FF_EBITDA_OPER_MGN(LTM_R,0)&lt;/Q&gt;&lt;R&gt;1&lt;/R&gt;&lt;C&gt;1&lt;/C&gt;&lt;D xsi:type="xsd:double"&gt;27.1131011769498&lt;/D&gt;&lt;/FQL&gt;&lt;FQL&gt;&lt;Q&gt;SNPS-US^FF_GROSS_MGN(LTM_R,0)&lt;/Q&gt;&lt;R&gt;1&lt;/R&gt;&lt;C&gt;1&lt;/C&gt;&lt;D xsi:type="xsd:double"&gt;71.2462007286035&lt;/D&gt;&lt;/FQL&gt;&lt;FQL&gt;&lt;Q&gt;SNPS-US^POW(FE_ESTIMATE(EPS,MEAN,STMA,,NOW,,,'CURRENCY=USD')/FE_ESTIMATE(EPS,MEAN,LTMA,,NOW,,,'CURRENCY=USD'),0.5)-1&lt;/Q&gt;&lt;R&gt;1&lt;/R&gt;&lt;C&gt;1&lt;/C&gt;&lt;D xsi:type="xsd:double"&gt;0.160215195556411&lt;/D&gt;&lt;/FQL&gt;&lt;FQL&gt;&lt;Q&gt;SNPS-US^POW(FE_ESTIMATE(SALES,MEAN,STMA,,NOW,,,'CURRENCY=USD')/FE_ESTIMATE(SALES,MEAN,LTMA,,NOW,,,'CURRENCY=USD'),0.5)-1&lt;/Q&gt;&lt;R&gt;1&lt;/R&gt;&lt;C&gt;1&lt;/C&gt;&lt;D xsi:type="xsd:double"&gt;0.18207804310883&lt;/D&gt;&lt;/FQL&gt;&lt;FQL&gt;&lt;Q&gt;SNPS-US^FE_ACTUAL(ACTUAL,EPS,ANN_ROLL,0,,,,'CURRENCY=USD')&lt;/Q&gt;&lt;R&gt;1&lt;/R&gt;&lt;C&gt;1&lt;/C&gt;&lt;D xsi:type="xsd:double"&gt;12.91&lt;/D&gt;&lt;/FQL&gt;&lt;FQL&gt;&lt;Q&gt;SNPS-US^OS_SEC_FLT_PCT(0D,,MTD,SEC)&lt;/Q&gt;&lt;R&gt;1&lt;/R&gt;&lt;C&gt;1&lt;/C&gt;&lt;D xsi:type="xsd:double"&gt;95.8982&lt;/D&gt;&lt;/FQL&gt;&lt;FQL&gt;&lt;Q&gt;SNPS-US^AVG(P_VOLUME_FRQ(-1AM,NOW,D,,6))*P_PRICE_AVG(-1AM,NOW,,USD)&lt;/Q&gt;&lt;R&gt;1&lt;/R&gt;&lt;C&gt;1&lt;/C&gt;&lt;D xsi:type="xsd:double"&gt;1014.51159692494&lt;/D&gt;&lt;/FQL&gt;&lt;FQL&gt;&lt;Q&gt;SNPS-US^FCS_EV_DAILY(MV,NOW,,,USD,M)&lt;/Q&gt;&lt;R&gt;1&lt;/R&gt;&lt;C&gt;1&lt;/C&gt;&lt;D xsi:type="xsd:double"&gt;86319.28426832&lt;/D&gt;&lt;/FQL&gt;&lt;FQL&gt;&lt;Q&gt;SNPS-US^P_DCOUNTRY&lt;/Q&gt;&lt;R&gt;1&lt;/R&gt;&lt;C&gt;1&lt;/C&gt;&lt;D xsi:type="xsd:string"&gt;UNITED STATES&lt;/D&gt;&lt;/FQL&gt;&lt;FQL&gt;&lt;Q&gt;SNPS-US^FR_RBICS_NAME_CURR("IND")&lt;/Q&gt;&lt;R&gt;1&lt;/R&gt;&lt;C&gt;1&lt;/C&gt;&lt;D xsi:type="xsd:string"&gt;Electronic Design Automation Software&lt;/D&gt;&lt;/FQL&gt;&lt;FQL&gt;&lt;Q&gt;SNOW-US^FE_RATING(MEAN,TEXTONLY,0,NOW,,,'')&lt;/Q&gt;&lt;R&gt;1&lt;/R&gt;&lt;C&gt;1&lt;/C&gt;&lt;D xsi:type="xsd:string"&gt;Buy&lt;/D&gt;&lt;/FQL&gt;&lt;FQL&gt;&lt;Q&gt;SNOW-US^FG_PRICE(0,,,USD)/FG_PRICE_MAVG(0,,,USD,200)&lt;/Q&gt;&lt;R&gt;1&lt;/R&gt;&lt;C&gt;1&lt;/C&gt;&lt;D xsi:type="xsd:double"&gt;0.7371801326613&lt;/D&gt;&lt;/FQL&gt;&lt;FQL&gt;&lt;Q&gt;SNOW-US^FG_PRICE(0,,,USD)/FG_PRICE_MAVG(0,,,USD,100)&lt;/Q&gt;&lt;R&gt;1&lt;/R&gt;&lt;C&gt;1&lt;/C&gt;&lt;D xsi:type="xsd:double"&gt;0.71065277600671&lt;/D&gt;&lt;/FQL&gt;&lt;FQL&gt;&lt;Q&gt;SNOW-US^FG_PRICE(0,,,USD)/FG_PRICE_MAVG(0,,,USD,50)&lt;/Q&gt;&lt;R&gt;1&lt;/R&gt;&lt;C&gt;1&lt;/C&gt;&lt;D xsi:type="xsd:double"&gt;0.794303660129172&lt;/D&gt;&lt;/FQL&gt;&lt;FQL&gt;&lt;Q&gt;SNOW-US^RTP_PRICE_TARGET(USD)/FG_PRICE(0,,,USD)&lt;/Q&gt;&lt;R&gt;1&lt;/R&gt;&lt;C&gt;1&lt;/C&gt;&lt;D xsi:type="xsd:double"&gt;1.684719359245&lt;/D&gt;&lt;/FQL&gt;&lt;FQL&gt;&lt;Q&gt;SNOW-US^FG_PRICE(0,,,USD)/P_PRICE_HIGH(-1AY,0,USD,,,"PRICE","INTRA")&lt;/Q&gt;&lt;R&gt;1&lt;/R&gt;&lt;C&gt;1&lt;/C&gt;&lt;D xsi:type="xsd:double"&gt;0.573841165781879&lt;/D&gt;&lt;/FQL&gt;&lt;FQL&gt;&lt;Q&gt;SNOW-US^PERCENT_CHANGE(FE_VALUATION(FFEV_EBITDA,MEAN,NTMA,,0,,,''),MAX(FE_VALUATION(FFEV_EBITDA,MEAN,NTMA,,-1AY,0,,'')))&lt;/Q&gt;&lt;R&gt;1&lt;/R&gt;&lt;C&gt;1&lt;/C&gt;&lt;D xsi:type="xsd:double"&gt;-49.313100776689&lt;/D&gt;&lt;/FQL&gt;&lt;FQL&gt;&lt;Q&gt;SNOW-US^PERCENT_CHANGE(FE_VALUATION(PE,MEAN,NTMA,,0,,,''),MAX(FE_VALUATION(PE,MEAN,NTMA,,-1AY,0,,'')))&lt;/Q&gt;&lt;R&gt;1&lt;/R&gt;&lt;C&gt;1&lt;/C&gt;&lt;D xsi:type="xsd:double"&gt;-46.8780237437816&lt;/D&gt;&lt;/FQL&gt;&lt;FQL&gt;&lt;Q&gt;SNOW-US^FE_VALUATION(FFEV_EBITDA,MEAN,NTMA,,0,,,'')&lt;/Q&gt;&lt;R&gt;1&lt;/R&gt;&lt;C&gt;1&lt;/C&gt;&lt;D xsi:type="xsd:double"&gt;64.90978&lt;/D&gt;&lt;/FQL&gt;&lt;FQL&gt;&lt;Q&gt;SNOW-US^FE_VALUATION(FFEV_SALES,MEAN,NTMA,,0,,,'')&lt;/Q&gt;&lt;R&gt;1&lt;/R&gt;&lt;C&gt;1&lt;/C&gt;&lt;D xsi:type="xsd:double"&gt;9.191649&lt;/D&gt;&lt;/FQL&gt;&lt;FQL&gt;&lt;Q&gt;SNOW-US^FE_VALUATION(P_SALESPS,MEAN,NTMA,,0,,,'')&lt;/Q&gt;&lt;R&gt;1&lt;/R&gt;&lt;C&gt;1&lt;/C&gt;&lt;D xsi:type="xsd:double"&gt;9.375107&lt;/D&gt;&lt;/FQL&gt;&lt;FQL&gt;&lt;Q&gt;SNOW-US^FE_VALUATION(PE,MEAN,NTMA,,0,,,'')&lt;/Q&gt;&lt;R&gt;1&lt;/R&gt;&lt;C&gt;1&lt;/C&gt;&lt;D xsi:type="xsd:double"&gt;95.50007&lt;/D&gt;&lt;/FQL&gt;&lt;FQL&gt;&lt;Q&gt;SNOW-US^FE_ACTUAL(ACTUAL,SALES,ANN_ROLL,0,,,,'CURRENCY=USD')&lt;/Q&gt;&lt;R&gt;1&lt;/R&gt;&lt;C&gt;1&lt;/C&gt;&lt;D xsi:type="xsd:double"&gt;3626.396&lt;/D&gt;&lt;/FQL&gt;&lt;FQL&gt;&lt;Q&gt;SNOW-US^FE_ACTUAL(ACTUAL,SALES,ANN_ROLL,-1,,,,'CURRENCY=USD')&lt;/Q&gt;&lt;R&gt;1&lt;/R&gt;&lt;C&gt;1&lt;/C&gt;&lt;D xsi:type="xsd:double"&gt;2806.489&lt;/D&gt;&lt;/FQL&gt;&lt;FQL&gt;&lt;Q&gt;SNOW-US^FE_VALUATION(EBITDA_MARGIN,MEAN,ANN_ROLL,0,NOW,,,'')&lt;/Q&gt;&lt;R&gt;1&lt;/R&gt;&lt;C&gt;1&lt;/C&gt;&lt;D xsi:type="xsd:double"&gt;11.429494&lt;/D&gt;&lt;/FQL&gt;&lt;FQL&gt;&lt;Q&gt;SNOW-US^FE_VALUATION(ROIC,MEAN,NTMA,,0,,,'')&lt;/Q&gt;&lt;R&gt;1&lt;/R&gt;&lt;C&gt;1&lt;/C&gt;&lt;D xsi:type="xsd:double"&gt;12.448356&lt;/D&gt;&lt;/FQL&gt;&lt;FQL&gt;&lt;Q&gt;SNOW-US^FE_VALUATION(ROE,MEAN,NTMA,,0,,,'')&lt;/Q&gt;&lt;R&gt;1&lt;/R&gt;&lt;C&gt;1&lt;/C&gt;&lt;D xsi:type="xsd:double"&gt;22.355415&lt;/D&gt;&lt;/FQL&gt;&lt;FQL&gt;&lt;Q&gt;SNOW-US^FE_VALUATION(DIV_YLD,MEAN,NTMA,,NOW,,,'')&lt;/Q&gt;&lt;R&gt;1&lt;/R&gt;&lt;C&gt;1&lt;/C&gt;&lt;D xsi:type="xsd:double"&gt;0&lt;/D&gt;&lt;/FQL&gt;&lt;FQL&gt;&lt;Q&gt;SNOW-US^FE_VALUATION(MCAP_FCF,MEAN,NTMA,,NOW,,,'')&lt;/Q&gt;&lt;R&gt;1&lt;/R&gt;&lt;C&gt;1&lt;/C&gt;&lt;D xsi:type="xsd:double"&gt;2.7546084&lt;/D&gt;&lt;/FQL&gt;&lt;FQL&gt;&lt;Q&gt;SNOW-US^FE_VALUATION(NETDEBT_EBITDA,MEAN,NTMA,,NOW,,,'')&lt;/Q&gt;&lt;R&gt;1&lt;/R&gt;&lt;C&gt;1&lt;/C&gt;&lt;D xsi:type="xsd:double"&gt;-3.7776368&lt;/D&gt;&lt;/FQL&gt;&lt;FQL&gt;&lt;Q&gt;SNOW-US^FF_NET_MGN(LTM_R,0)&lt;/Q&gt;&lt;R&gt;1&lt;/R&gt;&lt;C&gt;1&lt;/C&gt;&lt;D xsi:type="xsd:double"&gt;-30.7642016065755&lt;/D&gt;&lt;/FQL&gt;&lt;FQL&gt;&lt;Q&gt;SNOW-US^FF_EBITDA_OPER_MGN(LTM_R,0)&lt;/Q&gt;&lt;R&gt;1&lt;/R&gt;&lt;C&gt;1&lt;/C&gt;&lt;D xsi:type="xsd:double"&gt;-26.9171148752987&lt;/D&gt;&lt;/FQL&gt;&lt;FQL&gt;&lt;Q&gt;SNOW-US^FF_GROSS_MGN(LTM_R,0)&lt;/Q&gt;&lt;R&gt;1&lt;/R&gt;&lt;C&gt;1&lt;/C&gt;&lt;D xsi:type="xsd:double"&gt;65.9619643095687&lt;/D&gt;&lt;/FQL&gt;&lt;FQL&gt;&lt;Q&gt;SNOW-US^POW(FE_ESTIMATE(EPS,MEAN,STMA,,NOW,,,'CURRENCY=USD')/FE_ESTIMATE(EPS,MEAN,LTMA,,NOW,,,'CURRENCY=USD'),0.5)-1&lt;/Q&gt;&lt;R&gt;1&lt;/R&gt;&lt;C&gt;1&lt;/C&gt;&lt;D xsi:type="xsd:double"&gt;0.344141659201142&lt;/D&gt;&lt;/FQL&gt;&lt;FQL&gt;&lt;Q&gt;SNOW-US^POW(FE_ESTIMATE(SALES,MEAN,STMA,,NOW,,,'CURRENCY=USD')/FE_ESTIMATE(SALES,MEAN,LTMA,,NOW,,,'CURRENCY=USD'),0.5)-1&lt;/Q&gt;&lt;R&gt;1&lt;/R&gt;&lt;C&gt;1&lt;/C&gt;&lt;D xsi:type="xsd:double"&gt;0.23617822339661&lt;/D&gt;&lt;/FQL&gt;&lt;FQL&gt;&lt;Q&gt;SNOW-US^FE_ACTUAL(ACTUAL,EPS,ANN_ROLL,0,,,,'CURRENCY=USD')&lt;/Q&gt;&lt;R&gt;1&lt;/R&gt;&lt;C&gt;1&lt;/C&gt;&lt;D xsi:type="xsd:double"&gt;0.83&lt;/D&gt;&lt;/FQL&gt;&lt;FQL&gt;&lt;Q&gt;SNOW-US^OS_SEC_FLT_PCT(0D,,MTD,SEC)&lt;/Q&gt;&lt;R&gt;1&lt;/R&gt;&lt;C&gt;1&lt;/C&gt;&lt;D xsi:type="xsd:double"&gt;96.3319&lt;/D&gt;&lt;/FQL&gt;&lt;FQL&gt;&lt;Q&gt;SNOW-US^AVG(P_VOLUME_FRQ(-1AM,NOW,D,,6))*P_PRICE_AVG(-1AM,NOW,,USD)&lt;/Q&gt;&lt;R&gt;1&lt;/R&gt;&lt;C&gt;1&lt;/C&gt;&lt;D xsi:type="xsd:double"&gt;1250.61196374494&lt;/D&gt;&lt;/FQL&gt;&lt;FQL&gt;&lt;Q&gt;SNOW-US^FCS_EV_DAILY(MV,NOW,,,USD,M)&lt;/Q&gt;&lt;R&gt;1&lt;/R&gt;&lt;C&gt;1&lt;/C&gt;&lt;D xsi:type="xsd:double"&gt;63320.45357444&lt;/D&gt;&lt;/FQL&gt;&lt;FQL&gt;&lt;Q&gt;SNOW-US^P_DCOUNTRY&lt;/Q&gt;&lt;R&gt;1&lt;/R&gt;&lt;C&gt;1&lt;/C&gt;&lt;D xsi:type="xsd:string"&gt;UNITED STATES&lt;/D&gt;&lt;/FQL&gt;&lt;FQL&gt;&lt;Q&gt;SNOW-US^FR_RBICS_NAME_CURR("IND")&lt;/Q&gt;&lt;R&gt;1&lt;/R&gt;&lt;C&gt;1&lt;/C&gt;&lt;D xsi:type="xsd:string"&gt;Business Intelligence Software&lt;/D&gt;&lt;/FQL&gt;&lt;FQL&gt;&lt;Q&gt;GWRE-US^FE_RATING(MEAN,TEXTONLY,0,NOW,,,'')&lt;/Q&gt;&lt;R&gt;1&lt;/R&gt;&lt;C&gt;1&lt;/C&gt;&lt;D xsi:type="xsd:string"&gt;Buy&lt;/D&gt;&lt;/FQL&gt;&lt;FQL&gt;&lt;Q&gt;GWRE-US^FG_PRICE(0,,,USD)/FG_PRICE_MAVG(0,,,USD,200)&lt;/Q&gt;&lt;R&gt;1&lt;/R&gt;&lt;C&gt;1&lt;/C&gt;&lt;D xsi:type="xsd:double"&gt;0.604207669391747&lt;/D&gt;&lt;/FQL&gt;&lt;FQL&gt;&lt;Q&gt;GWRE-US^FG_PRICE(0,,,USD)/FG_PRICE_MAVG(0,,,USD,100)&lt;/Q&gt;&lt;R&gt;1&lt;/R&gt;&lt;C&gt;1&lt;/C&gt;&lt;D xsi:type="xsd:double"&gt;0.654211762639679&lt;/D&gt;&lt;/FQL&gt;&lt;FQL&gt;&lt;Q&gt;GWRE-US^FG_PRICE(0,,,USD)/FG_PRICE_MAVG(0,,,USD,50)&lt;/Q&gt;&lt;R&gt;1&lt;/R&gt;&lt;C&gt;1&lt;/C&gt;&lt;D xsi:type="xsd:double"&gt;0.77647053120425&lt;/D&gt;&lt;/FQL&gt;&lt;FQL&gt;&lt;Q&gt;GWRE-US^RTP_PRICE_TARGET(USD)/FG_PRICE(0,,,USD)&lt;/Q&gt;&lt;R&gt;1&lt;/R&gt;&lt;C&gt;1&lt;/C&gt;&lt;D xsi:type="xsd:double"&gt;2.0322823474325&lt;/D&gt;&lt;/FQL&gt;&lt;FQL&gt;&lt;Q&gt;GWRE-US^FG_PRICE(0,,,USD)/P_PRICE_HIGH(-1AY,0,USD,,,"PRICE","INTRA")&lt;/Q&gt;&lt;R&gt;1&lt;/R&gt;&lt;C&gt;1&lt;/C&gt;&lt;D xsi:type="xsd:double"&gt;0.47006603081438&lt;/D&gt;&lt;/FQL&gt;&lt;FQL&gt;&lt;Q&gt;GWRE-US^PERCENT_CHANGE(FE_VALUATION(FFEV_EBITDA,MEAN,NTMA,,0,,,''),MAX(FE_VALUATION(FFEV_EBITDA,MEAN,NTMA,,-1AY,0,,'')))&lt;/Q&gt;&lt;R&gt;1&lt;/R&gt;&lt;C&gt;1&lt;/C&gt;&lt;D xsi:type="xsd:double"&gt;-61.7498844484702&lt;/D&gt;&lt;/FQL&gt;&lt;FQL&gt;&lt;Q&gt;GWRE-US^PERCENT_CHANGE(FE_VALUATION(PE,MEAN,NTMA,,0,,,''),MAX(FE_VALUATION(PE,MEAN,NTMA,,-1AY,0,,'')))&lt;/Q&gt;&lt;R&gt;1&lt;/R&gt;&lt;C&gt;1&lt;/C&gt;&lt;D xsi:type="xsd:double"&gt;-60.609133468209&lt;/D&gt;&lt;/FQL&gt;&lt;FQL&gt;&lt;Q&gt;GWRE-US^FE_VALUATION(FFEV_EBITDA,MEAN,NTMA,,0,,,'')&lt;/Q&gt;&lt;R&gt;1&lt;/R&gt;&lt;C&gt;1&lt;/C&gt;&lt;D xsi:type="xsd:double"&gt;29.59338&lt;/D&gt;&lt;/FQL&gt;&lt;FQL&gt;&lt;Q&gt;GWRE-US^FE_VALUATION(FFEV_SALES,MEAN,NTMA,,0,,,'')&lt;/Q&gt;&lt;R&gt;1&lt;/R&gt;&lt;C&gt;1&lt;/C&gt;&lt;D xsi:type="xsd:double"&gt;6.998014&lt;/D&gt;&lt;/FQL&gt;&lt;FQL&gt;&lt;Q&gt;GWRE-US^FE_VALUATION(P_SALESPS,MEAN,NTMA,,0,,,'')&lt;/Q&gt;&lt;R&gt;1&lt;/R&gt;&lt;C&gt;1&lt;/C&gt;&lt;D xsi:type="xsd:double"&gt;7.0792603&lt;/D&gt;&lt;/FQL&gt;&lt;FQL&gt;&lt;Q&gt;GWRE-US^FE_VALUATION(PE,MEAN,NTMA,,0,,,'')&lt;/Q&gt;&lt;R&gt;1&lt;/R&gt;&lt;C&gt;1&lt;/C&gt;&lt;D xsi:type="xsd:double"&gt;36.896046&lt;/D&gt;&lt;/FQL&gt;&lt;FQL&gt;&lt;Q&gt;GWRE-US^FE_ACTUAL(ACTUAL,SALES,ANN_ROLL,0,,,,'CURRENCY=USD')&lt;/Q&gt;&lt;R&gt;1&lt;/R&gt;&lt;C&gt;1&lt;/C&gt;&lt;D xsi:type="xsd:double"&gt;1202.459&lt;/D&gt;&lt;/FQL&gt;&lt;FQL&gt;&lt;Q&gt;GWRE-US^FE_ACTUAL(ACTUAL,SALES,ANN_ROLL,-1,,,,'CURRENCY=USD')&lt;/Q&gt;&lt;R&gt;1&lt;/R&gt;&lt;C&gt;1&lt;/C&gt;&lt;D xsi:type="xsd:double"&gt;980.497&lt;/D&gt;&lt;/FQL&gt;&lt;FQL&gt;&lt;Q&gt;GWRE-US^FE_VALUATION(EBITDA_MARGIN,MEAN,ANN_ROLL,0,NOW,,,'')&lt;/Q&gt;&lt;R&gt;1&lt;/R&gt;&lt;C&gt;1&lt;/C&gt;&lt;D xsi:type="xsd:double"&gt;18.98755&lt;/D&gt;&lt;/FQL&gt;&lt;FQL&gt;&lt;Q&gt;GWRE-US^FE_VALUATION(ROIC,MEAN,NTMA,,0,,,'')&lt;/Q&gt;&lt;R&gt;1&lt;/R&gt;&lt;C&gt;1&lt;/C&gt;&lt;D xsi:type="xsd:double"&gt;11.406304&lt;/D&gt;&lt;/FQL&gt;&lt;FQL&gt;&lt;Q&gt;GWRE-US^FE_VALUATION(ROE,MEAN,NTMA,,0,,,'')&lt;/Q&gt;&lt;R&gt;1&lt;/R&gt;&lt;C&gt;1&lt;/C&gt;&lt;D xsi:type="xsd:double"&gt;14.891173&lt;/D&gt;&lt;/FQL&gt;&lt;FQL&gt;&lt;Q&gt;GWRE-US^FE_VALUATION(DIV_YLD,MEAN,NTMA,,NOW,,,'')&lt;/Q&gt;&lt;R&gt;1&lt;/R&gt;&lt;C&gt;1&lt;/C&gt;&lt;D xsi:type="xsd:double"&gt;0&lt;/D&gt;&lt;/FQL&gt;&lt;FQL&gt;&lt;Q&gt;GWRE-US^FE_VALUATION(MCAP_FCF,MEAN,NTMA,,NOW,,,'')&lt;/Q&gt;&lt;R&gt;1&lt;/R&gt;&lt;C&gt;1&lt;/C&gt;&lt;D xsi:type="xsd:double"&gt;3.4630377&lt;/D&gt;&lt;/FQL&gt;&lt;FQL&gt;&lt;Q&gt;GWRE-US^FE_VALUATION(NETDEBT_EBITDA,MEAN,NTMA,,NOW,,,'')&lt;/Q&gt;&lt;R&gt;1&lt;/R&gt;&lt;C&gt;1&lt;/C&gt;&lt;D xsi:type="xsd:double"&gt;-3.1473255&lt;/D&gt;&lt;/FQL&gt;&lt;FQL&gt;&lt;Q&gt;GWRE-US^FF_NET_MGN(LTM_R,0)&lt;/Q&gt;&lt;R&gt;1&lt;/R&gt;&lt;C&gt;1&lt;/C&gt;&lt;D xsi:type="xsd:double"&gt;7.22946210374651&lt;/D&gt;&lt;/FQL&gt;&lt;FQL&gt;&lt;Q&gt;GWRE-US^FF_EBITDA_OPER_MGN(LTM_R,0)&lt;/Q&gt;&lt;R&gt;1&lt;/R&gt;&lt;C&gt;1&lt;/C&gt;&lt;D xsi:type="xsd:double"&gt;8.84690028352527&lt;/D&gt;&lt;/FQL&gt;&lt;FQL&gt;&lt;Q&gt;GWRE-US^FF_GROSS_MGN(LTM_R,0)&lt;/Q&gt;&lt;R&gt;1&lt;/R&gt;&lt;C&gt;1&lt;/C&gt;&lt;D xsi:type="xsd:double"&gt;63.1335398527115&lt;/D&gt;&lt;/FQL&gt;&lt;FQL&gt;&lt;Q&gt;GWRE-US^POW(FE_ESTIMATE(EPS,MEAN,STMA,,NOW,,,'CURRENCY=USD')/FE_ESTIMATE(EPS,MEAN,LTMA,,NOW,,,'CURRENCY=USD'),0.5)-1&lt;/Q&gt;&lt;R&gt;1&lt;/R&gt;&lt;C&gt;1&lt;/C&gt;&lt;D xsi:type="xsd:double"&gt;0.246513979063211&lt;/D&gt;&lt;/FQL&gt;&lt;FQL&gt;&lt;Q&gt;GWRE-US^POW(FE_ESTIMATE(SALES,MEAN,STMA,,NOW,,,'CURRENCY=USD')/FE_ESTIMATE(SALES,MEAN,LTMA,,NOW,,,'CURRENCY=USD'),0.5)-1&lt;/Q&gt;&lt;R&gt;1&lt;/R&gt;&lt;C&gt;1&lt;/C&gt;&lt;D xsi:type="xsd:double"&gt;0.154852934360042&lt;/D&gt;&lt;/FQL&gt;&lt;FQL&gt;&lt;Q&gt;GWRE-US^FE_ACTUAL(ACTUAL,EPS,ANN_ROLL,0,,,,'CURRENCY=USD')&lt;/Q&gt;&lt;R&gt;1&lt;/R&gt;&lt;C&gt;1&lt;/C&gt;&lt;D xsi:type="xsd:double"&gt;2.65&lt;/D&gt;&lt;/FQL&gt;&lt;FQL&gt;&lt;Q&gt;GWRE-US^OS_SEC_FLT_PCT(0D,,MTD,SEC)&lt;/Q&gt;&lt;R&gt;1&lt;/R&gt;&lt;C&gt;1&lt;/C&gt;&lt;D xsi:type="xsd:double"&gt;99.3247&lt;/D&gt;&lt;/FQL&gt;&lt;FQL&gt;&lt;Q&gt;GWRE-US^AVG(P_VOLUME_FRQ(-1AM,NOW,D,,6))*P_PRICE_AVG(-1AM,NOW,,USD)&lt;/Q&gt;&lt;R&gt;1&lt;/R&gt;&lt;C&gt;1&lt;/C&gt;&lt;D xsi:type="xsd:double"&gt;219.884736257082&lt;/D&gt;&lt;/FQL&gt;&lt;FQL&gt;&lt;Q&gt;GWRE-US^FCS_EV_DAILY(MV,NOW,,,USD,M)&lt;/Q&gt;&lt;R&gt;1&lt;/R&gt;&lt;C&gt;1&lt;/C&gt;&lt;D xsi:type="xsd:double"&gt;11280.24428654&lt;/D&gt;&lt;/FQL&gt;&lt;FQL&gt;&lt;Q&gt;GWRE-US^P_DCOUNTRY&lt;/Q&gt;&lt;R&gt;1&lt;/R&gt;&lt;C&gt;1&lt;/C&gt;&lt;D xsi:type="xsd:string"&gt;UNITED STATES&lt;/D&gt;&lt;/FQL&gt;&lt;FQL&gt;&lt;Q&gt;GWRE-US^FR_RBICS_NAME_CURR("IND")&lt;/Q&gt;&lt;R&gt;1&lt;/R&gt;&lt;C&gt;1&lt;/C&gt;&lt;D xsi:type="xsd:string"&gt;Finance Industry Softw</t>
        </r>
      </text>
    </comment>
    <comment ref="A4" authorId="0" shapeId="0" xr:uid="{B95DDD70-5797-4204-95F8-D1C2417B4EA0}">
      <text>
        <r>
          <rPr>
            <b/>
            <sz val="9"/>
            <color indexed="81"/>
            <rFont val="Tahoma"/>
            <charset val="1"/>
          </rPr>
          <t>are&lt;/D&gt;&lt;/FQL&gt;&lt;FQL&gt;&lt;Q&gt;SAIL-US^FE_RATING(MEAN,TEXTONLY,0,NOW,,,'')&lt;/Q&gt;&lt;R&gt;1&lt;/R&gt;&lt;C&gt;1&lt;/C&gt;&lt;D xsi:type="xsd:string"&gt;Buy&lt;/D&gt;&lt;/FQL&gt;&lt;FQL&gt;&lt;Q&gt;SAIL-US^FG_PRICE(0,,,USD)/FG_PRICE_MAVG(0,,,USD,200)&lt;/Q&gt;&lt;R&gt;1&lt;/R&gt;&lt;C&gt;1&lt;/C&gt;&lt;D xsi:type="xsd:double"&gt;0.655884400374434&lt;/D&gt;&lt;/FQL&gt;&lt;FQL&gt;&lt;Q&gt;SAIL-US^FG_PRICE(0,,,USD)/FG_PRICE_MAVG(0,,,USD,100)&lt;/Q&gt;&lt;R&gt;1&lt;/R&gt;&lt;C&gt;1&lt;/C&gt;&lt;D xsi:type="xsd:double"&gt;0.676332237901927&lt;/D&gt;&lt;/FQL&gt;&lt;FQL&gt;&lt;Q&gt;SAIL-US^FG_PRICE(0,,,USD)/FG_PRICE_MAVG(0,,,USD,50)&lt;/Q&gt;&lt;R&gt;1&lt;/R&gt;&lt;C&gt;1&lt;/C&gt;&lt;D xsi:type="xsd:double"&gt;0.729431910422203&lt;/D&gt;&lt;/FQL&gt;&lt;FQL&gt;&lt;Q&gt;SAIL-US^RTP_PRICE_TARGET(USD)/FG_PRICE(0,,,USD)&lt;/Q&gt;&lt;R&gt;1&lt;/R&gt;&lt;C&gt;1&lt;/C&gt;&lt;D xsi:type="xsd:double"&gt;1.94429039634146&lt;/D&gt;&lt;/FQL&gt;&lt;FQL&gt;&lt;Q&gt;SAIL-US^FG_PRICE(0,,,USD)/P_PRICE_HIGH(-1AY,0,USD,,,"PRICE","INTRA")&lt;/Q&gt;&lt;R&gt;1&lt;/R&gt;&lt;C&gt;1&lt;/C&gt;&lt;D xsi:type="xsd:double"&gt;0.525851703406814&lt;/D&gt;&lt;/FQL&gt;&lt;FQL&gt;&lt;Q&gt;SAIL-US^PERCENT_CHANGE(FE_VALUATION(FFEV_EBITDA,MEAN,NTMA,,0,,,''),MAX(FE_VALUATION(FFEV_EBITDA,MEAN,NTMA,,-1AY,0,,'')))&lt;/Q&gt;&lt;R&gt;1&lt;/R&gt;&lt;C&gt;1&lt;/C&gt;&lt;D xsi:type="xsd:double"&gt;-65.5688825385896&lt;/D&gt;&lt;/FQL&gt;&lt;FQL&gt;&lt;Q&gt;SAIL-US^PERCENT_CHANGE(FE_VALUATION(PE,MEAN,NTMA,,0,,,''),MAX(FE_VALUATION(PE,MEAN,NTMA,,-1AY,0,,'')))&lt;/Q&gt;&lt;R&gt;1&lt;/R&gt;&lt;C&gt;1&lt;/C&gt;&lt;D xsi:type="xsd:double"&gt;-74.6662980712639&lt;/D&gt;&lt;/FQL&gt;&lt;FQL&gt;&lt;Q&gt;SAIL-US^FE_VALUATION(FFEV_EBITDA,MEAN,NTMA,,0,,,'')&lt;/Q&gt;&lt;R&gt;1&lt;/R&gt;&lt;C&gt;1&lt;/C&gt;&lt;D xsi:type="xsd:double"&gt;28.143627&lt;/D&gt;&lt;/FQL&gt;&lt;FQL&gt;&lt;Q&gt;SAIL-US^FE_VALUATION(FFEV_SALES,MEAN,NTMA,,0,,,'')&lt;/Q&gt;&lt;R&gt;1&lt;/R&gt;&lt;C&gt;1&lt;/C&gt;&lt;D xsi:type="xsd:double"&gt;5.440473&lt;/D&gt;&lt;/FQL&gt;&lt;FQL&gt;&lt;Q&gt;SAIL-US^FE_VALUATION(P_SALESPS,MEAN,NTMA,,0,,,'')&lt;/Q&gt;&lt;R&gt;1&lt;/R&gt;&lt;C&gt;1&lt;/C&gt;&lt;D xsi:type="xsd:double"&gt;5.7028713&lt;/D&gt;&lt;/FQL&gt;&lt;FQL&gt;&lt;Q&gt;SAIL-US^FE_VALUATION(PE,MEAN,NTMA,,0,,,'')&lt;/Q&gt;&lt;R&gt;1&lt;/R&gt;&lt;C&gt;1&lt;/C&gt;&lt;D xsi:type="xsd:double"&gt;40.20269&lt;/D&gt;&lt;/FQL&gt;&lt;FQL&gt;&lt;Q&gt;SAIL-US^FE_ACTUAL(ACTUAL,SALES,ANN_ROLL,0,,,,'CURRENCY=USD')&lt;/Q&gt;&lt;R&gt;1&lt;/R&gt;&lt;C&gt;1&lt;/C&gt;&lt;D xsi:type="xsd:double"&gt;861.611&lt;/D&gt;&lt;/FQL&gt;&lt;FQL&gt;&lt;Q&gt;SAIL-US^FE_ACTUAL(ACTUAL,SALES,ANN_ROLL,-1,,,,'CURRENCY=USD')&lt;/Q&gt;&lt;R&gt;0&lt;/R&gt;&lt;C&gt;0&lt;/C&gt;&lt;/FQL&gt;&lt;FQL&gt;&lt;Q&gt;SAIL-US^FE_VALUATION(EBITDA_MARGIN,MEAN,ANN_ROLL,0,NOW,,,'')&lt;/Q&gt;&lt;R&gt;1&lt;/R&gt;&lt;C&gt;1&lt;/C&gt;&lt;D xsi:type="xsd:double"&gt;15.135368&lt;/D&gt;&lt;/FQL&gt;&lt;FQL&gt;&lt;Q&gt;SAIL-US^FE_VALUATION(ROIC,MEAN,NTMA,,0,,,'')&lt;/Q&gt;&lt;R&gt;1&lt;/R&gt;&lt;C&gt;1&lt;/C&gt;&lt;D xsi:type="xsd:double"&gt;2.753738&lt;/D&gt;&lt;/FQL&gt;&lt;FQL&gt;&lt;Q&gt;SAIL-US^FE_VALUATION(ROE,MEAN,NTMA,,0,,,'')&lt;/Q&gt;&lt;R&gt;1&lt;/R&gt;&lt;C&gt;1&lt;/C&gt;&lt;D xsi:type="xsd:double"&gt;2.7313175&lt;/D&gt;&lt;/FQL&gt;&lt;FQL&gt;&lt;Q&gt;SAIL-US^FE_VALUATION(DIV_YLD,MEAN,NTMA,,NOW,,,'')&lt;/Q&gt;&lt;R&gt;1&lt;/R&gt;&lt;C&gt;1&lt;/C&gt;&lt;D xsi:type="xsd:double"&gt;0&lt;/D&gt;&lt;/FQL&gt;&lt;FQL&gt;&lt;Q&gt;SAIL-US^FE_VALUATION(MCAP_FCF,MEAN,NTMA,,NOW,,,'')&lt;/Q&gt;&lt;R&gt;1&lt;/R&gt;&lt;C&gt;1&lt;/C&gt;&lt;D xsi:type="xsd:double"&gt;2.9151294&lt;/D&gt;&lt;/FQL&gt;&lt;FQL&gt;&lt;Q&gt;SAIL-US^FE_VALUATION(NETDEBT_EBITDA,MEAN,NTMA,,NOW,,,'')&lt;/Q&gt;&lt;R&gt;1&lt;/R&gt;&lt;C&gt;1&lt;/C&gt;&lt;D xsi:type="xsd:double"&gt;-2.151585&lt;/D&gt;&lt;/FQL&gt;&lt;FQL&gt;&lt;Q&gt;SAIL-US^FF_NET_MGN(LTM_R,0)&lt;/Q&gt;&lt;R&gt;1&lt;/R&gt;&lt;C&gt;1&lt;/C&gt;&lt;D xsi:type="xsd:double"&gt;-61.9377710470159&lt;/D&gt;&lt;/FQL&gt;&lt;FQL&gt;&lt;Q&gt;SAIL-US^FF_EBITDA_OPER_MGN(LTM_R,0)&lt;/Q&gt;&lt;R&gt;1&lt;/R&gt;&lt;C&gt;1&lt;/C&gt;&lt;D xsi:type="xsd:double"&gt;-8.55815279922115&lt;/D&gt;&lt;/FQL&gt;&lt;FQL&gt;&lt;Q&gt;SAIL-US^FF_GROSS_MGN(LTM_R,0)&lt;/Q&gt;&lt;R&gt;1&lt;/R&gt;&lt;C&gt;1&lt;/C&gt;&lt;D xsi:type="xsd:double"&gt;54.7681656816371&lt;/D&gt;&lt;/FQL&gt;&lt;FQL&gt;&lt;Q&gt;SAIL-US^POW(FE_ESTIMATE(EPS,MEAN,STMA,,NOW,,,'CURRENCY=USD')/FE_ESTIMATE(EPS,MEAN,LTMA,,NOW,,,'CURRENCY=USD'),0.5)-1&lt;/Q&gt;&lt;R&gt;1&lt;/R&gt;&lt;C&gt;1&lt;/C&gt;&lt;D xsi:type="xsd:double"&gt;0.293533030115582&lt;/D&gt;&lt;/FQL&gt;&lt;FQL&gt;&lt;Q&gt;SAIL-US^POW(FE_ESTIMATE(SALES,MEAN,STMA,,NOW,,,'CURRENCY=USD')/FE_ESTIMATE(SALES,MEAN,LTMA,,NOW,,,'CURRENCY=USD'),0.5)-1&lt;/Q&gt;&lt;R&gt;1&lt;/R&gt;&lt;C&gt;1&lt;/C&gt;&lt;D xsi:type="xsd:double"&gt;0.185668545589365&lt;/D&gt;&lt;/FQL&gt;&lt;FQL&gt;&lt;Q&gt;SAIL-US^FE_ACTUAL(ACTUAL,EPS,ANN_ROLL,0,,,,'CURRENCY=USD')&lt;/Q&gt;&lt;R&gt;1&lt;/R&gt;&lt;C&gt;1&lt;/C&gt;&lt;D xsi:type="xsd:double"&gt;-0.118843&lt;/D&gt;&lt;/FQL&gt;&lt;FQL&gt;&lt;Q&gt;SAIL-US^OS_SEC_FLT_PCT(0D,,MTD,SEC)&lt;/Q&gt;&lt;R&gt;1&lt;/R&gt;&lt;C&gt;1&lt;/C&gt;&lt;D xsi:type="xsd:double"&gt;10.781&lt;/D&gt;&lt;/FQL&gt;&lt;FQL&gt;&lt;Q&gt;SAIL-US^AVG(P_VOLUME_FRQ(-1AM,NOW,D,,6))*P_PRICE_AVG(-1AM,NOW,,USD)&lt;/Q&gt;&lt;R&gt;1&lt;/R&gt;&lt;C&gt;1&lt;/C&gt;&lt;D xsi:type="xsd:double"&gt;46.9147263170518&lt;/D&gt;&lt;/FQL&gt;&lt;FQL&gt;&lt;Q&gt;SAIL-US^FCS_EV_DAILY(MV,NOW,,,USD,M)&lt;/Q&gt;&lt;R&gt;1&lt;/R&gt;&lt;C&gt;1&lt;/C&gt;&lt;D xsi:type="xsd:double"&gt;7610.02301504&lt;/D&gt;&lt;/FQL&gt;&lt;FQL&gt;&lt;Q&gt;SAIL-US^P_DCOUNTRY&lt;/Q&gt;&lt;R&gt;1&lt;/R&gt;&lt;C&gt;1&lt;/C&gt;&lt;D xsi:type="xsd:string"&gt;UNITED STATES&lt;/D&gt;&lt;/FQL&gt;&lt;FQL&gt;&lt;Q&gt;SAIL-US^FR_RBICS_NAME_CURR("IND")&lt;/Q&gt;&lt;R&gt;1&lt;/R&gt;&lt;C&gt;1&lt;/C&gt;&lt;D xsi:type="xsd:string"&gt;Network Infrastructure Software&lt;/D&gt;&lt;/FQL&gt;&lt;FQL&gt;&lt;Q&gt;ALRM-US^FE_RATING(MEAN,TEXTONLY,0,NOW,,,'')&lt;/Q&gt;&lt;R&gt;1&lt;/R&gt;&lt;C&gt;1&lt;/C&gt;&lt;D xsi:type="xsd:string"&gt;Overweight&lt;/D&gt;&lt;/FQL&gt;&lt;FQL&gt;&lt;Q&gt;ALRM-US^FG_PRICE(0,,,USD)/FG_PRICE_MAVG(0,,,USD,200)&lt;/Q&gt;&lt;R&gt;1&lt;/R&gt;&lt;C&gt;1&lt;/C&gt;&lt;D xsi:type="xsd:double"&gt;0.852964875517965&lt;/D&gt;&lt;/FQL&gt;&lt;FQL&gt;&lt;Q&gt;ALRM-US^FG_PRICE(0,,,USD)/FG_PRICE_MAVG(0,,,USD,100)&lt;/Q&gt;&lt;R&gt;1&lt;/R&gt;&lt;C&gt;1&lt;/C&gt;&lt;D xsi:type="xsd:double"&gt;0.907332189939129&lt;/D&gt;&lt;/FQL&gt;&lt;FQL&gt;&lt;Q&gt;ALRM-US^FG_PRICE(0,,,USD)/FG_PRICE_MAVG(0,,,USD,50)&lt;/Q&gt;&lt;R&gt;1&lt;/R&gt;&lt;C&gt;1&lt;/C&gt;&lt;D xsi:type="xsd:double"&gt;0.917599670656991&lt;/D&gt;&lt;/FQL&gt;&lt;FQL&gt;&lt;Q&gt;ALRM-US^RTP_PRICE_TARGET(USD)/FG_PRICE(0,,,USD)&lt;/Q&gt;&lt;R&gt;1&lt;/R&gt;&lt;C&gt;1&lt;/C&gt;&lt;D xsi:type="xsd:double"&gt;1.27556630745547&lt;/D&gt;&lt;/FQL&gt;&lt;FQL&gt;&lt;Q&gt;ALRM-US^FG_PRICE(0,,,USD)/P_PRICE_HIGH(-1AY,0,USD,,,"PRICE","INTRA")&lt;/Q&gt;&lt;R&gt;1&lt;/R&gt;&lt;C&gt;1&lt;/C&gt;&lt;D xsi:type="xsd:double"&gt;0.740433154209412&lt;/D&gt;&lt;/FQL&gt;&lt;FQL&gt;&lt;Q&gt;ALRM-US^PERCENT_CHANGE(FE_VALUATION(FFEV_EBITDA,MEAN,NTMA,,0,,,''),MAX(FE_VALUATION(FFEV_EBITDA,MEAN,NTMA,,-1AY,0,,'')))&lt;/Q&gt;&lt;R&gt;1&lt;/R&gt;&lt;C&gt;1&lt;/C&gt;&lt;D xsi:type="xsd:double"&gt;-27.761320919029&lt;/D&gt;&lt;/FQL&gt;&lt;FQL&gt;&lt;Q&gt;ALRM-US^PERCENT_CHANGE(FE_VALUATION(PE,MEAN,NTMA,,0,,,''),MAX(FE_VALUATION(PE,MEAN,NTMA,,-1AY,0,,'')))&lt;/Q&gt;&lt;R&gt;1&lt;/R&gt;&lt;C&gt;1&lt;/C&gt;&lt;D xsi:type="xsd:double"&gt;-38.5040338952747&lt;/D&gt;&lt;/FQL&gt;&lt;FQL&gt;&lt;Q&gt;ALRM-US^FE_VALUATION(FFEV_EBITDA,MEAN,NTMA,,0,,,'')&lt;/Q&gt;&lt;R&gt;1&lt;/R&gt;&lt;C&gt;1&lt;/C&gt;&lt;D xsi:type="xsd:double"&gt;13.019247&lt;/D&gt;&lt;/FQL&gt;&lt;FQL&gt;&lt;Q&gt;ALRM-US^FE_VALUATION(FFEV_SALES,MEAN,NTMA,,0,,,'')&lt;/Q&gt;&lt;R&gt;1&lt;/R&gt;&lt;C&gt;1&lt;/C&gt;&lt;D xsi:type="xsd:double"&gt;2.65348&lt;/D&gt;&lt;/FQL&gt;&lt;FQL&gt;&lt;Q&gt;ALRM-US^FE_VALUATION(P_SALESPS,MEAN,NTMA,,0,,,'')&lt;/Q&gt;&lt;R&gt;1&lt;/R&gt;&lt;C&gt;1&lt;/C&gt;&lt;D xsi:type="xsd:double"&gt;2.121154&lt;/D&gt;&lt;/FQL&gt;&lt;FQL&gt;&lt;Q&gt;ALRM-US^FE_VALUATION(PE,MEAN,NTMA,,0,,,'')&lt;/Q&gt;&lt;R&gt;1&lt;/R&gt;&lt;C&gt;1&lt;/C&gt;&lt;D xsi:type="xsd:double"&gt;16.186253&lt;/D&gt;&lt;/FQL&gt;&lt;FQL&gt;&lt;Q&gt;ALRM-US^FE_ACTUAL(ACTUAL,SALES,ANN_ROLL,0,,,,'CURRENCY=USD')&lt;/Q&gt;&lt;R&gt;1&lt;/R&gt;&lt;C&gt;1&lt;/C&gt;&lt;D xsi:type="xsd:double"&gt;1011.187&lt;/D&gt;&lt;/FQL&gt;&lt;FQL&gt;&lt;Q&gt;ALRM-US^FE_ACTUAL(ACTUAL,SALES,ANN_ROLL,-1,,,,'CURRENCY=USD')&lt;/Q&gt;&lt;R&gt;1&lt;/R&gt;&lt;C&gt;1&lt;/C&gt;&lt;D xsi:type="xsd:double"&gt;939.827&lt;/D&gt;&lt;/FQL&gt;&lt;FQL&gt;&lt;Q&gt;ALRM-US^FE_VALUATION(EBITDA_MARGIN,MEAN,ANN_ROLL,0,NOW,,,'')&lt;/Q&gt;&lt;R&gt;1&lt;/R&gt;&lt;C&gt;1&lt;/C&gt;&lt;D xsi:type="xsd:double"&gt;20.372591&lt;/D&gt;&lt;/FQL&gt;&lt;FQL&gt;&lt;Q&gt;ALRM-US^FE_VALUATION(ROIC,MEAN,NTMA,,0,,,'')&lt;/Q&gt;&lt;R&gt;1&lt;/R&gt;&lt;C&gt;1&lt;/C&gt;&lt;D xsi:type="xsd:double"&gt;8.412175&lt;/D&gt;&lt;/FQL&gt;&lt;FQL&gt;&lt;Q&gt;ALRM-US^FE_VALUATION(ROE,MEAN,NTMA,,0,,,'')&lt;/Q&gt;&lt;R&gt;0&lt;/R&gt;&lt;C&gt;0&lt;/C&gt;&lt;/FQL&gt;&lt;FQL&gt;&lt;Q&gt;ALRM-US^FE_VALUATION(DIV_YLD,MEAN,NTMA,,NOW,,,'')&lt;/Q&gt;&lt;R&gt;0&lt;/R&gt;&lt;C&gt;0&lt;/C&gt;&lt;/FQL&gt;&lt;FQL&gt;&lt;Q&gt;ALRM-US^FE_VALUATION(MCAP_FCF,MEAN,NTMA,,NOW,,,'')&lt;/Q&gt;&lt;R&gt;1&lt;/R&gt;&lt;C&gt;1&lt;/C&gt;&lt;D xsi:type="xsd:double"&gt;9.095256&lt;/D&gt;&lt;/FQL&gt;&lt;FQL&gt;&lt;Q&gt;ALRM-US^FE_VALUATION(NETDEBT_EBITDA,MEAN,NTMA,,NOW,,,'')&lt;/Q&gt;&lt;R&gt;1&lt;/R&gt;&lt;C&gt;1&lt;/C&gt;&lt;D xsi:type="xsd:double"&gt;-1.1307636&lt;/D&gt;&lt;/FQL&gt;&lt;FQL&gt;&lt;Q&gt;ALRM-US^FF_NET_MGN(LTM_R,0)&lt;/Q&gt;&lt;R&gt;1&lt;/R&gt;&lt;C&gt;1&lt;/C&gt;&lt;D xsi:type="xsd:double"&gt;13.1107302605749&lt;/D&gt;&lt;/FQL&gt;&lt;FQL&gt;&lt;Q&gt;ALRM-US^FF_EBITDA_OPER_MGN(LTM_R,0)&lt;/Q&gt;&lt;R&gt;1&lt;/R&gt;&lt;C&gt;1&lt;/C&gt;&lt;D xsi:type="xsd:double"&gt;17.9442575903369&lt;/D&gt;&lt;/FQL&gt;&lt;FQL&gt;&lt;Q&gt;ALRM-US^FF_GROSS_MGN(LTM_R,0)&lt;/Q&gt;&lt;R&gt;1&lt;/R&gt;&lt;C&gt;1&lt;/C&gt;&lt;D xsi:type="xsd:double"&gt;63.1013848081512&lt;/D&gt;&lt;/FQL&gt;&lt;FQL&gt;&lt;Q&gt;ALRM-US^POW(FE_ESTIMATE(EPS,MEAN,STMA,,NOW,,,'CURRENCY=USD')/FE_ESTIMATE(EPS,MEAN,LTMA,,NOW,,,'CURRENCY=USD'),0.5)-1&lt;/Q&gt;&lt;R&gt;1&lt;/R&gt;&lt;C&gt;1&lt;/C&gt;&lt;D xsi:type="xsd:double"&gt;0.0696483066877636&lt;/D&gt;&lt;/FQL&gt;&lt;FQL&gt;&lt;Q&gt;ALRM-US^POW(FE_ESTIMATE(SALES,MEAN,STMA,,NOW,,,'CURRENCY=USD')/FE_ESTIMATE(SALES,MEAN,LTMA,,NOW,,,'CURRENCY=USD'),0.5)-1&lt;/Q&gt;&lt;R&gt;1&lt;/R&gt;&lt;C&gt;1&lt;/C&gt;&lt;D xsi:type="xsd:double"&gt;0.0454864418059184&lt;/D&gt;&lt;/FQL&gt;&lt;FQL&gt;&lt;Q&gt;ALRM-US^FE_ACTUAL(ACTUAL,EPS,ANN_ROLL,0,,,,'CURRENCY=USD')&lt;/Q&gt;&lt;R&gt;1&lt;/R&gt;&lt;C&gt;1&lt;/C&gt;&lt;D xsi:type="xsd:double"&gt;2.62&lt;/D&gt;&lt;/FQL&gt;&lt;FQL&gt;&lt;Q&gt;ALRM-US^OS_SEC_FLT_PCT(0D,,MTD,SEC)&lt;/Q&gt;&lt;R&gt;1&lt;/R&gt;&lt;C&gt;1&lt;/C&gt;&lt;D xsi:type="xsd:double"&gt;94.4059&lt;/D&gt;&lt;/FQL&gt;&lt;FQL&gt;&lt;Q&gt;ALRM-US^AVG(P_VOLUME_FRQ(-1AM,NOW,D,,6))*P_PRICE_AVG(-1AM,NOW,,USD)&lt;/Q&gt;&lt;R&gt;1&lt;/R&gt;&lt;C&gt;1&lt;/C&gt;&lt;D xsi:type="xsd:double"&gt;22.9696187958062&lt;/D&gt;&lt;/FQL&gt;&lt;FQL&gt;&lt;Q&gt;ALRM-US^FCS_EV_DAILY(MV,NOW,,,USD,M)&lt;/Q&gt;&lt;R&gt;1&lt;/R&gt;&lt;C&gt;1&lt;/C&gt;&lt;D xsi:type="xsd:double"&gt;2344.40271182&lt;/D&gt;&lt;/FQL&gt;&lt;FQL&gt;&lt;Q&gt;ALRM-US^P_DCOUNTRY&lt;/Q&gt;&lt;R&gt;1&lt;/R&gt;&lt;C&gt;1&lt;/C&gt;&lt;D xsi:type="xsd:string"&gt;UNITED STATES&lt;/D&gt;&lt;/FQL&gt;&lt;FQL&gt;&lt;Q&gt;ALRM-US^FR_RBICS_NAME_CURR("IND")&lt;/Q&gt;&lt;R&gt;1&lt;/R&gt;&lt;C&gt;1&lt;/C&gt;&lt;D xsi:type="xsd:string"&gt;Other Enterprise Management Software&lt;/D&gt;&lt;/FQL&gt;&lt;FQL&gt;&lt;Q&gt;ROP-US^FE_RATING(MEAN,TEXTONLY,0,NOW,,,'')&lt;/Q&gt;&lt;R&gt;1&lt;/R&gt;&lt;C&gt;1&lt;/C&gt;&lt;D xsi:type="xsd:string"&gt;Overweight&lt;/D&gt;&lt;/FQL&gt;&lt;FQL&gt;&lt;Q&gt;ROP-US^FG_PRICE(0,,,USD)/FG_PRICE_MAVG(0,,,USD,200)&lt;/Q&gt;&lt;R&gt;1&lt;/R&gt;&lt;C&gt;1&lt;/C&gt;&lt;D xsi:type="xsd:double"&gt;0.689478742229072&lt;/D&gt;&lt;/FQL&gt;&lt;FQL&gt;&lt;Q&gt;ROP-US^FG_PRICE(0,,,USD)/FG_PRICE_MAVG(0,,,USD,100)&lt;/Q&gt;&lt;R&gt;1&lt;/R&gt;&lt;C&gt;1&lt;/C&gt;&lt;D xsi:type="xsd:double"&gt;0.779616570395833&lt;/D&gt;&lt;/FQL&gt;&lt;FQL&gt;&lt;Q&gt;ROP-US^FG_PRICE(0,,,USD)/FG_PRICE_MAVG(0,,,USD,50)&lt;/Q&gt;&lt;R&gt;1&lt;/R&gt;&lt;C&gt;1&lt;/C&gt;&lt;D xsi:type="xsd:double"&gt;0.846410886994497&lt;/D&gt;&lt;/FQL&gt;&lt;FQL&gt;&lt;Q&gt;ROP-US^RTP_PRICE_TARGET(USD)/FG_PRICE(0,,,USD)&lt;/Q&gt;&lt;R&gt;1&lt;/R&gt;&lt;C&gt;1&lt;/C&gt;&lt;D xsi:type="xsd:double"&gt;1.3754811963281&lt;/D&gt;&lt;/FQL&gt;&lt;FQL&gt;&lt;Q&gt;ROP-US^FG_PRICE(0,,,USD)/P_PRICE_HIGH(-1AY,0,USD,,,"PRICE","INTRA")&lt;/Q&gt;&lt;R&gt;1&lt;/R&gt;&lt;C&gt;1&lt;/C&gt;&lt;D xsi:type="xsd:double"&gt;0.567403961376878&lt;/D&gt;&lt;/FQL&gt;&lt;FQL&gt;&lt;Q&gt;ROP-US^PERCENT_CHANGE(FE_VALUATION(FFEV_EBITDA,MEAN,NTMA,,0,,,''),MAX(FE_VALUATION(FFEV_EBITDA,MEAN,NTMA,,-1AY,0,,'')))&lt;/Q&gt;&lt;R&gt;1&lt;/R&gt;&lt;C&gt;1&lt;/C&gt;&lt;D xsi:type="xsd:double"&gt;-41.7028993870743&lt;/D&gt;&lt;/FQL&gt;&lt;FQL&gt;&lt;Q&gt;ROP-US^PERCENT_CHANGE(FE_VALUATION(PE,MEAN,NTMA,,0,,,''),MAX(FE_VALUATION(PE,MEAN,NTMA,,-1AY,0,,'')))&lt;/Q&gt;&lt;R&gt;1&lt;/R&gt;&lt;C&gt;1&lt;/C&gt;&lt;D xsi:type="xsd:double"&gt;-47.0088034026782&lt;/D&gt;&lt;/FQL&gt;&lt;FQL&gt;&lt;Q&gt;ROP-US^FE_VALUATION(FFEV_EBITDA,MEAN,NTMA,,0,,,'')&lt;/Q&gt;&lt;R&gt;1&lt;/R&gt;&lt;C&gt;1&lt;/C&gt;&lt;D xsi:type="xsd:double"&gt;13.38523&lt;/D&gt;&lt;/FQL&gt;&lt;FQL&gt;&lt;Q&gt;ROP-US^FE_VALUATION(FFEV_SALES,MEAN,NTMA,,0,,,'')&lt;/Q&gt;&lt;R&gt;1&lt;/R&gt;&lt;C&gt;1&lt;/C&gt;&lt;D xsi:type="xsd:double"&gt;5.2956147&lt;/D&gt;&lt;/FQL&gt;&lt;FQL&gt;&lt;Q&gt;ROP-US^FE_VALUATION(P_SALESPS,MEAN,NTMA,,0,,,'')&lt;/Q&gt;&lt;R&gt;1&lt;/R&gt;&lt;C&gt;1&lt;/C&gt;&lt;D xsi:type="xsd:double"&gt;4.2266035&lt;/D&gt;&lt;/FQL&gt;&lt;FQL&gt;&lt;Q&gt;ROP-US^FE_VALUATION(PE,MEAN,NTMA,,0,,,'')&lt;/Q&gt;&lt;R&gt;1&lt;/R&gt;&lt;C&gt;1&lt;/C&gt;&lt;D xsi:type="xsd:double"&gt;15.537996&lt;/D&gt;&lt;/FQL&gt;&lt;FQL&gt;&lt;Q&gt;ROP-US^FE_ACTUAL(ACTUAL,SALES,ANN_ROLL,0,,,,'CURRENCY=USD')&lt;/Q&gt;&lt;R&gt;1&lt;/R&gt;&lt;C&gt;1&lt;/C&gt;&lt;D xsi:type="xsd:double"&gt;7902.5&lt;/D&gt;&lt;/FQL&gt;&lt;FQL&gt;&lt;Q&gt;ROP-US^FE_ACTUAL(ACTUAL,SALES,ANN_ROLL,-1,,,,'CURRENCY=USD')&lt;/Q&gt;&lt;R&gt;1&lt;/R&gt;&lt;C&gt;1&lt;/C&gt;&lt;D xsi:type="xsd:double"&gt;7039.2&lt;/D&gt;&lt;/FQL&gt;&lt;FQL&gt;&lt;Q&gt;ROP-US^FE_VALUATION(EBITDA_MARGIN,MEAN,ANN_ROLL,0,NOW,,,'')&lt;/Q&gt;&lt;R&gt;1&lt;/R&gt;&lt;C&gt;1&lt;/C&gt;&lt;D xsi:type="xsd:double"&gt;39.747253&lt;/D&gt;&lt;/FQL&gt;&lt;FQL&gt;&lt;Q&gt;ROP-US^FE_VALUATION(ROIC,MEAN,NTMA,,0,,,'')&lt;/Q&gt;&lt;R&gt;1&lt;/R&gt;&lt;C&gt;1&lt;/C&gt;&lt;D xsi:type="xsd:double"&gt;5.494664&lt;/D&gt;&lt;/FQL&gt;&lt;FQL&gt;&lt;Q&gt;ROP-US^FE_VALUATION(ROE,MEAN,NTMA,,0,,,'')&lt;/Q&gt;&lt;R&gt;1&lt;/R&gt;&lt;C&gt;1&lt;/C&gt;&lt;D xsi:type="xsd:double"&gt;10.865526&lt;/D&gt;&lt;/FQL&gt;&lt;FQL&gt;&lt;Q&gt;ROP-US^FE_VALUATION(DIV_YLD,MEAN,NTMA,,NOW,,,'')&lt;/Q&gt;&lt;R&gt;1&lt;/R&gt;&lt;C&gt;1&lt;/C&gt;&lt;D xsi:type="xsd:double"&gt;1.0064088&lt;/D&gt;&lt;/FQL&gt;&lt;FQL&gt;&lt;Q&gt;ROP-US^FE_VALUATION(MCAP_FCF,MEAN,NTMA,,NOW,,,'')&lt;/Q&gt;&lt;R&gt;1&lt;/R&gt;&lt;C&gt;1&lt;/C&gt;&lt;D xsi:type="xsd:double"&gt;7.484558&lt;/D&gt;&lt;/FQL&gt;&lt;FQL&gt;&lt;Q&gt;ROP-US^FE_VALUATION(NETDEBT_EBITDA,MEAN,NTMA,,NOW,,,'')&lt;/Q&gt;&lt;R&gt;1&lt;/R&gt;&lt;C&gt;1&lt;/C&gt;&lt;D xsi:type="xsd:double"&gt;2.0982513&lt;/D&gt;&lt;/FQL&gt;&lt;FQL&gt;&lt;Q&gt;ROP-US^FF_NET_MGN(LTM_R,0)&lt;/Q&gt;&lt;R&gt;1&lt;/R&gt;&lt;C&gt;1&lt;/C&gt;&lt;D xsi:type="xsd:double"&gt;19.4406833280607&lt;/D&gt;&lt;/FQL&gt;&lt;FQL&gt;&lt;Q&gt;ROP-US^FF_EBITDA_OPER_MGN(LTM_R,0)&lt;/Q&gt;&lt;R&gt;1&lt;/R&gt;&lt;C&gt;1&lt;/C&gt;&lt;D xsi:type="xsd:double"&gt;39.6494780132869&lt;/D&gt;&lt;/FQL&gt;&lt;FQL&gt;&lt;Q&gt;ROP-US^FF_GROSS_MGN(LTM_R,0)&lt;/Q&gt;&lt;R&gt;1&lt;/R&gt;&lt;C&gt;1&lt;/C&gt;&lt;D xsi:type="xsd:double"&gt;69.2439101550142&lt;/D&gt;&lt;/FQL&gt;&lt;FQL&gt;&lt;Q&gt;ROP-US^POW(FE_ESTIMATE(EPS,MEAN,STMA,,NOW,,,'CURRENCY=USD')/FE_ESTIMATE(EPS,MEAN,LTMA,,NOW,,,'CURRENCY=USD'),0.5)-1&lt;/Q&gt;&lt;R&gt;1&lt;/R&gt;&lt;C&gt;1&lt;/C&gt;&lt;D xsi:type="xsd:double"&gt;0.0801952601266125&lt;/D&gt;&lt;/FQL&gt;&lt;FQL&gt;&lt;Q&gt;ROP-US^POW(FE_ESTIMATE(SALES,MEAN,STMA,,NOW,,,'CURRENCY=USD')/FE_ESTIMATE(SALES,MEAN,LTMA,,NOW,,,'CURRENCY=USD'),0.5)-1&lt;/Q&gt;&lt;R&gt;1&lt;/R&gt;&lt;C&gt;1&lt;/C&gt;&lt;D xsi:type="xsd:double"&gt;0.0709613438401968&lt;/D&gt;&lt;/FQL&gt;&lt;FQL&gt;&lt;Q&gt;ROP-US^FE_ACTUAL(ACTUAL,EPS,ANN_ROLL,0,,,,'CURRENCY=USD')&lt;/Q&gt;&lt;R&gt;1&lt;/R&gt;&lt;C&gt;1&lt;/C&gt;&lt;D xsi:type="xsd:double"&gt;20&lt;/D&gt;&lt;/FQL&gt;&lt;FQL&gt;&lt;Q&gt;ROP-US^OS_SEC_FLT_PCT(0D,,MTD,SEC)&lt;/Q&gt;&lt;R&gt;1&lt;/R&gt;&lt;C&gt;1&lt;/C&gt;&lt;D xsi:type="xsd:double"&gt;99.6059&lt;/D&gt;&lt;/FQL&gt;&lt;FQL&gt;&lt;Q&gt;ROP-US^AVG(P_VOLUME_FRQ(-1AM,NOW,D,,6))*P_PRICE_AVG(-1AM,NOW,,USD)&lt;/Q&gt;&lt;R&gt;1&lt;/R&gt;&lt;C&gt;1&lt;/C&gt;&lt;D xsi:type="xsd:double"&gt;803.490112785709&lt;/D&gt;&lt;/FQL&gt;&lt;FQL&gt;&lt;Q&gt;ROP-US^FCS_EV_DAILY(MV,NOW,,,USD,M)&lt;/Q&gt;&lt;R&gt;1&lt;/R&gt;&lt;C&gt;1&lt;/C&gt;&lt;D xsi:type="xsd:double"&gt;36648.024611&lt;/D&gt;&lt;/FQL&gt;&lt;FQL&gt;&lt;Q&gt;ROP-US^P_DCOUNTRY&lt;/Q&gt;&lt;R&gt;1&lt;/R&gt;&lt;C&gt;1&lt;/C&gt;&lt;D xsi:type="xsd:string"&gt;UNITED STATES&lt;/D&gt;&lt;/FQL&gt;&lt;FQL&gt;&lt;Q&gt;ROP-US^FR_RBICS_NAME_CURR("IND")&lt;/Q&gt;&lt;R&gt;1&lt;/R&gt;&lt;C&gt;1&lt;/C&gt;&lt;D xsi:type="xsd:string"&gt;Industry-Specific Software&lt;/D&gt;&lt;/FQL&gt;&lt;FQL&gt;&lt;Q&gt;7203-SA^FE_RATING(MEAN,TEXTONLY,0,NOW,,,'')&lt;/Q&gt;&lt;R&gt;1&lt;/R&gt;&lt;C&gt;1&lt;/C&gt;&lt;D xsi:type="xsd:string"&gt;Overweight&lt;/D&gt;&lt;/FQL&gt;&lt;FQL&gt;&lt;Q&gt;7203-SA^FG_PRICE(0,,,USD)/FG_PRICE_MAVG(0,,,USD,200)&lt;/Q&gt;&lt;R&gt;1&lt;/R&gt;&lt;C&gt;1&lt;/C&gt;&lt;D xsi:type="xsd:double"&gt;0.770436949196101&lt;/D&gt;&lt;/FQL&gt;&lt;FQL&gt;&lt;Q&gt;7203-SA^FG_PRICE(0,,,USD)/FG_PRICE_MAVG(0,,,USD,100)&lt;/Q&gt;&lt;R&gt;1&lt;/R&gt;&lt;C&gt;1&lt;/C&gt;&lt;D xsi:type="xsd:double"&gt;0.834383611024555&lt;/D&gt;&lt;/FQL&gt;&lt;FQL&gt;&lt;Q&gt;7203-SA^FG_PRICE(0,,,USD)/FG_PRICE_MAVG(0,,,USD,50)&lt;/Q&gt;&lt;R&gt;1&lt;/R&gt;&lt;C&gt;1&lt;/C&gt;&lt;D xsi:type="xsd:double"&gt;0.895547763555929&lt;/D&gt;&lt;/FQL&gt;&lt;FQL&gt;&lt;Q&gt;7203-SA^RTP_PRICE_TARGET(USD)/FG_PRICE(0,,,USD)&lt;/Q&gt;&lt;R&gt;1&lt;/R&gt;&lt;C&gt;1&lt;/C&gt;&lt;D xsi:type="xsd:double"&gt;1.49120550169286&lt;/D&gt;&lt;/FQL&gt;&lt;FQL&gt;&lt;Q&gt;7203-SA^FG_PRICE(0,,,USD)/P_PRICE_HIGH(-1AY,0,USD,,,"PRICE","INTRA")&lt;/Q&gt;&lt;R&gt;1&lt;/R&gt;&lt;C&gt;1&lt;/C&gt;&lt;D xsi:type="xsd:double"&gt;0.597630506800787&lt;/D&gt;&lt;/FQL&gt;&lt;FQL&gt;&lt;Q&gt;7203-SA^PERCENT_CHANGE(FE_VALUATION(FFEV_EBITDA,MEAN,NTMA,,0,,,''),MAX(FE_VALUATION(FFEV_EBITDA,MEAN,NTMA,,-1AY,0,,'')))&lt;/Q&gt;&lt;R&gt;1&lt;/R&gt;&lt;C&gt;1&lt;/C&gt;&lt;D xsi:type="xsd:double"&gt;-46.8170382448042&lt;/D&gt;&lt;/FQL&gt;&lt;FQL&gt;&lt;Q&gt;7203-SA^PERCENT_CHANGE(FE_VALUATION(PE,MEAN,NTMA,,0,,,''),MAX(FE_VALUATION(PE,MEAN,NTMA,,-1AY,0,,'')))&lt;/Q&gt;&lt;R&gt;1&lt;/R&gt;&lt;C&gt;1&lt;/C&gt;&lt;D xsi:type="xsd:double"&gt;-46.6328673969583&lt;/D&gt;&lt;/FQL&gt;&lt;FQL&gt;&lt;Q&gt;7203-SA^FE_VALUATION(FFEV_EBITDA,MEAN,NTMA,,0,,,'')&lt;/Q&gt;&lt;R&gt;1&lt;/R&gt;&lt;C&gt;1&lt;/C&gt;&lt;D xsi:type="xsd:double"&gt;16.569223&lt;/D&gt;&lt;/FQL&gt;&lt;FQL&gt;&lt;Q&gt;7203-SA^FE_VALUATION(FFEV_SALES,MEAN,NTMA,,0,,,'')&lt;/Q&gt;&lt;R&gt;1&lt;/R&gt;&lt;C&gt;1&lt;/C&gt;&lt;D xsi:type="xsd:double"&gt;4.255439&lt;/D&gt;&lt;/FQL&gt;&lt;FQL&gt;&lt;Q&gt;7203-SA^FE_VALUATION(P_SALESPS,MEAN,NTMA,,0,,,'')&lt;/Q&gt;&lt;R&gt;1&lt;/R&gt;&lt;C&gt;1&lt;/C&gt;&lt;D xsi:type="xsd:double"&gt;4.4254756&lt;/D&gt;&lt;/FQL&gt;&lt;FQL&gt;&lt;Q&gt;7203-SA^FE_VALUATION(PE,MEAN,NTMA,,0,,,'')&lt;/Q&gt;&lt;R&gt;1&lt;/R&gt;&lt;C&gt;1&lt;/C&gt;&lt;D xsi:type="xsd:double"&gt;20.377422&lt;/D&gt;&lt;/FQL&gt;&lt;FQL&gt;&lt;Q&gt;7203-SA^FE_ACTUAL(ACTUAL,SALES,ANN_ROLL,0,,,,'CURRENCY=USD')&lt;/Q&gt;&lt;R&gt;1&lt;/R&gt;&lt;C&gt;1&lt;/C&gt;&lt;D xsi:type="xsd:double"&gt;1974.9344&lt;/D&gt;&lt;/FQL&gt;&lt;FQL&gt;&lt;Q&gt;7203-SA^FE_ACTUAL(ACTUAL,SALES,ANN_ROLL,-1,,,,'CURRENCY=USD')&lt;/Q&gt;&lt;R&gt;1&lt;/R&gt;&lt;C&gt;1&lt;/C&gt;&lt;D xsi:type="xsd:double"&gt;1572.5483&lt;/D&gt;&lt;/FQL&gt;&lt;FQL&gt;&lt;Q&gt;7203-SA^FE_VALUATION(EBITDA_MARGIN,MEAN,ANN_ROLL,0,NOW,,,'')&lt;/Q&gt;&lt;R&gt;1&lt;/R&gt;&lt;C&gt;1&lt;/C&gt;&lt;D xsi:type="xsd:double"&gt;26.215118&lt;/D&gt;&lt;/FQL&gt;&lt;FQL&gt;&lt;Q&gt;7203-SA^FE_VALUATION(ROIC,MEAN,NTMA,,0,,,'')&lt;/Q&gt;&lt;R&gt;1&lt;/R&gt;&lt;C&gt;1&lt;/C&gt;&lt;D xsi:type="xsd:double"&gt;28.911745&lt;/D&gt;&lt;/FQL&gt;&lt;FQL&gt;&lt;Q&gt;7203-SA^FE_VALUATION(ROE,MEAN,NTMA,,0,,,'')&lt;/Q&gt;&lt;R&gt;1&lt;/R&gt;&lt;C&gt;1&lt;/C&gt;&lt;D xsi:type="xsd:double"&gt;29.141361&lt;/D&gt;&lt;/FQL&gt;&lt;FQL&gt;&lt;Q&gt;7203-SA^FE_VALUATION(DIV_YLD,MEAN,NTMA,,NOW,,,'')&lt;/Q&gt;&lt;R&gt;1&lt;/R&gt;&lt;C&gt;1&lt;/C&gt;&lt;D xsi:type="xsd:double"&gt;1.9301453&lt;/D&gt;&lt;/FQL&gt;&lt;FQL&gt;&lt;Q&gt;7203-SA^FE_VALUATION(MCAP_FCF,MEAN,NTMA,,NOW,,,'')&lt;/Q&gt;&lt;R&gt;1&lt;/R&gt;&lt;C&gt;1&lt;/C&gt;&lt;D xsi:type="xsd:double"&gt;4.359563&lt;/D&gt;&lt;/FQL&gt;&lt;FQL&gt;&lt;Q&gt;7203-SA^FE_VALUATION(NETDEBT_EBITDA,MEAN,NTMA,,NOW,,,'')&lt;/Q&gt;&lt;R&gt;1&lt;/R&gt;&lt;C&gt;1&lt;/C&gt;&lt;D xsi:type="xsd:double"&gt;-0.72541535&lt;/D&gt;&lt;/FQL&gt;&lt;FQL&gt;&lt;Q&gt;7203-SA^FF_NET_MGN(LTM_R,0)&lt;/Q&gt;&lt;R&gt;1&lt;/R&gt;&lt;C&gt;1&lt;/C&gt;&lt;D xsi:type="xsd:double"&gt;24.3752549150087&lt;/D&gt;&lt;/FQL&gt;&lt;FQL&gt;&lt;Q&gt;7203-SA^FF_EBITDA_OPER_MGN(LTM_R,0)&lt;/Q&gt;&lt;R&gt;1&lt;/R&gt;&lt;C&gt;1&lt;/C&gt;&lt;D xsi:type="xsd:double"&gt;25.0039529643613&lt;/D&gt;&lt;/FQL&gt;&lt;FQL&gt;&lt;Q&gt;7203-SA^FF_GROSS_MGN(LTM_R,0)&lt;/Q&gt;&lt;R&gt;1&lt;/R&gt;&lt;C&gt;1&lt;/C&gt;&lt;D xsi:type="xsd:double"&gt;38.9886254958514&lt;/D&gt;&lt;/FQL&gt;&lt;FQL&gt;&lt;Q&gt;7203-SA^POW(FE_ESTIMATE(EPS,MEAN,STMA,,NOW,,,'CURRENCY=USD')/FE_ESTIMATE(EPS,MEAN,LTMA,,NOW,,,'CURRENCY=USD'),0.5)-1&lt;/Q&gt;&lt;R&gt;1&lt;/R&gt;&lt;C&gt;1&lt;/C&gt;&lt;D xsi:type="xsd:double"&gt;0.154111259801238&lt;/D&gt;&lt;/FQL&gt;&lt;FQL&gt;&lt;Q&gt;7203-SA^POW(FE_ESTIMATE(SALES,MEAN,STMA,,NOW,,,'CURRENCY=USD')/FE_ESTIMATE(SALES,MEAN,LTMA,,NOW,,,'CURRENCY=USD'),0.5)-1&lt;/Q&gt;&lt;R&gt;1&lt;/R&gt;&lt;C&gt;1&lt;/C&gt;&lt;D xsi:type="xsd:double"&gt;0.15994430900798&lt;/D&gt;&lt;/FQL&gt;&lt;FQL&gt;&lt;Q&gt;7203-SA^FE_ACTUAL(ACTUAL,EPS,ANN_ROLL,0,,,,'CURRENCY=USD')&lt;/Q&gt;&lt;R&gt;1&lt;/R&gt;&lt;C&gt;1&lt;/C&gt;&lt;D xsi:type="xsd:double"&gt;6.0894704&lt;/D&gt;&lt;/FQL&gt;&lt;FQL&gt;&lt;Q&gt;7203-SA^OS_SEC_FLT_PCT(0D,,MTD,SEC)&lt;/Q&gt;&lt;R&gt;1&lt;/R&gt;&lt;C&gt;1&lt;/C&gt;&lt;D xsi:type="xsd:double"&gt;30.1376&lt;/D&gt;&lt;/FQL&gt;&lt;FQL&gt;&lt;Q&gt;7203-SA^AVG(P_VOLUME_FRQ(-1AM,NOW,D,,6))*P_PRICE_AVG(-1AM,NOW,,USD)&lt;/Q&gt;&lt;R&gt;1&lt;/R&gt;&lt;C&gt;1&lt;/C&gt;&lt;D xsi:type="xsd:double"&gt;23.4619171791629&lt;/D&gt;&lt;/FQL&gt;&lt;FQL&gt;&lt;Q&gt;7203-SA^FCS_EV_DAILY(MV,NOW,,,USD,M)&lt;/Q&gt;&lt;R&gt;1&lt;/R&gt;&lt;C&gt;1&lt;/C&gt;&lt;D xsi:type="xsd:double"&gt;14277.8445111545&lt;/D&gt;&lt;/FQL&gt;&lt;FQL&gt;&lt;Q&gt;7203-SA^P_DCOUNTRY&lt;/Q&gt;&lt;R&gt;1&lt;/R&gt;&lt;C&gt;1&lt;/C&gt;&lt;D xsi:type="xsd:string"&gt;SAUDI ARABIA&lt;/D&gt;&lt;/FQL&gt;&lt;FQL&gt;&lt;Q&gt;7203-SA^FR_RBICS_NAME_CURR("IND")&lt;/Q&gt;&lt;R&gt;1&lt;/R&gt;&lt;C&gt;1&lt;/C&gt;&lt;D xsi:type="xsd:string"&gt;Industry-Specific Software&lt;/D&gt;&lt;/FQL&gt;&lt;FQL&gt;&lt;Q&gt;CWAN-US^FE_RATING(MEAN,TEXTONLY,0,NOW,,,'')&lt;/Q&gt;&lt;R&gt;1&lt;/R&gt;&lt;C&gt;1&lt;/C&gt;&lt;D xsi:type="xsd:string"&gt;Overweight&lt;/D&gt;&lt;/FQL&gt;&lt;FQL&gt;&lt;Q&gt;CWAN-US^FG_PRICE(0,,,USD)/FG_PRICE_MAVG(0,,,USD,200)&lt;/Q&gt;&lt;R&gt;1&lt;/R&gt;&lt;C&gt;1&lt;/C&gt;&lt;D xsi:type="xsd:double"&gt;1.08792070100015&lt;/D&gt;&lt;/FQL&gt;&lt;FQL&gt;&lt;Q&gt;CWAN-US^FG_PRICE(0,,,USD)/FG_PRICE_MAVG(0,,,USD,100)&lt;/Q&gt;&lt;R&gt;1&lt;/R&gt;&lt;C&gt;1&lt;/C&gt;&lt;D xsi:type="xsd:double"&gt;1.08296502555573&lt;/D&gt;&lt;/FQL&gt;&lt;FQL&gt;&lt;Q&gt;CWAN-US^FG_PRICE(0,,,USD)/FG_PRICE_MAVG(0,,,USD,50)&lt;/Q&gt;&lt;R&gt;1&lt;/R&gt;&lt;C&gt;1&lt;/C&gt;&lt;D xsi:type="xsd:double"&gt;0.982461494121337&lt;/D&gt;&lt;/FQL&gt;&lt;FQL&gt;&lt;Q&gt;CWAN-US^RTP_PRICE_TARGET(USD)/FG_PRICE(0,,,USD)&lt;/Q&gt;&lt;R&gt;1&lt;/R&gt;&lt;C&gt;1&lt;/C&gt;&lt;D xsi:type="xsd:double"&gt;1.12966846419327&lt;/D&gt;&lt;/FQL&gt;&lt;FQL&gt;&lt;Q&gt;CWAN-US^FG_PRICE(0,,,USD)/P_PRICE_HIGH(-1AY,0,USD,,,"PRICE","INTRA")&lt;/Q&gt;&lt;R&gt;1&lt;/R&gt;&lt;C&gt;1&lt;/C&gt;&lt;D xsi:type="xsd:double"&gt;0.734243694151708&lt;/D&gt;&lt;/FQL&gt;&lt;FQL&gt;&lt;Q&gt;CWAN-US^PERCENT_CHANGE(FE_VALUATION(FFEV_EBITDA,MEAN,NTMA,,0,,,''),MAX(FE_VALUATION(FFEV_EBITDA,MEAN,NTMA,,-1AY,0,,'')))&lt;/Q&gt;&lt;R&gt;1&lt;/R&gt;&lt;C&gt;1&lt;/C&gt;&lt;D xsi:type="xsd:double"&gt;-48.9548367795136&lt;/D&gt;&lt;/FQL&gt;&lt;FQL&gt;&lt;Q&gt;CWAN-US^PERCENT_CHANGE(FE_VALUATION(PE,MEAN,NTMA,,0,,,''),MAX(FE_VALUATION(PE,MEAN,NTMA,,-1AY,0,,'')))&lt;/Q&gt;&lt;R&gt;1&lt;/R&gt;&lt;C&gt;1&lt;/C&gt;&lt;D xsi:type="xsd:double"&gt;-43.7437992675567&lt;/D&gt;&lt;/FQL&gt;&lt;FQL&gt;&lt;Q&gt;CWAN-US^FE_VALUATION(FFEV_EBITDA,MEAN,NTMA,,0,,,'')&lt;/Q&gt;&lt;R&gt;1&lt;/R&gt;&lt;C&gt;1&lt;/C&gt;&lt;D xsi:type="xsd:double"&gt;20.685911&lt;/D&gt;&lt;/FQL&gt;&lt;FQL&gt;&lt;Q&gt;CWAN-US^FE_VALUATION(FFEV_SALES,MEAN,NTMA,,0,,,'')&lt;/Q&gt;&lt;R&gt;1&lt;/R&gt;&lt;C&gt;1&lt;/C&gt;&lt;D xsi:type="xsd:double"&gt;7.2733636&lt;/D&gt;&lt;/FQL&gt;&lt;FQL&gt;&lt;Q&gt;CWAN-US^FE_VALUATION(P_SALESPS,MEAN,NTMA,,0,,,'')&lt;/Q&gt;&lt;R&gt;1&lt;/R&gt;&lt;C&gt;1&lt;/C&gt;&lt;D xsi:type="xsd:double"&gt;7.0697517&lt;/D&gt;&lt;/FQL&gt;&lt;FQL&gt;&lt;Q&gt;CWAN-US^FE_VALUATION(PE,MEAN,NTMA,,0,,,'')&lt;/Q&gt;&lt;R&gt;1&lt;/R&gt;&lt;C&gt;1&lt;/C&gt;&lt;D xsi:type="xsd:double"&gt;31.532639&lt;/D&gt;&lt;/FQL&gt;&lt;FQL&gt;&lt;Q&gt;CWAN-US^FE_ACTUAL(ACTUAL,SALES,ANN_ROLL,0,,,,'CURRENCY=USD')&lt;/Q&gt;&lt;R&gt;1&lt;/R&gt;&lt;C&gt;1&lt;/C&gt;&lt;D xsi:type="xsd:double"&gt;731.368&lt;/D&gt;&lt;/FQL&gt;&lt;FQL&gt;&lt;Q&gt;CWAN-US^FE_ACTUAL(ACTUAL,SALES,ANN_ROLL,-1,,,,'CURRENCY=USD')&lt;/Q&gt;&lt;R&gt;1&lt;/R&gt;&lt;C&gt;1&lt;/C&gt;&lt;D xsi:type="xsd:double"&gt;451.803&lt;/D&gt;&lt;/FQL&gt;&lt;FQL&gt;&lt;Q&gt;CWAN-US^FE_VALUATION(EBITDA_MARGIN,MEAN,ANN_ROLL,0,NOW,,,'')&lt;/Q&gt;&lt;R&gt;1&lt;/R&gt;&lt;C&gt;1&lt;/C&gt;&lt;D xsi:type="xsd:double"&gt;33.935036&lt;/D&gt;&lt;/FQL&gt;&lt;FQL&gt;&lt;Q&gt;CWAN-US^FE_VALUATION(ROIC,MEAN,NTMA,,0,,,'')&lt;/Q&gt;&lt;R&gt;1&lt;/R&gt;&lt;C&gt;1&lt;/C&gt;&lt;D xsi:type="xsd:double"&gt;7.219577&lt;/D&gt;&lt;/FQL&gt;&lt;FQL&gt;&lt;Q&gt;CWAN-US^FE_VALUATION(ROE,MEAN,NTMA,,0,,,'')&lt;/Q&gt;&lt;R&gt;1&lt;/R&gt;&lt;C&gt;1&lt;/C&gt;&lt;D xsi:type="xsd:double"&gt;9.095571&lt;/D&gt;&lt;/FQL&gt;&lt;FQL&gt;&lt;Q&gt;CWAN-US^FE_VALUATION(DIV_YLD,MEAN,NTMA,,NOW,,,'')&lt;/Q&gt;&lt;R&gt;1&lt;/R&gt;&lt;C&gt;1&lt;/C&gt;&lt;D xsi:type="xsd:double"&gt;0&lt;/D&gt;&lt;/FQL&gt;&lt;FQL&gt;&lt;Q&gt;CWAN-US^FE_VALUATION(MCAP_FCF,MEAN,NTMA,,NOW,,,'')&lt;/Q&gt;&lt;R&gt;1&lt;/R&gt;&lt;C&gt;1&lt;/C&gt;&lt;D xsi:type="xsd:double"&gt;3.4597683&lt;/D&gt;&lt;/FQL&gt;&lt;FQL&gt;&lt;Q&gt;CWAN-US^FE_VALUATION(NETDEBT_EBITDA,MEAN,NTMA,,NOW,,,'')&lt;/Q&gt;&lt;R&gt;1&lt;/R&gt;&lt;C&gt;1&lt;/C&gt;&lt;D xsi:type="xsd:double"&gt;1.4655018&lt;/D&gt;&lt;/FQL&gt;&lt;FQL&gt;&lt;Q&gt;CWAN-US^FF_NET_MGN(LTM_R,0)&lt;/Q&gt;&lt;R&gt;1&lt;/R&gt;&lt;C&gt;1&lt;/C&gt;&lt;D xsi:type="xsd:double"&gt;-5.34833353387077&lt;/D&gt;&lt;/FQL&gt;&lt;FQL&gt;&lt;Q&gt;CWAN-US^FF_EBITDA_OPER_MGN(LTM_R,0)&lt;/Q&gt;&lt;R&gt;1&lt;/R&gt;&lt;C&gt;1&lt;/C&gt;&lt;D xsi:type="xsd:double"&gt;15.5360912700583&lt;/D&gt;&lt;/FQL&gt;&lt;FQL&gt;&lt;Q&gt;CWAN-US^FF_GROSS_MGN(LTM_R,0)&lt;/Q&gt;&lt;R&gt;1&lt;/R&gt;&lt;C&gt;1&lt;/C&gt;&lt;D xsi:type="xsd:double"&gt;67.2912952166351&lt;/D&gt;&lt;/FQL&gt;&lt;FQL&gt;&lt;Q&gt;CWAN-US^POW(FE_ESTIMATE(EPS,MEAN,STMA,,NOW,,,'CURRENCY=USD')/FE_ESTIMATE(EPS,MEAN,LTMA,,NOW,,,'CURRENCY=USD'),0.5)-1&lt;/Q&gt;&lt;R&gt;1&lt;/R&gt;&lt;C&gt;1&lt;/C&gt;&lt;D xsi:type="xsd:double"&gt;0.279696800027256&lt;/D&gt;&lt;/FQL&gt;&lt;FQL&gt;&lt;Q&gt;CWAN-US^POW(FE_ESTIMATE(SALES,MEAN,STMA,,NOW,,,'CURRENCY=USD')/FE_ESTIMATE(SALES,MEAN,LTMA,,NOW,,,'CURRENCY=USD'),0.5)-1&lt;/Q&gt;&lt;R&gt;1&lt;/R&gt;&lt;C&gt;1&lt;/C&gt;&lt;D xsi:type="xsd:double"&gt;0.225581861810952&lt;/D&gt;&lt;/FQL&gt;&lt;FQL&gt;&lt;Q&gt;CWAN-US^FE_ACTUAL(ACTUAL,EPS,ANN_ROLL,0,,,,'CURRENCY=USD')&lt;/Q&gt;&lt;R&gt;1&lt;/R&gt;&lt;C&gt;1&lt;/C&gt;&lt;D xsi:type="xsd:double"&gt;0.54&lt;/D&gt;&lt;/FQL&gt;&lt;FQL&gt;&lt;Q&gt;CWAN-US^OS_SEC_FLT_PCT(0D,,MTD,SEC)&lt;/Q&gt;&lt;R&gt;1&lt;/R&gt;&lt;C&gt;1&lt;/C&gt;&lt;D xsi:type="xsd:double"&gt;95.6354&lt;/D&gt;&lt;/FQL&gt;&lt;FQL&gt;&lt;Q&gt;CWAN-US^AVG(P_VOLUME_FRQ(-1AM,NOW,D,,6))*P_PRICE_AVG(-1AM,NOW,,USD)&lt;/Q&gt;&lt;R&gt;1&lt;/R&gt;&lt;C&gt;1&lt;/C&gt;&lt;D xsi:type="xsd:double"&gt;326.80942612758&lt;/D&gt;&lt;/FQL&gt;&lt;FQL&gt;&lt;Q&gt;CWAN-US^FCS_EV_DAILY(MV,NOW,,,USD,M)&lt;/Q&gt;&lt;R&gt;1&lt;/R&gt;&lt;C&gt;1&lt;/C&gt;&lt;D xsi:type="xsd:double"&gt;6848.90681734&lt;/D&gt;&lt;/FQL&gt;&lt;FQL&gt;&lt;Q&gt;CWAN-US^P_DCOUNTRY&lt;/Q&gt;&lt;R&gt;1&lt;/R&gt;&lt;C&gt;1&lt;/C&gt;&lt;D xsi:type="xsd:string"&gt;UNITED STATES&lt;/D&gt;&lt;/FQL&gt;&lt;FQL&gt;&lt;Q&gt;CWAN-US^FR_RBICS_NAME_CURR("IND")&lt;/Q&gt;&lt;R&gt;1&lt;/R&gt;&lt;C&gt;1&lt;/C&gt;&lt;D xsi:type="xsd:string"&gt;Finance Industry Software&lt;/D&gt;&lt;/FQL&gt;&lt;FQL&gt;&lt;Q&gt;CRWV-US^FE_RATING(MEAN,TEXTONLY,0,NOW,,,'')&lt;/Q&gt;&lt;R&gt;1&lt;/R&gt;&lt;C&gt;1&lt;/C&gt;&lt;D xsi:type="xsd:string"&gt;Overweight&lt;/D&gt;&lt;/FQL&gt;&lt;FQL&gt;&lt;Q&gt;CRWV-US^FG_PRICE(0,,,USD)/FG_PRICE_MAVG(0,,,USD,200)&lt;/Q&gt;&lt;R&gt;1&lt;/R&gt;&lt;C&gt;1&lt;/C&gt;&lt;D xsi:type="xsd:double"&gt;0.90814269272082&lt;/D&gt;&lt;/FQL&gt;&lt;FQL&gt;&lt;Q&gt;CRWV-US^FG_PRICE(0,,,USD)/FG_PRICE_MAVG(0,,,USD,100)&lt;/Q&gt;&lt;R&gt;1&lt;/R&gt;&lt;C&gt;1&lt;/C&gt;&lt;D xsi:type="xsd:double"&gt;1.01651296130802&lt;/D&gt;&lt;/FQL&gt;&lt;FQL&gt;&lt;Q&gt;CRWV-US^FG_PRICE(0,,,USD)/FG_PRICE_MAVG(0,,,USD,50)&lt;/Q&gt;&lt;R&gt;1&lt;/R&gt;&lt;C&gt;1&lt;/C&gt;&lt;D xsi:type="xsd:double"&gt;1.14305579217335&lt;/D&gt;&lt;/FQL&gt;&lt;FQL&gt;&lt;Q&gt;CRWV-US^RTP_PRICE_TARGET(USD)/FG_PRICE(0,,,USD)&lt;/Q&gt;&lt;R&gt;1&lt;/R&gt;&lt;C&gt;1&lt;/C&gt;&lt;D xsi:type="xsd:double"&gt;1.25593444108761&lt;/D&gt;&lt;/FQL&gt;&lt;FQL&gt;&lt;Q&gt;CRWV-US^FG_PRICE(0,,,USD)/P_PRICE_HIGH(-1AY,0,USD,,,"PRICE","INTRA")&lt;/Q&gt;&lt;R&gt;1&lt;/R&gt;&lt;C&gt;1&lt;/C&gt;&lt;D xsi:type="xsd:double"&gt;0.531016042780749&lt;/D&gt;&lt;/FQL&gt;&lt;FQL&gt;&lt;Q&gt;CRWV-US^PERCENT_CHANGE(FE_VALUATION(FFEV_EBITDA,MEAN,NTMA,,0,,,''),MAX(FE_VALUATION(FFEV_EBITDA,MEAN,NTMA,,-1AY,0,,'')))&lt;/Q&gt;&lt;R&gt;1&lt;/R&gt;&lt;C&gt;1&lt;/C&gt;&lt;D xsi:type="xsd:double"&gt;-53.7121857472069&lt;/D&gt;&lt;/FQL&gt;&lt;FQL&gt;&lt;Q&gt;CRWV-US^PERCENT_CHANGE(FE_VALUATION(PE,MEAN,NTMA,,0,,,''),MAX(FE_VALUATION(PE,MEAN,NTMA,,-1AY,0,,'')))&lt;/Q&gt;&lt;R&gt;1&lt;/R&gt;&lt;C&gt;1&lt;/C&gt;&lt;D xsi:type="xsd:double"&gt;-72.4921644963304&lt;/D&gt;&lt;/FQL&gt;&lt;FQL&gt;&lt;Q&gt;CRWV-US^FE_VALUATION(FFEV_EBITDA,MEAN,NTMA,,0,,,'')&lt;/Q&gt;&lt;R&gt;1&lt;/R&gt;&lt;C&gt;1&lt;/C&gt;&lt;D xsi:type="xsd:double"&gt;7.2627034&lt;/D&gt;&lt;/FQL&gt;&lt;FQL&gt;&lt;Q&gt;CRWV-US^FE_VALUATION(FFEV_SALES,MEAN,NTMA,,0,,,'')&lt;/Q&gt;&lt;R&gt;1&lt;/R&gt;&lt;C&gt;1&lt;/C&gt;&lt;D xsi:type="xsd:double"&gt;4.9327&lt;/D&gt;&lt;/FQL&gt;&lt;FQL&gt;&lt;Q&gt;CRWV-US^FE_VALUATION(P_SALESPS,MEAN,NTMA,,0,,,'')&lt;/Q&gt;&lt;R&gt;1&lt;/R&gt;&lt;C&gt;1&lt;/C&gt;&lt;D xsi:type="xsd:double"&gt;3.8872945&lt;/D&gt;&lt;/FQL&gt;&lt;FQL&gt;&lt;Q&gt;CRWV-US^FE_VALUATION(PE,MEAN,NTMA,,0,,,'')&lt;/Q&gt;&lt;R&gt;1&lt;/R&gt;&lt;C&gt;1&lt;/C&gt;&lt;D xsi:type="xsd:double"&gt;1349.7896&lt;/D&gt;&lt;/FQL&gt;&lt;FQL&gt;&lt;Q&gt;CRWV-US^FE_ACTUAL(ACTUAL,SALES,ANN_ROLL,0,,,,'CURRENCY=USD')&lt;/Q&gt;&lt;R&gt;1&lt;/R&gt;&lt;C&gt;1&lt;/C&gt;&lt;D xsi:type="xsd:double"&gt;1915.4&lt;/D&gt;&lt;/FQL&gt;&lt;FQL&gt;&lt;Q&gt;CRWV-US^FE_ACTUAL(ACTUAL,SALES,ANN_ROLL,-1,,,,'CURRENCY=USD')&lt;/Q&gt;&lt;R&gt;0&lt;/R&gt;&lt;C&gt;0&lt;/C&gt;&lt;/FQL&gt;&lt;FQL&gt;&lt;Q&gt;CRWV-US^FE_VALUATION(EBITDA_MARGIN,MEAN,ANN_ROLL,0,NOW,,,'')&lt;/Q&gt;&lt;R&gt;1&lt;/R&gt;&lt;C&gt;1&lt;/C&gt;&lt;D xsi:type="xsd:double"&gt;63.652634&lt;/D&gt;&lt;/FQL&gt;&lt;FQL&gt;&lt;Q&gt;CRWV-US^FE_VALUATION(ROIC,MEAN,NTMA,,0,,,'')&lt;/Q&gt;&lt;R&gt;1&lt;/R&gt;&lt;C&gt;1&lt;/C&gt;&lt;D xsi:type="xsd:double"&gt;-0.37595856&lt;/D&gt;&lt;/FQL&gt;&lt;FQL&gt;&lt;Q&gt;CRWV-US^FE_VALUATION(ROE,MEAN,NTMA,,0,,,'')&lt;/Q&gt;&lt;R&gt;1&lt;/R&gt;&lt;C&gt;1&lt;/C&gt;&lt;D xsi:type="xsd:double"&gt;0.94471854&lt;/D&gt;&lt;/FQL&gt;&lt;FQL&gt;&lt;Q&gt;CRWV-US^FE_VALUATION(DIV_YLD,MEAN,NTMA,,NOW,,,'')&lt;/Q&gt;&lt;R&gt;1&lt;/R&gt;&lt;C&gt;1&lt;/C&gt;&lt;D xsi:type="xsd:double"&gt;0&lt;/D&gt;&lt;/FQL&gt;&lt;FQL&gt;&lt;Q&gt;CRWV-US^FE_VALUATION(MCAP_FCF,MEAN,NTMA,,NOW,,,'')&lt;/Q&gt;&lt;R&gt;1&lt;/R&gt;&lt;C&gt;1&lt;/C&gt;&lt;D xsi:type="xsd:double"&gt;-33.443184&lt;/D&gt;&lt;/FQL&gt;&lt;FQL&gt;&lt;Q&gt;CRWV-US^FE_VALUATION(NETDEBT_EBITDA,MEAN,NTMA,,NOW,,,'')&lt;/Q&gt;&lt;R&gt;1&lt;/R&gt;&lt;C&gt;1&lt;/C&gt;&lt;D xsi:type="xsd:double"&gt;4.236411&lt;/D&gt;&lt;/FQL&gt;&lt;FQL&gt;&lt;Q&gt;CRWV-US^FF_NET_MGN(LTM_R,0)&lt;/Q&gt;&lt;R&gt;1&lt;/R&gt;&lt;C&gt;1&lt;/C&gt;&lt;D xsi:type="xsd:double"&gt;-17.8019591661585&lt;/D&gt;&lt;/FQL&gt;&lt;FQL&gt;&lt;Q&gt;CRWV-US^FF_EBITDA_OPER_MGN(LTM_R,0)&lt;/Q&gt;&lt;R&gt;1&lt;/R&gt;&lt;C&gt;1&lt;/C&gt;&lt;D xsi:type="xsd:double"&gt;50.0435617943558&lt;/D&gt;&lt;/FQL&gt;&lt;FQL&gt;&lt;Q&gt;CRWV-US^FF_GROSS_MGN(LTM_R,0)&lt;/Q&gt;&lt;R&gt;1&lt;/R&gt;&lt;C&gt;1&lt;/C&gt;&lt;D xsi:type="xsd:double"&gt;49.2309075420264&lt;/D&gt;&lt;/FQL&gt;&lt;FQL&gt;&lt;Q&gt;CRWV-US^POW(FE_ESTIMATE(EPS,MEAN,STMA,,NOW,,,'CURRENCY=USD')/FE_ESTIMATE(EPS,MEAN,LTMA,,NOW,,,'CURRENCY=USD'),0.5)-1&lt;/Q&gt;&lt;R&gt;0&lt;/R&gt;&lt;C&gt;0&lt;/C&gt;&lt;/FQL&gt;&lt;FQL&gt;&lt;Q&gt;CRWV-US^POW(FE_ESTIMATE(SALES,MEAN,STMA,,NOW,,,'CURRENCY=USD')/FE_ESTIMATE(SALES,MEAN,LTMA,,NOW,,,'CURRENCY=USD'),0.5)-1&lt;/Q&gt;&lt;R&gt;1&lt;/R&gt;&lt;C&gt;1&lt;/C&gt;&lt;D xsi:type="xsd:double"&gt;0.864512536831008&lt;/D&gt;&lt;/FQL&gt;&lt;FQL&gt;&lt;Q&gt;CRWV-US^FE_ACTUAL(ACTUAL,EPS,ANN_ROLL,0,,,,'CURRENCY=USD')&lt;/Q&gt;&lt;R&gt;1&lt;/R&gt;&lt;C&gt;1&lt;/C&gt;&lt;D xsi:type="xsd:double"&gt;-0.26905&lt;/D&gt;&lt;/FQL&gt;&lt;FQL&gt;&lt;Q&gt;CRWV-US^OS_SEC_FLT_PCT(0D,,MTD,SEC)&lt;/Q&gt;&lt;R&gt;1&lt;/R&gt;&lt;C&gt;1&lt;/C&gt;&lt;D xsi:type="xsd:double"&gt;76.3845&lt;/D&gt;&lt;/FQL&gt;&lt;FQL&gt;&lt;Q&gt;CRWV-US^AVG(P_VOLUME_FRQ(-1AM,NOW,D,,6))*P_PRICE_AVG(-1AM,NOW,,USD)&lt;/Q&gt;&lt;R&gt;1&lt;/R&gt;&lt;C&gt;1&lt;/C&gt;&lt;D xsi:type="xsd:double"&gt;2398.99961403913&lt;/D&gt;&lt;/FQL&gt;&lt;FQL&gt;&lt;Q&gt;CRWV-US^FCS_EV_DAILY(MV,NOW,,,USD,M)&lt;/Q&gt;&lt;R&gt;1&lt;/R&gt;&lt;C&gt;1&lt;/C&gt;&lt;D xsi:type="xsd:double"&gt;59178.757573134&lt;/D&gt;&lt;/FQL&gt;&lt;FQL&gt;&lt;Q&gt;CRWV-US^P_DCOUNTRY&lt;/Q&gt;&lt;R&gt;1&lt;/R&gt;&lt;C&gt;1&lt;/C&gt;&lt;D xsi:type="xsd:string"&gt;UNITED STATES&lt;/D&gt;&lt;/FQL&gt;&lt;FQL&gt;&lt;Q&gt;CRWV-US^FR_RBICS_NAME_CURR("IND")&lt;/Q&gt;&lt;R&gt;1&lt;/R&gt;&lt;C&gt;1&lt;/C&gt;&lt;D xsi:type="xsd:string"&gt;Industry-Specific Software&lt;/D&gt;&lt;/FQL&gt;&lt;FQL&gt;&lt;Q&gt;PRESIGHT-AE^FE_RATING(MEAN,TEXTONLY,0,NOW,,,'')&lt;/Q&gt;&lt;R&gt;1&lt;/R&gt;&lt;C&gt;1&lt;/C&gt;&lt;D xsi:type="xsd:string"&gt;Buy&lt;/D&gt;&lt;/FQL&gt;&lt;FQL&gt;&lt;Q&gt;PRESIGHT-AE^FG_PRICE(0,,,USD)/FG_PRICE_MAVG(0,,,USD,200)&lt;/Q&gt;&lt;R&gt;1&lt;/R&gt;&lt;C&gt;1&lt;/C&gt;&lt;D xsi:type="xsd:double"&gt;1.0905646306074&lt;/D&gt;&lt;/FQL&gt;&lt;FQL&gt;&lt;Q&gt;PRESIGHT-AE^FG_PRICE(0,,,USD)/FG_PRICE_MAVG(0,,,USD,100)&lt;/Q&gt;&lt;R&gt;1&lt;/R&gt;&lt;C&gt;1&lt;/C&gt;&lt;D xsi:type="xsd:double"&gt;1.0666274354771&lt;/D&gt;&lt;/FQL&gt;&lt;FQL&gt;&lt;Q&gt;PRESIGHT-AE^FG_PRICE(0,,,USD)/FG_PRICE_MAVG(0,,,USD,50)&lt;/Q&gt;&lt;R&gt;1&lt;/R&gt;&lt;C&gt;1&lt;/C&gt;&lt;D xsi:type="xsd:double"&gt;1.06094955653859&lt;/D&gt;&lt;/FQL&gt;&lt;FQL&gt;&lt;Q&gt;PRESIGHT-AE^RTP_PRICE_TARGET(USD)/FG_PRICE(0,,,USD)&lt;/Q&gt;&lt;R&gt;1&lt;/R&gt;&lt;C&gt;1&lt;/C&gt;&lt;D xsi:type="xsd:double"&gt;1.24104682201865&lt;/D&gt;&lt;/FQL&gt;&lt;FQL&gt;&lt;Q&gt;PRESIGHT-AE^FG_PRICE(0,,,USD)/P_PRICE_HIGH(-1AY,0,USD,,,"PRICE","INTRA")&lt;/Q&gt;&lt;R&gt;1&lt;/R&gt;&lt;C&gt;1&lt;/C&gt;&lt;D xsi:type="xsd:double"&gt;0.885365871575611&lt;/D&gt;&lt;/FQL&gt;&lt;FQL&gt;&lt;Q&gt;PRESIGHT-AE^PERCENT_CHANGE(FE_VALUATION(FFEV_EBITDA,MEAN,NTMA,,0,,,''),MAX(FE_VALUATION(FFEV_EBITDA,MEAN,NTMA,,-1AY,0,,'')))&lt;/Q&gt;&lt;R&gt;1&lt;/R&gt;&lt;C&gt;1&lt;/C&gt;&lt;D xsi:type="xsd:double"&gt;-23.6266865850393&lt;/D&gt;&lt;/FQL&gt;&lt;FQL&gt;&lt;Q&gt;PRESIGHT-AE^PERCENT_CHANGE(FE_VALUATION(PE,MEAN,NTMA,,0,,,''),MAX(FE_VALUATION(PE,MEAN,NTMA,,-1AY,0,,'')))&lt;/Q&gt;&lt;R&gt;1&lt;/R&gt;&lt;C&gt;1&lt;/C&gt;&lt;D xsi:type="xsd:double"&gt;-30.9281091669418&lt;/D&gt;&lt;/FQL&gt;&lt;FQL&gt;&lt;Q&gt;PRESIGHT-AE^FE_VALUATION(FFEV_EBITDA,MEAN,NTMA,,0,,,'')&lt;/Q&gt;&lt;R&gt;1&lt;/R&gt;&lt;C&gt;1&lt;/C&gt;&lt;D xsi:type="xsd:double"&gt;17.870975&lt;/D&gt;&lt;/FQL&gt;&lt;FQL&gt;&lt;Q&gt;PRESIGHT-AE^FE_VALUATION(FFEV_SALES,MEAN,NTMA,,0,,,'')&lt;/Q&gt;&lt;R&gt;1&lt;/R&gt;&lt;C&gt;1&lt;/C&gt;&lt;D xsi:type="xsd:double"&gt;4.7713323&lt;/D&gt;&lt;/FQL&gt;&lt;FQL&gt;&lt;Q&gt;PRESIGHT-AE^FE_VALUATION(P_SALESPS,MEAN,NTMA,,0,,,'')&lt;/Q&gt;&lt;R&gt;1&lt;/R&gt;&lt;C&gt;1&lt;/C&gt;&lt;D xsi:type="xsd:double"&gt;5.2245355&lt;/D&gt;&lt;/FQL&gt;&lt;FQL&gt;&lt;Q&gt;PRESIGHT-AE^FE_VALUATION(PE,MEAN,NTMA,,0,,,'')&lt;/Q&gt;&lt;R&gt;1&lt;/R&gt;&lt;C&gt;1&lt;/C&gt;&lt;D xsi:type="xsd:double"&gt;26.05796&lt;/D&gt;&lt;/FQL&gt;&lt;FQL&gt;&lt;Q&gt;PRESIGHT-AE^FE_ACTUAL(ACTUAL,SALES,ANN_ROLL,0,,,,'CURRENCY=USD')&lt;/Q&gt;&lt;R&gt;1&lt;/R&gt;&lt;C&gt;1&lt;/C&gt;&lt;D xsi:type="xsd:double"&gt;824.91144&lt;/D&gt;&lt;/FQL&gt;&lt;FQL&gt;&lt;Q&gt;PRESIGHT-AE^FE_ACTUAL(ACTUAL,SALES,ANN_ROLL,-1,,,,'CURRENCY=USD')&lt;/Q&gt;&lt;R&gt;1&lt;/R&gt;&lt;C&gt;1&lt;/C&gt;&lt;D xsi:type="xsd:double"&gt;602.4966&lt;/D&gt;&lt;/FQL&gt;&lt;FQL&gt;&lt;Q&gt;PRESIGHT-AE^FE_VALUATION(EBITDA_MARGIN,MEAN,ANN_ROLL,0,NOW,,,'')&lt;/Q&gt;&lt;R&gt;1&lt;/R&gt;&lt;C&gt;1&lt;/C&gt;&lt;D xsi:type="xsd:double"&gt;25.877863&lt;/D&gt;&lt;/FQL&gt;&lt;FQL&gt;&lt;Q&gt;PRESIGHT-AE^FE_VALUATION(ROIC,MEAN,NTMA,,0,,,'')&lt;/Q&gt;&lt;R&gt;0&lt;/R&gt;&lt;C&gt;0&lt;/C&gt;&lt;/FQL&gt;&lt;FQL&gt;&lt;Q&gt;PRESIGHT-AE^FE_VALUATION(ROE,MEAN,NTMA,,0,,,'')&lt;/Q&gt;&lt;R&gt;1&lt;/R&gt;&lt;C&gt;1&lt;/C&gt;&lt;D xsi:type="xsd:double"&gt;14.895285&lt;/D&gt;&lt;/FQL&gt;&lt;FQL&gt;&lt;Q&gt;PRESIGHT-AE^FE_VALUATION(DIV_YLD,MEAN,NTMA,,NOW,,,'')&lt;/Q&gt;&lt;R&gt;1&lt;/R&gt;&lt;C&gt;1&lt;/C&gt;&lt;D xsi:type="xsd:double"&gt;0&lt;/D&gt;&lt;/FQL&gt;&lt;FQL&gt;&lt;Q&gt;PRESIGHT-AE^FE_VALUATION(MCAP_FCF,MEAN,NTMA,,NOW,,,'')&lt;/Q&gt;&lt;R&gt;1&lt;/R&gt;&lt;C&gt;1&lt;/C&gt;&lt;D xsi:type="xsd:double"&gt;4.6938114&lt;/D&gt;&lt;/FQL&gt;&lt;FQL&gt;&lt;Q&gt;PRESIGHT-AE^FE_VALUATION(NETDEBT_EBITDA,MEAN,NTMA,,NOW,,,'')&lt;/Q&gt;&lt;R&gt;1&lt;/R&gt;&lt;C&gt;1&lt;/C&gt;&lt;D xsi:type="xsd:double"&gt;-2.0169125&lt;/D&gt;&lt;/FQL&gt;&lt;FQL&gt;&lt;Q&gt;PRESIGHT-AE^FF_NET_MGN(LTM_R,0)&lt;/Q&gt;&lt;R&gt;1&lt;/R&gt;&lt;C&gt;1&lt;/C&gt;&lt;D xsi:type="xsd:double"&gt;19.2365131862304&lt;/D&gt;&lt;/FQL&gt;&lt;FQL&gt;&lt;Q&gt;PRESIGHT-AE^FF_EBITDA_OPER_MGN(LTM_R,0)&lt;/Q&gt;&lt;R&gt;1&lt;/R&gt;&lt;C&gt;1&lt;/C&gt;&lt;D xsi:type="xsd:double"&gt;25.9004383253667&lt;/D&gt;&lt;/FQL&gt;&lt;FQL&gt;&lt;Q&gt;PRESIGHT-AE^FF_GROSS_MGN(LTM_R,0)&lt;/Q&gt;&lt;R&gt;1&lt;/R&gt;&lt;C&gt;1&lt;/C&gt;&lt;D xsi:type="xsd:double"&gt;36.7841486022335&lt;/D&gt;&lt;/FQL&gt;&lt;FQL&gt;&lt;Q&gt;PRESIGHT-AE^POW(FE_ESTIMATE(EPS,MEAN,STMA,,NOW,,,'CURRENCY=USD')/FE_ESTIMATE(EPS,MEAN,LTMA,,NOW,,,'CURRENCY=USD'),0.5)-1&lt;/Q&gt;&lt;R&gt;1&lt;/R&gt;&lt;C&gt;1&lt;/C&gt;&lt;D xsi:type="xsd:double"&gt;0.241917066474247&lt;/D&gt;&lt;/FQL&gt;&lt;FQL&gt;&lt;Q&gt;PRESIGHT-AE^POW(FE_ESTIMATE(SALES,MEAN,STMA,,NOW,,,'CURRENCY=USD')/FE_ESTIMATE(SALES,MEAN,LTMA,,NOW,,,'CURRENCY=USD'),0.5)-1&lt;/Q&gt;&lt;R&gt;1&lt;/R&gt;&lt;C&gt;1&lt;/C&gt;&lt;D xsi:type="xsd:double"&gt;0.2319803164012&lt;/D&gt;&lt;/FQL&gt;&lt;FQL&gt;&lt;Q&gt;PRESIGHT-AE^FE_ACTUAL(ACTUAL,EPS,ANN_ROLL,0,,,,'CURRENCY=USD')&lt;/Q&gt;&lt;R&gt;1&lt;/R&gt;&lt;C&gt;1&lt;/C&gt;&lt;D xsi:type="xsd:double"&gt;0.030309143&lt;/D&gt;&lt;/FQL&gt;&lt;FQL&gt;&lt;Q&gt;PRESIGHT-AE^OS_SEC_FLT_PCT(0D,,MTD,SEC)&lt;/Q&gt;&lt;R&gt;1&lt;/R&gt;&lt;C&gt;1&lt;/C&gt;&lt;D xsi:type="xsd:double"&gt;14.5&lt;/D&gt;&lt;/FQL&gt;&lt;FQL&gt;&lt;Q&gt;PRESIGHT-AE^AVG(P_VOLUME_FRQ(-1AM,NOW,D,,6))*P_PRICE_AVG(-1AM,NOW,,USD)&lt;/Q&gt;&lt;R&gt;1&lt;/R&gt;&lt;C&gt;1&lt;/C&gt;&lt;D xsi:type="xsd:double"&gt;4.57813088691729&lt;/D&gt;&lt;/FQL&gt;&lt;FQL&gt;&lt;Q&gt;PRESIGHT-AE^FCS_EV_DAILY(MV,NOW,,,USD,M)&lt;/Q&gt;&lt;R&gt;1&lt;/R&gt;&lt;C&gt;1&lt;/C&gt;&lt;D xsi:type="xsd:double"&gt;5543.01874783666&lt;/D&gt;&lt;/FQL&gt;&lt;FQL&gt;&lt;Q&gt;PRESIGHT-AE^P_DCOUNTRY&lt;/Q&gt;&lt;R&gt;1&lt;/R&gt;&lt;C&gt;1&lt;/C&gt;&lt;D xsi:type="xsd:string"&gt;UNITED ARAB EMIRATES&lt;/D&gt;&lt;/FQL&gt;&lt;FQL&gt;&lt;Q&gt;PRESIGHT-AE^FR_RBICS_NAME_CURR("IND")&lt;/Q&gt;&lt;R&gt;1&lt;/R&gt;&lt;C&gt;1&lt;/C&gt;&lt;D xsi:type="xsd:string"&gt;Business Intelligence Software&lt;/D&gt;&lt;/FQL&gt;&lt;FQL&gt;&lt;Q&gt;OTEX-US^FE_RATING(MEAN,TEXTONLY,0,NOW,,,'')&lt;/Q&gt;&lt;R&gt;1&lt;/R&gt;&lt;C&gt;1&lt;/C&gt;&lt;D xsi:type="xsd:string"&gt;Hold&lt;/D&gt;&lt;/FQL&gt;&lt;FQL&gt;&lt;Q&gt;OTEX-US^FG_PRICE(0,,,USD)/FG_PRICE_MAVG(0,,,USD,200)&lt;/Q&gt;&lt;R&gt;1&lt;/R&gt;&lt;C&gt;1&lt;/C&gt;&lt;D xsi:type="xsd:double"&gt;0.756236031384268&lt;/D&gt;&lt;/FQL&gt;&lt;FQL&gt;&lt;Q&gt;OTEX-US^FG_PRICE(0,,,USD)/FG_PRICE_MAVG(0,,,USD,100)&lt;/Q&gt;&lt;R&gt;1&lt;/R&gt;&lt;C&gt;1&lt;/C&gt;&lt;D xsi:type="xsd:double"&gt;0.732368137864715&lt;/D&gt;&lt;/FQL&gt;&lt;FQL&gt;&lt;Q&gt;OTEX-US^FG_PRICE(0,,,USD)/FG_PRICE_MAVG(0,,,USD,50)&lt;/Q&gt;&lt;R&gt;1&lt;/R&gt;&lt;C&gt;1&lt;/C&gt;&lt;D xsi:type="xsd:double"&gt;0.820925911350952&lt;/D&gt;&lt;/FQL&gt;&lt;FQL&gt;&lt;Q&gt;OTEX-US^RTP_PRICE_TARGET(USD)/FG_PRICE(0,,,USD)&lt;/Q&gt;&lt;R&gt;1&lt;/R&gt;&lt;C&gt;1&lt;/C&gt;&lt;D xsi:type="xsd:double"&gt;1.38892888703627&lt;/D&gt;&lt;/FQL&gt;&lt;FQL&gt;&lt;Q&gt;OTEX-US^FG_PRICE(0,,,USD)/P_PRICE_HIGH(-1AY,0,USD,,,"PRICE","INTRA")&lt;/Q&gt;&lt;R&gt;1&lt;/R&gt;&lt;C&gt;1&lt;/C&gt;&lt;D xsi:type="xsd:double"&gt;0.60125313283208&lt;/D&gt;&lt;/FQL&gt;&lt;FQL&gt;&lt;Q&gt;OTEX-US^PERCENT_CHANGE(FE_VALUATION(FFEV_EBITDA,MEAN,NTMA,,0,,,''),MAX(FE_VALUATION(FFEV_EBITDA,MEAN,NTMA,,-1AY,0,,'')))&lt;/Q&gt;&lt;R&gt;1&lt;/R&gt;&lt;C&gt;1&lt;/C&gt;&lt;D xsi:type="xsd:double"&gt;-27.4918901850858&lt;/D&gt;&lt;/FQL&gt;&lt;FQL&gt;&lt;Q&gt;OTEX-US^PERCENT_CHANGE(FE_VALUATION(PE,MEAN,NTMA,,0,,,''),MAX(FE_VALUATION(PE,MEAN,NTMA,,-1AY,0,,'')))&lt;/Q&gt;&lt;R&gt;1&lt;/R&gt;&lt;C&gt;1&lt;/C&gt;&lt;D xsi:type="xsd:double"&gt;-40.6204414898085&lt;/D&gt;&lt;/FQL&gt;&lt;FQL&gt;&lt;Q&gt;OTEX-US^FE_VALUATION(FFEV_EBITDA,MEAN,NTMA,,0,,,'')&lt;/Q&gt;&lt;R&gt;1&lt;/R&gt;&lt;C&gt;1&lt;/C&gt;&lt;D xsi:type="xsd:double"&gt;6.0301123&lt;/D&gt;&lt;/FQL&gt;&lt;FQL&gt;&lt;Q&gt;OTEX-US^FE_VALUATION(FFEV_SALES,MEAN,NTMA,,0,,,'')&lt;/Q&gt;&lt;R&gt;1&lt;/R&gt;&lt;C&gt;1&lt;/C&gt;&lt;D xsi:type="xsd:double"&gt;2.1731508&lt;/D&gt;&lt;/FQL&gt;&lt;FQL&gt;&lt;Q&gt;OTEX-US^FE_VALUATION(P_SALESPS,MEAN,NTMA,,0,,,'')&lt;/Q&gt;&lt;R&gt;1&lt;/R&gt;&lt;C&gt;1&lt;/C&gt;&lt;D xsi:type="xsd:double"&gt;1.1470534&lt;/D&gt;&lt;/FQL&gt;&lt;FQL&gt;&lt;Q&gt;OTEX-US^FE_VALUATION(PE,MEAN,NTMA,,0,,,'')&lt;/Q&gt;&lt;R&gt;1&lt;/R&gt;&lt;C&gt;1&lt;/C&gt;&lt;D xsi:type="xsd:double"&gt;5.556441&lt;/D&gt;&lt;/FQL&gt;&lt;FQL&gt;&lt;Q&gt;OTEX-US^FE_ACTUAL(ACTUAL,SALES,ANN_ROLL,0,,,,'CURRENCY=USD')&lt;/Q&gt;&lt;R&gt;1&lt;/R&gt;&lt;C&gt;1&lt;/C&gt;&lt;D xsi:type="xsd:double"&gt;5168.405&lt;/D&gt;&lt;/FQL&gt;&lt;FQL&gt;&lt;Q&gt;OTEX-US^FE_ACTUAL(ACTUAL,SALES,ANN_ROLL,-1,,,,'CURRENCY=USD')&lt;/Q&gt;&lt;R&gt;1&lt;/R&gt;&lt;C&gt;1&lt;/C&gt;&lt;D xsi:type="xsd:double"&gt;5769.577&lt;/D&gt;&lt;/FQL&gt;&lt;FQL&gt;&lt;Q&gt;OTEX-US^FE_VALUATION(EBITDA_MARGIN,MEAN,ANN_ROLL,0,NOW,,,'')&lt;/Q&gt;&lt;R&gt;1&lt;/R&gt;&lt;C&gt;1&lt;/C&gt;&lt;D xsi:type="xsd:double"&gt;34.526417&lt;/D&gt;&lt;/FQL&gt;&lt;FQL&gt;&lt;Q&gt;OTEX-US^FE_VALUATION(ROIC,MEAN,NTMA,,0,,,'')&lt;/Q&gt;&lt;R&gt;1&lt;/R&gt;&lt;C&gt;1&lt;/C&gt;&lt;D xsi:type="xsd:double"&gt;10.977298&lt;/D&gt;&lt;/FQL&gt;&lt;FQL&gt;&lt;Q&gt;OTEX-US^FE_VALUATION(ROE,MEAN,NTMA,,0,,,'')&lt;/Q&gt;&lt;R&gt;1&lt;/R&gt;&lt;C&gt;1&lt;/C&gt;&lt;D xsi:type="xsd:double"&gt;24.987926&lt;/D&gt;&lt;/FQL&gt;&lt;FQL&gt;&lt;Q&gt;OTEX-US^FE_VALUATION(DIV_YLD,MEAN,NTMA,,NOW,,,'')&lt;/Q&gt;&lt;R&gt;1&lt;/R&gt;&lt;C&gt;1&lt;/C&gt;&lt;D xsi:type="xsd:double"&gt;4.6760635&lt;/D&gt;&lt;/FQL&gt;&lt;FQL&gt;&lt;Q&gt;OTEX-US^FE_VALUATION(MCAP_FCF,MEAN,NTMA,,NOW,,,'')&lt;/Q&gt;&lt;R&gt;1&lt;/R&gt;&lt;C&gt;1&lt;/C&gt;&lt;D xsi:type="xsd:double"&gt;15.858873&lt;/D&gt;&lt;/FQL&gt;&lt;FQL&gt;&lt;Q&gt;OTEX-US^FE_VALUATION(NETDEBT_EBITDA,MEAN,NTMA,,NOW,,,'')&lt;/Q&gt;&lt;R&gt;1&lt;/R&gt;&lt;C&gt;1&lt;/C&gt;&lt;D xsi:type="xsd:double"&gt;2.3992267&lt;/D&gt;&lt;/FQL&gt;&lt;FQL&gt;&lt;Q&gt;OTEX-US^FF_NET_MGN(LTM_R,0)&lt;/Q&gt;&lt;R&gt;1&lt;/R&gt;&lt;C&gt;1&lt;/C&gt;&lt;D xsi:type="xsd:double"&gt;8.42402106194223&lt;/D&gt;&lt;/FQL&gt;&lt;FQL&gt;&lt;Q&gt;OTEX-US^FF_EBITDA_OPER_MGN(LTM_R,0)&lt;/Q&gt;&lt;R&gt;1&lt;/R&gt;&lt;C&gt;1&lt;/C&gt;&lt;D xsi:type="xsd:double"&gt;33.1215607793495&lt;/D&gt;&lt;/FQL&gt;&lt;FQL&gt;&lt;Q&gt;OTEX-US^FF_GROSS_MGN(LTM_R,0)&lt;/Q&gt;&lt;R&gt;1&lt;/R&gt;&lt;C&gt;1&lt;/C&gt;&lt;D xsi:type="xsd:double"&gt;63.9104122556786&lt;/D&gt;&lt;/FQL&gt;&lt;FQL&gt;&lt;Q&gt;OTEX-US^POW(FE_ESTIMATE(EPS,MEAN,STMA,,NOW,,,'CURRENCY=USD')/FE_ESTIMATE(EPS,MEAN,LTMA,,NOW,,,'CURRENCY=USD'),0.5)-1&lt;/Q&gt;&lt;R&gt;1&lt;/R&gt;&lt;C&gt;1&lt;/C&gt;&lt;D xsi:type="xsd:double"&gt;0.11614461428616&lt;/D&gt;&lt;/FQL&gt;&lt;FQL&gt;&lt;Q&gt;OTEX-US^POW(FE_ESTIMATE(SALES,MEAN,STMA,,NOW,,,'CURRENCY=USD')/FE_ESTIMATE(SALES,MEAN,LTMA,,NOW,,,'CURRENCY=USD'),0.5)-1&lt;/Q&gt;&lt;R&gt;1&lt;/R&gt;&lt;C&gt;1&lt;/C&gt;&lt;D xsi:type="xsd:double"&gt;0.0108424209539291&lt;/D&gt;&lt;/FQL&gt;&lt;FQL&gt;&lt;Q&gt;OTEX-US^FE_ACTUAL(ACTUAL,EPS,ANN_ROLL,0,,,,'CURRENCY=USD')&lt;/Q&gt;&lt;R&gt;1&lt;/R&gt;&lt;C&gt;1&lt;/C&gt;&lt;D xsi:type="xsd:double"&gt;3.82&lt;/D&gt;&lt;/FQL&gt;&lt;FQL&gt;&lt;Q&gt;OTEX-US^OS_SEC_FLT_PCT(0D,,MTD,SEC)&lt;/Q&gt;&lt;R&gt;1&lt;/R&gt;&lt;C&gt;1&lt;/C&gt;&lt;D xsi:type="xsd:double"&gt;98.0329&lt;/D&gt;&lt;/FQL&gt;&lt;FQL&gt;&lt;Q&gt;OTEX-US^AVG(P_VOLUME_FRQ(-1AM,NOW,D,,6))*P_PRICE_AVG(-1AM,NOW,,USD)&lt;/Q&gt;&lt;R&gt;1&lt;/R&gt;&lt;C&gt;1&lt;/C&gt;&lt;D xsi:type="xsd:double"&gt;69.3293997997437&lt;/D&gt;&lt;/FQL&gt;&lt;FQL&gt;&lt;Q&gt;OTEX-US^FCS_EV_DAILY(MV,NOW,,,USD,M)&lt;/Q&gt;&lt;R&gt;1&lt;/R&gt;&lt;C&gt;1&lt;/C&gt;&lt;D xsi:type="xsd:double"&gt;6160.52583210286&lt;/D&gt;&lt;/FQL&gt;&lt;FQL&gt;&lt;Q&gt;OTEX-US^P_DCOUNTRY&lt;/Q&gt;&lt;R&gt;1&lt;/R&gt;&lt;C&gt;1&lt;/C&gt;&lt;D xsi:type="xsd:string"&gt;CANADA&lt;/D&gt;&lt;/FQL&gt;&lt;FQL&gt;&lt;Q&gt;OTEX-US^FR_RBICS_NAME_CURR("IND")&lt;/Q&gt;&lt;R&gt;1&lt;/R&gt;&lt;C&gt;1&lt;/C&gt;&lt;D xsi:type="xsd:string"&gt;General Enterprise Management Software&lt;/D&gt;&lt;/FQL&gt;&lt;FQL&gt;&lt;Q&gt;CCC-US^FE_RATING(MEAN,TEXTONLY,0,NOW,,,'')&lt;/Q&gt;&lt;R&gt;1&lt;/R&gt;&lt;C&gt;1&lt;/C&gt;&lt;D xsi:type="xsd:string"&gt;Overweight&lt;/D&gt;&lt;/FQL&gt;&lt;FQL&gt;&lt;Q&gt;CCC-US^FG_PRICE(0,,,USD)/FG_PRICE_MAVG(0,,,USD,200)&lt;/Q&gt;&lt;R&gt;1&lt;/R&gt;&lt;C&gt;1&lt;/C&gt;&lt;D xsi:type="xsd:double"&gt;0.590552329822309&lt;/D&gt;&lt;/FQL&gt;&lt;FQL&gt;&lt;Q&gt;CCC-US^FG_PRICE(0,,,USD)/FG_PRICE_MAVG(0,,,USD,100)&lt;/Q&gt;&lt;R&gt;1&lt;/R&gt;&lt;C&gt;1&lt;/C&gt;&lt;D xsi:type="xsd:dou</t>
        </r>
      </text>
    </comment>
    <comment ref="A5" authorId="0" shapeId="0" xr:uid="{3EEBB9ED-EF8A-44C3-853D-8FBC7D1562C7}">
      <text>
        <r>
          <rPr>
            <b/>
            <sz val="9"/>
            <color indexed="81"/>
            <rFont val="Tahoma"/>
            <charset val="1"/>
          </rPr>
          <t>ble"&gt;0.656989275234361&lt;/D&gt;&lt;/FQL&gt;&lt;FQL&gt;&lt;Q&gt;CCC-US^FG_PRICE(0,,,USD)/FG_PRICE_MAVG(0,,,USD,50)&lt;/Q&gt;&lt;R&gt;1&lt;/R&gt;&lt;C&gt;1&lt;/C&gt;&lt;D xsi:type="xsd:double"&gt;0.703051186572556&lt;/D&gt;&lt;/FQL&gt;&lt;FQL&gt;&lt;Q&gt;CCC-US^RTP_PRICE_TARGET(USD)/FG_PRICE(0,,,USD)&lt;/Q&gt;&lt;R&gt;1&lt;/R&gt;&lt;C&gt;1&lt;/C&gt;&lt;D xsi:type="xsd:double"&gt;1.99148675889328&lt;/D&gt;&lt;/FQL&gt;&lt;FQL&gt;&lt;Q&gt;CCC-US^FG_PRICE(0,,,USD)/P_PRICE_HIGH(-1AY,0,USD,,,"PRICE","INTRA")&lt;/Q&gt;&lt;R&gt;1&lt;/R&gt;&lt;C&gt;1&lt;/C&gt;&lt;D xsi:type="xsd:double"&gt;0.468952734012975&lt;/D&gt;&lt;/FQL&gt;&lt;FQL&gt;&lt;Q&gt;CCC-US^PERCENT_CHANGE(FE_VALUATION(FFEV_EBITDA,MEAN,NTMA,,0,,,''),MAX(FE_VALUATION(FFEV_EBITDA,MEAN,NTMA,,-1AY,0,,'')))&lt;/Q&gt;&lt;R&gt;1&lt;/R&gt;&lt;C&gt;1&lt;/C&gt;&lt;D xsi:type="xsd:double"&gt;-48.1636422677949&lt;/D&gt;&lt;/FQL&gt;&lt;FQL&gt;&lt;Q&gt;CCC-US^PERCENT_CHANGE(FE_VALUATION(PE,MEAN,NTMA,,0,,,''),MAX(FE_VALUATION(PE,MEAN,NTMA,,-1AY,0,,'')))&lt;/Q&gt;&lt;R&gt;1&lt;/R&gt;&lt;C&gt;1&lt;/C&gt;&lt;D xsi:type="xsd:double"&gt;-57.7506757798302&lt;/D&gt;&lt;/FQL&gt;&lt;FQL&gt;&lt;Q&gt;CCC-US^FE_VALUATION(FFEV_EBITDA,MEAN,NTMA,,0,,,'')&lt;/Q&gt;&lt;R&gt;1&lt;/R&gt;&lt;C&gt;1&lt;/C&gt;&lt;D xsi:type="xsd:double"&gt;8.784424&lt;/D&gt;&lt;/FQL&gt;&lt;FQL&gt;&lt;Q&gt;CCC-US^FE_VALUATION(FFEV_SALES,MEAN,NTMA,,0,,,'')&lt;/Q&gt;&lt;R&gt;1&lt;/R&gt;&lt;C&gt;1&lt;/C&gt;&lt;D xsi:type="xsd:double"&gt;3.593747&lt;/D&gt;&lt;/FQL&gt;&lt;FQL&gt;&lt;Q&gt;CCC-US^FE_VALUATION(P_SALESPS,MEAN,NTMA,,0,,,'')&lt;/Q&gt;&lt;R&gt;1&lt;/R&gt;&lt;C&gt;1&lt;/C&gt;&lt;D xsi:type="xsd:double"&gt;2.78138&lt;/D&gt;&lt;/FQL&gt;&lt;FQL&gt;&lt;Q&gt;CCC-US^FE_VALUATION(PE,MEAN,NTMA,,0,,,'')&lt;/Q&gt;&lt;R&gt;1&lt;/R&gt;&lt;C&gt;1&lt;/C&gt;&lt;D xsi:type="xsd:double"&gt;11.867738&lt;/D&gt;&lt;/FQL&gt;&lt;FQL&gt;&lt;Q&gt;CCC-US^FE_ACTUAL(ACTUAL,SALES,ANN_ROLL,0,,,,'CURRENCY=USD')&lt;/Q&gt;&lt;R&gt;1&lt;/R&gt;&lt;C&gt;1&lt;/C&gt;&lt;D xsi:type="xsd:double"&gt;1057.001&lt;/D&gt;&lt;/FQL&gt;&lt;FQL&gt;&lt;Q&gt;CCC-US^FE_ACTUAL(ACTUAL,SALES,ANN_ROLL,-1,,,,'CURRENCY=USD')&lt;/Q&gt;&lt;R&gt;1&lt;/R&gt;&lt;C&gt;1&lt;/C&gt;&lt;D xsi:type="xsd:double"&gt;944.8&lt;/D&gt;&lt;/FQL&gt;&lt;FQL&gt;&lt;Q&gt;CCC-US^FE_VALUATION(EBITDA_MARGIN,MEAN,ANN_ROLL,0,NOW,,,'')&lt;/Q&gt;&lt;R&gt;1&lt;/R&gt;&lt;C&gt;1&lt;/C&gt;&lt;D xsi:type="xsd:double"&gt;41.25285&lt;/D&gt;&lt;/FQL&gt;&lt;FQL&gt;&lt;Q&gt;CCC-US^FE_VALUATION(ROIC,MEAN,NTMA,,0,,,'')&lt;/Q&gt;&lt;R&gt;1&lt;/R&gt;&lt;C&gt;1&lt;/C&gt;&lt;D xsi:type="xsd:double"&gt;8.550394&lt;/D&gt;&lt;/FQL&gt;&lt;FQL&gt;&lt;Q&gt;CCC-US^FE_VALUATION(ROE,MEAN,NTMA,,0,,,'')&lt;/Q&gt;&lt;R&gt;1&lt;/R&gt;&lt;C&gt;1&lt;/C&gt;&lt;D xsi:type="xsd:double"&gt;11.949419&lt;/D&gt;&lt;/FQL&gt;&lt;FQL&gt;&lt;Q&gt;CCC-US^FE_VALUATION(DIV_YLD,MEAN,NTMA,,NOW,,,'')&lt;/Q&gt;&lt;R&gt;1&lt;/R&gt;&lt;C&gt;1&lt;/C&gt;&lt;D xsi:type="xsd:double"&gt;0&lt;/D&gt;&lt;/FQL&gt;&lt;FQL&gt;&lt;Q&gt;CCC-US^FE_VALUATION(MCAP_FCF,MEAN,NTMA,,NOW,,,'')&lt;/Q&gt;&lt;R&gt;1&lt;/R&gt;&lt;C&gt;1&lt;/C&gt;&lt;D xsi:type="xsd:double"&gt;9.499563&lt;/D&gt;&lt;/FQL&gt;&lt;FQL&gt;&lt;Q&gt;CCC-US^FE_VALUATION(NETDEBT_EBITDA,MEAN,NTMA,,NOW,,,'')&lt;/Q&gt;&lt;R&gt;1&lt;/R&gt;&lt;C&gt;1&lt;/C&gt;&lt;D xsi:type="xsd:double"&gt;1.9205762&lt;/D&gt;&lt;/FQL&gt;&lt;FQL&gt;&lt;Q&gt;CCC-US^FF_NET_MGN(LTM_R,0)&lt;/Q&gt;&lt;R&gt;1&lt;/R&gt;&lt;C&gt;1&lt;/C&gt;&lt;D xsi:type="xsd:double"&gt;-0.278861154446178&lt;/D&gt;&lt;/FQL&gt;&lt;FQL&gt;&lt;Q&gt;CCC-US^FF_EBITDA_OPER_MGN(LTM_R,0)&lt;/Q&gt;&lt;R&gt;1&lt;/R&gt;&lt;C&gt;1&lt;/C&gt;&lt;D xsi:type="xsd:double"&gt;22.0461193447738&lt;/D&gt;&lt;/FQL&gt;&lt;FQL&gt;&lt;Q&gt;CCC-US^FF_GROSS_MGN(LTM_R,0)&lt;/Q&gt;&lt;R&gt;1&lt;/R&gt;&lt;C&gt;1&lt;/C&gt;&lt;D xsi:type="xsd:double"&gt;66.2359594383775&lt;/D&gt;&lt;/FQL&gt;&lt;FQL&gt;&lt;Q&gt;CCC-US^POW(FE_ESTIMATE(EPS,MEAN,STMA,,NOW,,,'CURRENCY=USD')/FE_ESTIMATE(EPS,MEAN,LTMA,,NOW,,,'CURRENCY=USD'),0.5)-1&lt;/Q&gt;&lt;R&gt;1&lt;/R&gt;&lt;C&gt;1&lt;/C&gt;&lt;D xsi:type="xsd:double"&gt;0.146813411152834&lt;/D&gt;&lt;/FQL&gt;&lt;FQL&gt;&lt;Q&gt;CCC-US^POW(FE_ESTIMATE(SALES,MEAN,STMA,,NOW,,,'CURRENCY=USD')/FE_ESTIMATE(SALES,MEAN,LTMA,,NOW,,,'CURRENCY=USD'),0.5)-1&lt;/Q&gt;&lt;R&gt;1&lt;/R&gt;&lt;C&gt;1&lt;/C&gt;&lt;D xsi:type="xsd:double"&gt;0.0899055463662894&lt;/D&gt;&lt;/FQL&gt;&lt;FQL&gt;&lt;Q&gt;CCC-US^FE_ACTUAL(ACTUAL,EPS,ANN_ROLL,0,,,,'CURRENCY=USD')&lt;/Q&gt;&lt;R&gt;1&lt;/R&gt;&lt;C&gt;1&lt;/C&gt;&lt;D xsi:type="xsd:double"&gt;0.36&lt;/D&gt;&lt;/FQL&gt;&lt;FQL&gt;&lt;Q&gt;CCC-US^OS_SEC_FLT_PCT(0D,,MTD,SEC)&lt;/Q&gt;&lt;R&gt;1&lt;/R&gt;&lt;C&gt;1&lt;/C&gt;&lt;D xsi:type="xsd:double"&gt;94.0238&lt;/D&gt;&lt;/FQL&gt;&lt;FQL&gt;&lt;Q&gt;CCC-US^AVG(P_VOLUME_FRQ(-1AM,NOW,D,,6))*P_PRICE_AVG(-1AM,NOW,,USD)&lt;/Q&gt;&lt;R&gt;1&lt;/R&gt;&lt;C&gt;1&lt;/C&gt;&lt;D xsi:type="xsd:double"&gt;93.8786207696395&lt;/D&gt;&lt;/FQL&gt;&lt;FQL&gt;&lt;Q&gt;CCC-US^FCS_EV_DAILY(MV,NOW,,,USD,M)&lt;/Q&gt;&lt;R&gt;1&lt;/R&gt;&lt;C&gt;1&lt;/C&gt;&lt;D xsi:type="xsd:double"&gt;3422.77594649&lt;/D&gt;&lt;/FQL&gt;&lt;FQL&gt;&lt;Q&gt;CCC-US^P_DCOUNTRY&lt;/Q&gt;&lt;R&gt;1&lt;/R&gt;&lt;C&gt;1&lt;/C&gt;&lt;D xsi:type="xsd:string"&gt;UNITED STATES&lt;/D&gt;&lt;/FQL&gt;&lt;FQL&gt;&lt;Q&gt;CCC-US^FR_RBICS_NAME_CURR("IND")&lt;/Q&gt;&lt;R&gt;1&lt;/R&gt;&lt;C&gt;1&lt;/C&gt;&lt;D xsi:type="xsd:string"&gt;Finance Industry Software&lt;/D&gt;&lt;/FQL&gt;&lt;FQL&gt;&lt;Q&gt;ORCL-US^FE_RATING(MEAN,TEXTONLY,0,NOW,,,'')&lt;/Q&gt;&lt;R&gt;1&lt;/R&gt;&lt;C&gt;1&lt;/C&gt;&lt;D xsi:type="xsd:string"&gt;Overweight&lt;/D&gt;&lt;/FQL&gt;&lt;FQL&gt;&lt;Q&gt;ORCL-US^FG_PRICE(0,,,USD)/FG_PRICE_MAVG(0,,,USD,200)&lt;/Q&gt;&lt;R&gt;1&lt;/R&gt;&lt;C&gt;1&lt;/C&gt;&lt;D xsi:type="xsd:double"&gt;0.662173036770676&lt;/D&gt;&lt;/FQL&gt;&lt;FQL&gt;&lt;Q&gt;ORCL-US^FG_PRICE(0,,,USD)/FG_PRICE_MAVG(0,,,USD,100)&lt;/Q&gt;&lt;R&gt;1&lt;/R&gt;&lt;C&gt;1&lt;/C&gt;&lt;D xsi:type="xsd:double"&gt;0.683250634790988&lt;/D&gt;&lt;/FQL&gt;&lt;FQL&gt;&lt;Q&gt;ORCL-US^FG_PRICE(0,,,USD)/FG_PRICE_MAVG(0,,,USD,50)&lt;/Q&gt;&lt;R&gt;1&lt;/R&gt;&lt;C&gt;1&lt;/C&gt;&lt;D xsi:type="xsd:double"&gt;0.826567814872338&lt;/D&gt;&lt;/FQL&gt;&lt;FQL&gt;&lt;Q&gt;ORCL-US^RTP_PRICE_TARGET(USD)/FG_PRICE(0,,,USD)&lt;/Q&gt;&lt;R&gt;1&lt;/R&gt;&lt;C&gt;1&lt;/C&gt;&lt;D xsi:type="xsd:double"&gt;1.87491446558095&lt;/D&gt;&lt;/FQL&gt;&lt;FQL&gt;&lt;Q&gt;ORCL-US^FG_PRICE(0,,,USD)/P_PRICE_HIGH(-1AY,0,USD,,,"PRICE","INTRA")&lt;/Q&gt;&lt;R&gt;1&lt;/R&gt;&lt;C&gt;1&lt;/C&gt;&lt;D xsi:type="xsd:double"&gt;0.422712021288904&lt;/D&gt;&lt;/FQL&gt;&lt;FQL&gt;&lt;Q&gt;ORCL-US^PERCENT_CHANGE(FE_VALUATION(FFEV_EBITDA,MEAN,NTMA,,0,,,''),MAX(FE_VALUATION(FFEV_EBITDA,MEAN,NTMA,,-1AY,0,,'')))&lt;/Q&gt;&lt;R&gt;1&lt;/R&gt;&lt;C&gt;1&lt;/C&gt;&lt;D xsi:type="xsd:double"&gt;-56.6557981339003&lt;/D&gt;&lt;/FQL&gt;&lt;FQL&gt;&lt;Q&gt;ORCL-US^PERCENT_CHANGE(FE_VALUATION(PE,MEAN,NTMA,,0,,,''),MAX(FE_VALUATION(PE,MEAN,NTMA,,-1AY,0,,'')))&lt;/Q&gt;&lt;R&gt;1&lt;/R&gt;&lt;C&gt;1&lt;/C&gt;&lt;D xsi:type="xsd:double"&gt;-58.8083374495974&lt;/D&gt;&lt;/FQL&gt;&lt;FQL&gt;&lt;Q&gt;ORCL-US^FE_VALUATION(FFEV_EBITDA,MEAN,NTMA,,0,,,'')&lt;/Q&gt;&lt;R&gt;1&lt;/R&gt;&lt;C&gt;1&lt;/C&gt;&lt;D xsi:type="xsd:double"&gt;11.864435&lt;/D&gt;&lt;/FQL&gt;&lt;FQL&gt;&lt;Q&gt;ORCL-US^FE_VALUATION(FFEV_SALES,MEAN,NTMA,,0,,,'')&lt;/Q&gt;&lt;R&gt;1&lt;/R&gt;&lt;C&gt;1&lt;/C&gt;&lt;D xsi:type="xsd:double"&gt;6.6221447&lt;/D&gt;&lt;/FQL&gt;&lt;FQL&gt;&lt;Q&gt;ORCL-US^FE_VALUATION(P_SALESPS,MEAN,NTMA,,0,,,'')&lt;/Q&gt;&lt;R&gt;1&lt;/R&gt;&lt;C&gt;1&lt;/C&gt;&lt;D xsi:type="xsd:double"&gt;5.1556573&lt;/D&gt;&lt;/FQL&gt;&lt;FQL&gt;&lt;Q&gt;ORCL-US^FE_VALUATION(PE,MEAN,NTMA,,0,,,'')&lt;/Q&gt;&lt;R&gt;1&lt;/R&gt;&lt;C&gt;1&lt;/C&gt;&lt;D xsi:type="xsd:double"&gt;18.834103&lt;/D&gt;&lt;/FQL&gt;&lt;FQL&gt;&lt;Q&gt;ORCL-US^FE_ACTUAL(ACTUAL,SALES,ANN_ROLL,0,,,,'CURRENCY=USD')&lt;/Q&gt;&lt;R&gt;1&lt;/R&gt;&lt;C&gt;1&lt;/C&gt;&lt;D xsi:type="xsd:double"&gt;57399&lt;/D&gt;&lt;/FQL&gt;&lt;FQL&gt;&lt;Q&gt;ORCL-US^FE_ACTUAL(ACTUAL,SALES,ANN_ROLL,-1,,,,'CURRENCY=USD')&lt;/Q&gt;&lt;R&gt;1&lt;/R&gt;&lt;C&gt;1&lt;/C&gt;&lt;D xsi:type="xsd:double"&gt;52961&lt;/D&gt;&lt;/FQL&gt;&lt;FQL&gt;&lt;Q&gt;ORCL-US^FE_VALUATION(EBITDA_MARGIN,MEAN,ANN_ROLL,0,NOW,,,'')&lt;/Q&gt;&lt;R&gt;1&lt;/R&gt;&lt;C&gt;1&lt;/C&gt;&lt;D xsi:type="xsd:double"&gt;54.36985&lt;/D&gt;&lt;/FQL&gt;&lt;FQL&gt;&lt;Q&gt;ORCL-US^FE_VALUATION(ROIC,MEAN,NTMA,,0,,,'')&lt;/Q&gt;&lt;R&gt;1&lt;/R&gt;&lt;C&gt;1&lt;/C&gt;&lt;D xsi:type="xsd:double"&gt;12.478416&lt;/D&gt;&lt;/FQL&gt;&lt;FQL&gt;&lt;Q&gt;ORCL-US^FE_VALUATION(ROE,MEAN,NTMA,,0,,,'')&lt;/Q&gt;&lt;R&gt;1&lt;/R&gt;&lt;C&gt;1&lt;/C&gt;&lt;D xsi:type="xsd:double"&gt;46.341026&lt;/D&gt;&lt;/FQL&gt;&lt;FQL&gt;&lt;Q&gt;ORCL-US^FE_VALUATION(DIV_YLD,MEAN,NTMA,,NOW,,,'')&lt;/Q&gt;&lt;R&gt;1&lt;/R&gt;&lt;C&gt;1&lt;/C&gt;&lt;D xsi:type="xsd:double"&gt;1.2614917&lt;/D&gt;&lt;/FQL&gt;&lt;FQL&gt;&lt;Q&gt;ORCL-US^FE_VALUATION(MCAP_FCF,MEAN,NTMA,,NOW,,,'')&lt;/Q&gt;&lt;R&gt;1&lt;/R&gt;&lt;C&gt;1&lt;/C&gt;&lt;D xsi:type="xsd:double"&gt;-6.1927567&lt;/D&gt;&lt;/FQL&gt;&lt;FQL&gt;&lt;Q&gt;ORCL-US^FE_VALUATION(NETDEBT_EBITDA,MEAN,NTMA,,NOW,,,'')&lt;/Q&gt;&lt;R&gt;1&lt;/R&gt;&lt;C&gt;1&lt;/C&gt;&lt;D xsi:type="xsd:double"&gt;3.0681796&lt;/D&gt;&lt;/FQL&gt;&lt;FQL&gt;&lt;Q&gt;ORCL-US^FF_NET_MGN(LTM_R,0)&lt;/Q&gt;&lt;R&gt;1&lt;/R&gt;&lt;C&gt;1&lt;/C&gt;&lt;D xsi:type="xsd:double"&gt;25.2798400445777&lt;/D&gt;&lt;/FQL&gt;&lt;FQL&gt;&lt;Q&gt;ORCL-US^FF_EBITDA_OPER_MGN(LTM_R,0)&lt;/Q&gt;&lt;R&gt;1&lt;/R&gt;&lt;C&gt;1&lt;/C&gt;&lt;D xsi:type="xsd:double"&gt;43.627185866234&lt;/D&gt;&lt;/FQL&gt;&lt;FQL&gt;&lt;Q&gt;ORCL-US^FF_GROSS_MGN(LTM_R,0)&lt;/Q&gt;&lt;R&gt;1&lt;/R&gt;&lt;C&gt;1&lt;/C&gt;&lt;D xsi:type="xsd:double"&gt;65.3998066112723&lt;/D&gt;&lt;/FQL&gt;&lt;FQL&gt;&lt;Q&gt;ORCL-US^POW(FE_ESTIMATE(EPS,MEAN,STMA,,NOW,,,'CURRENCY=USD')/FE_ESTIMATE(EPS,MEAN,LTMA,,NOW,,,'CURRENCY=USD'),0.5)-1&lt;/Q&gt;&lt;R&gt;1&lt;/R&gt;&lt;C&gt;1&lt;/C&gt;&lt;D xsi:type="xsd:double"&gt;0.185451981313457&lt;/D&gt;&lt;/FQL&gt;&lt;FQL&gt;&lt;Q&gt;ORCL-US^POW(FE_ESTIMATE(SALES,MEAN,STMA,,NOW,,,'CURRENCY=USD')/FE_ESTIMATE(SALES,MEAN,LTMA,,NOW,,,'CURRENCY=USD'),0.5)-1&lt;/Q&gt;&lt;R&gt;1&lt;/R&gt;&lt;C&gt;1&lt;/C&gt;&lt;D xsi:type="xsd:double"&gt;0.347771234297572&lt;/D&gt;&lt;/FQL&gt;&lt;FQL&gt;&lt;Q&gt;ORCL-US^FE_ACTUAL(ACTUAL,EPS,ANN_ROLL,0,,,,'CURRENCY=USD')&lt;/Q&gt;&lt;R&gt;1&lt;/R&gt;&lt;C&gt;1&lt;/C&gt;&lt;D xsi:type="xsd:double"&gt;6.03&lt;/D&gt;&lt;/FQL&gt;&lt;FQL&gt;&lt;Q&gt;ORCL-US^OS_SEC_FLT_PCT(0D,,MTD,SEC)&lt;/Q&gt;&lt;R&gt;1&lt;/R&gt;&lt;C&gt;1&lt;/C&gt;&lt;D xsi:type="xsd:double"&gt;59.4426&lt;/D&gt;&lt;/FQL&gt;&lt;FQL&gt;&lt;Q&gt;ORCL-US^AVG(P_VOLUME_FRQ(-1AM,NOW,D,,6))*P_PRICE_AVG(-1AM,NOW,,USD)&lt;/Q&gt;&lt;R&gt;1&lt;/R&gt;&lt;C&gt;1&lt;/C&gt;&lt;D xsi:type="xsd:double"&gt;4560.8614900847&lt;/D&gt;&lt;/FQL&gt;&lt;FQL&gt;&lt;Q&gt;ORCL-US^FCS_EV_DAILY(MV,NOW,,,USD,M)&lt;/Q&gt;&lt;R&gt;1&lt;/R&gt;&lt;C&gt;1&lt;/C&gt;&lt;D xsi:type="xsd:double"&gt;442556.11874&lt;/D&gt;&lt;/FQL&gt;&lt;FQL&gt;&lt;Q&gt;ORCL-US^P_DCOUNTRY&lt;/Q&gt;&lt;R&gt;1&lt;/R&gt;&lt;C&gt;1&lt;/C&gt;&lt;D xsi:type="xsd:string"&gt;UNITED STATES&lt;/D&gt;&lt;/FQL&gt;&lt;FQL&gt;&lt;Q&gt;ORCL-US^FR_RBICS_NAME_CURR("IND")&lt;/Q&gt;&lt;R&gt;1&lt;/R&gt;&lt;C&gt;1&lt;/C&gt;&lt;D xsi:type="xsd:string"&gt;Diversified Hosting Services&lt;/D&gt;&lt;/FQL&gt;&lt;FQL&gt;&lt;Q&gt;CRWD-US^FE_RATING(MEAN,TEXTONLY,0,NOW,,,'')&lt;/Q&gt;&lt;R&gt;1&lt;/R&gt;&lt;C&gt;1&lt;/C&gt;&lt;D xsi:type="xsd:string"&gt;Overweight&lt;/D&gt;&lt;/FQL&gt;&lt;FQL&gt;&lt;Q&gt;CRWD-US^FG_PRICE(0,,,USD)/FG_PRICE_MAVG(0,,,USD,200)&lt;/Q&gt;&lt;R&gt;1&lt;/R&gt;&lt;C&gt;1&lt;/C&gt;&lt;D xsi:type="xsd:double"&gt;0.744402475943207&lt;/D&gt;&lt;/FQL&gt;&lt;FQL&gt;&lt;Q&gt;CRWD-US^FG_PRICE(0,,,USD)/FG_PRICE_MAVG(0,,,USD,100)&lt;/Q&gt;&lt;R&gt;1&lt;/R&gt;&lt;C&gt;1&lt;/C&gt;&lt;D xsi:type="xsd:double"&gt;0.726057063421007&lt;/D&gt;&lt;/FQL&gt;&lt;FQL&gt;&lt;Q&gt;CRWD-US^FG_PRICE(0,,,USD)/FG_PRICE_MAVG(0,,,USD,50)&lt;/Q&gt;&lt;R&gt;1&lt;/R&gt;&lt;C&gt;1&lt;/C&gt;&lt;D xsi:type="xsd:double"&gt;0.781199118901071&lt;/D&gt;&lt;/FQL&gt;&lt;FQL&gt;&lt;Q&gt;CRWD-US^RTP_PRICE_TARGET(USD)/FG_PRICE(0,,,USD)&lt;/Q&gt;&lt;R&gt;1&lt;/R&gt;&lt;C&gt;1&lt;/C&gt;&lt;D xsi:type="xsd:double"&gt;1.53103340471092&lt;/D&gt;&lt;/FQL&gt;&lt;FQL&gt;&lt;Q&gt;CRWD-US^FG_PRICE(0,,,USD)/P_PRICE_HIGH(-1AY,0,USD,,,"PRICE","INTRA")&lt;/Q&gt;&lt;R&gt;1&lt;/R&gt;&lt;C&gt;1&lt;/C&gt;&lt;D xsi:type="xsd:double"&gt;0.617833833127536&lt;/D&gt;&lt;/FQL&gt;&lt;FQL&gt;&lt;Q&gt;CRWD-US^PERCENT_CHANGE(FE_VALUATION(FFEV_EBITDA,MEAN,NTMA,,0,,,''),MAX(FE_VALUATION(FFEV_EBITDA,MEAN,NTMA,,-1AY,0,,'')))&lt;/Q&gt;&lt;R&gt;1&lt;/R&gt;&lt;C&gt;1&lt;/C&gt;&lt;D xsi:type="xsd:double"&gt;-42.4994912772438&lt;/D&gt;&lt;/FQL&gt;&lt;FQL&gt;&lt;Q&gt;CRWD-US^PERCENT_CHANGE(FE_VALUATION(PE,MEAN,NTMA,,0,,,''),MAX(FE_VALUATION(PE,MEAN,NTMA,,-1AY,0,,'')))&lt;/Q&gt;&lt;R&gt;1&lt;/R&gt;&lt;C&gt;1&lt;/C&gt;&lt;D xsi:type="xsd:double"&gt;-44.1133666918771&lt;/D&gt;&lt;/FQL&gt;&lt;FQL&gt;&lt;Q&gt;CRWD-US^FE_VALUATION(FFEV_EBITDA,MEAN,NTMA,,0,,,'')&lt;/Q&gt;&lt;R&gt;1&lt;/R&gt;&lt;C&gt;1&lt;/C&gt;&lt;D xsi:type="xsd:double"&gt;50.80661&lt;/D&gt;&lt;/FQL&gt;&lt;FQL&gt;&lt;Q&gt;CRWD-US^FE_VALUATION(FFEV_SALES,MEAN,NTMA,,0,,,'')&lt;/Q&gt;&lt;R&gt;1&lt;/R&gt;&lt;C&gt;1&lt;/C&gt;&lt;D xsi:type="xsd:double"&gt;14.146121&lt;/D&gt;&lt;/FQL&gt;&lt;FQL&gt;&lt;Q&gt;CRWD-US^FE_VALUATION(P_SALESPS,MEAN,NTMA,,0,,,'')&lt;/Q&gt;&lt;R&gt;1&lt;/R&gt;&lt;C&gt;1&lt;/C&gt;&lt;D xsi:type="xsd:double"&gt;14.85456&lt;/D&gt;&lt;/FQL&gt;&lt;FQL&gt;&lt;Q&gt;CRWD-US^FE_VALUATION(PE,MEAN,NTMA,,0,,,'')&lt;/Q&gt;&lt;R&gt;1&lt;/R&gt;&lt;C&gt;1&lt;/C&gt;&lt;D xsi:type="xsd:double"&gt;71.58805&lt;/D&gt;&lt;/FQL&gt;&lt;FQL&gt;&lt;Q&gt;CRWD-US^FE_ACTUAL(ACTUAL,SALES,ANN_ROLL,0,,,,'CURRENCY=USD')&lt;/Q&gt;&lt;R&gt;1&lt;/R&gt;&lt;C&gt;1&lt;/C&gt;&lt;D xsi:type="xsd:double"&gt;3953.624&lt;/D&gt;&lt;/FQL&gt;&lt;FQL&gt;&lt;Q&gt;CRWD-US^FE_ACTUAL(ACTUAL,SALES,ANN_ROLL,-1,,,,'CURRENCY=USD')&lt;/Q&gt;&lt;R&gt;1&lt;/R&gt;&lt;C&gt;1&lt;/C&gt;&lt;D xsi:type="xsd:double"&gt;3055.555&lt;/D&gt;&lt;/FQL&gt;&lt;FQL&gt;&lt;Q&gt;CRWD-US^FE_VALUATION(EBITDA_MARGIN,MEAN,ANN_ROLL,0,NOW,,,'')&lt;/Q&gt;&lt;R&gt;1&lt;/R&gt;&lt;C&gt;1&lt;/C&gt;&lt;D xsi:type="xsd:double"&gt;25.313347&lt;/D&gt;&lt;/FQL&gt;&lt;FQL&gt;&lt;Q&gt;CRWD-US^FE_VALUATION(ROIC,MEAN,NTMA,,0,,,'')&lt;/Q&gt;&lt;R&gt;1&lt;/R&gt;&lt;C&gt;1&lt;/C&gt;&lt;D xsi:type="xsd:double"&gt;19.056513&lt;/D&gt;&lt;/FQL&gt;&lt;FQL&gt;&lt;Q&gt;CRWD-US^FE_VALUATION(ROE,MEAN,NTMA,,0,,,'')&lt;/Q&gt;&lt;R&gt;1&lt;/R&gt;&lt;C&gt;1&lt;/C&gt;&lt;D xsi:type="xsd:double"&gt;21.459892&lt;/D&gt;&lt;/FQL&gt;&lt;FQL&gt;&lt;Q&gt;CRWD-US^FE_VALUATION(DIV_YLD,MEAN,NTMA,,NOW,,,'')&lt;/Q&gt;&lt;R&gt;1&lt;/R&gt;&lt;C&gt;1&lt;/C&gt;&lt;D xsi:type="xsd:double"&gt;0&lt;/D&gt;&lt;/FQL&gt;&lt;FQL&gt;&lt;Q&gt;CRWD-US^FE_VALUATION(MCAP_FCF,MEAN,NTMA,,NOW,,,'')&lt;/Q&gt;&lt;R&gt;1&lt;/R&gt;&lt;C&gt;1&lt;/C&gt;&lt;D xsi:type="xsd:double"&gt;2.0751436&lt;/D&gt;&lt;/FQL&gt;&lt;FQL&gt;&lt;Q&gt;CRWD-US^FE_VALUATION(NETDEBT_EBITDA,MEAN,NTMA,,NOW,,,'')&lt;/Q&gt;&lt;R&gt;1&lt;/R&gt;&lt;C&gt;1&lt;/C&gt;&lt;D xsi:type="xsd:double"&gt;-3.7040472&lt;/D&gt;&lt;/FQL&gt;&lt;FQL&gt;&lt;Q&gt;CRWD-US^FF_NET_MGN(LTM_R,0)&lt;/Q&gt;&lt;R&gt;1&lt;/R&gt;&lt;C&gt;1&lt;/C&gt;&lt;D xsi:type="xsd:double"&gt;-6.8816963581625&lt;/D&gt;&lt;/FQL&gt;&lt;FQL&gt;&lt;Q&gt;CRWD-US^FF_EBITDA_OPER_MGN(LTM_R,0)&lt;/Q&gt;&lt;R&gt;1&lt;/R&gt;&lt;C&gt;1&lt;/C&gt;&lt;D xsi:type="xsd:double"&gt;0.0420356928814011&lt;/D&gt;&lt;/FQL&gt;&lt;FQL&gt;&lt;Q&gt;CRWD-US^FF_GROSS_MGN(LTM_R,0)&lt;/Q&gt;&lt;R&gt;1&lt;/R&gt;&lt;C&gt;1&lt;/C&gt;&lt;D xsi:type="xsd:double"&gt;74.0981931004511&lt;/D&gt;&lt;/FQL&gt;&lt;FQL&gt;&lt;Q&gt;CRWD-US^POW(FE_ESTIMATE(EPS,MEAN,STMA,,NOW,,,'CURRENCY=USD')/FE_ESTIMATE(EPS,MEAN,LTMA,,NOW,,,'CURRENCY=USD'),0.5)-1&lt;/Q&gt;&lt;R&gt;1&lt;/R&gt;&lt;C&gt;1&lt;/C&gt;&lt;D xsi:type="xsd:double"&gt;0.278969898003858&lt;/D&gt;&lt;/FQL&gt;&lt;FQL&gt;&lt;Q&gt;CRWD-US^POW(FE_ESTIMATE(SALES,MEAN,STMA,,NOW,,,'CURRENCY=USD')/FE_ESTIMATE(SALES,MEAN,LTMA,,NOW,,,'CURRENCY=USD'),0.5)-1&lt;/Q&gt;&lt;R&gt;1&lt;/R&gt;&lt;C&gt;1&lt;/C&gt;&lt;D xsi:type="xsd:double"&gt;0.216019777799687&lt;/D&gt;&lt;/FQL&gt;&lt;FQL&gt;&lt;Q&gt;CRWD-US^FE_ACTUAL(ACTUAL,EPS,ANN_ROLL,0,,,,'CURRENCY=USD')&lt;/Q&gt;&lt;R&gt;1&lt;/R&gt;&lt;C&gt;1&lt;/C&gt;&lt;D xsi:type="xsd:double"&gt;3.93&lt;/D&gt;&lt;/FQL&gt;&lt;FQL&gt;&lt;Q&gt;CRWD-US^OS_SEC_FLT_PCT(0D,,MTD,SEC)&lt;/Q&gt;&lt;R&gt;1&lt;/R&gt;&lt;C&gt;1&lt;/C&gt;&lt;D xsi:type="xsd:double"&gt;96.6739&lt;/D&gt;&lt;/FQL&gt;&lt;FQL&gt;&lt;Q&gt;CRWD-US^AVG(P_VOLUME_FRQ(-1AM,NOW,D,,6))*P_PRICE_AVG(-1AM,NOW,,USD)&lt;/Q&gt;&lt;R&gt;1&lt;/R&gt;&lt;C&gt;1&lt;/C&gt;&lt;D xsi:type="xsd:double"&gt;1694.41576892356&lt;/D&gt;&lt;/FQL&gt;&lt;FQL&gt;&lt;Q&gt;CRWD-US^FCS_EV_DAILY(MV,NOW,,,USD,M)&lt;/Q&gt;&lt;R&gt;1&lt;/R&gt;&lt;C&gt;1&lt;/C&gt;&lt;D xsi:type="xsd:double"&gt;91612.0821&lt;/D&gt;&lt;/FQL&gt;&lt;FQL&gt;&lt;Q&gt;CRWD-US^P_DCOUNTRY&lt;/Q&gt;&lt;R&gt;1&lt;/R&gt;&lt;C&gt;1&lt;/C&gt;&lt;D xsi:type="xsd:string"&gt;UNITED STATES&lt;/D&gt;&lt;/FQL&gt;&lt;FQL&gt;&lt;Q&gt;CRWD-US^FR_RBICS_NAME_CURR("IND")&lt;/Q&gt;&lt;R&gt;1&lt;/R&gt;&lt;C&gt;1&lt;/C&gt;&lt;D xsi:type="xsd:string"&gt;Network Infrastructure Software&lt;/D&gt;&lt;/FQL&gt;&lt;FQL&gt;&lt;Q&gt;BLKB-US^FE_RATING(MEAN,TEXTONLY,0,NOW,,,'')&lt;/Q&gt;&lt;R&gt;1&lt;/R&gt;&lt;C&gt;1&lt;/C&gt;&lt;D xsi:type="xsd:string"&gt;Hold&lt;/D&gt;&lt;/FQL&gt;&lt;FQL&gt;&lt;Q&gt;BLKB-US^FG_PRICE(0,,,USD)/FG_PRICE_MAVG(0,,,USD,200)&lt;/Q&gt;&lt;R&gt;1&lt;/R&gt;&lt;C&gt;1&lt;/C&gt;&lt;D xsi:type="xsd:double"&gt;0.764852740330794&lt;/D&gt;&lt;/FQL&gt;&lt;FQL&gt;&lt;Q&gt;BLKB-US^FG_PRICE(0,,,USD)/FG_PRICE_MAVG(0,,,USD,100)&lt;/Q&gt;&lt;R&gt;1&lt;/R&gt;&lt;C&gt;1&lt;/C&gt;&lt;D xsi:type="xsd:double"&gt;0.801654590622968&lt;/D&gt;&lt;/FQL&gt;&lt;FQL&gt;&lt;Q&gt;BLKB-US^FG_PRICE(0,,,USD)/FG_PRICE_MAVG(0,,,USD,50)&lt;/Q&gt;&lt;R&gt;1&lt;/R&gt;&lt;C&gt;1&lt;/C&gt;&lt;D xsi:type="xsd:double"&gt;0.837960070430535&lt;/D&gt;&lt;/FQL&gt;&lt;FQL&gt;&lt;Q&gt;BLKB-US^RTP_PRICE_TARGET(USD)/FG_PRICE(0,,,USD)&lt;/Q&gt;&lt;R&gt;1&lt;/R&gt;&lt;C&gt;1&lt;/C&gt;&lt;D xsi:type="xsd:double"&gt;1.22855327261173&lt;/D&gt;&lt;/FQL&gt;&lt;FQL&gt;&lt;Q&gt;BLKB-US^FG_PRICE(0,,,USD)/P_PRICE_HIGH(-1AY,0,USD,,,"PRICE","INTRA")&lt;/Q&gt;&lt;R&gt;1&lt;/R&gt;&lt;C&gt;1&lt;/C&gt;&lt;D xsi:type="xsd:double"&gt;0.630475427350427&lt;/D&gt;&lt;/FQL&gt;&lt;FQL&gt;&lt;Q&gt;BLKB-US^PERCENT_CHANGE(FE_VALUATION(FFEV_EBITDA,MEAN,NTMA,,0,,,''),MAX(FE_VALUATION(FFEV_EBITDA,MEAN,NTMA,,-1AY,0,,'')))&lt;/Q&gt;&lt;R&gt;1&lt;/R&gt;&lt;C&gt;1&lt;/C&gt;&lt;D xsi:type="xsd:double"&gt;-44.2333113338889&lt;/D&gt;&lt;/FQL&gt;&lt;FQL&gt;&lt;Q&gt;BLKB-US^PERCENT_CHANGE(FE_VALUATION(PE,MEAN,NTMA,,0,,,''),MAX(FE_VALUATION(PE,MEAN,NTMA,,-1AY,0,,'')))&lt;/Q&gt;&lt;R&gt;1&lt;/R&gt;&lt;C&gt;1&lt;/C&gt;&lt;D xsi:type="xsd:double"&gt;-45.3501677451565&lt;/D&gt;&lt;/FQL&gt;&lt;FQL&gt;&lt;Q&gt;BLKB-US^FE_VALUATION(FFEV_EBITDA,MEAN,NTMA,,0,,,'')&lt;/Q&gt;&lt;R&gt;1&lt;/R&gt;&lt;C&gt;1&lt;/C&gt;&lt;D xsi:type="xsd:double"&gt;6.0195746&lt;/D&gt;&lt;/FQL&gt;&lt;FQL&gt;&lt;Q&gt;BLKB-US^FE_VALUATION(FFEV_SALES,MEAN,NTMA,,0,,,'')&lt;/Q&gt;&lt;R&gt;1&lt;/R&gt;&lt;C&gt;1&lt;/C&gt;&lt;D xsi:type="xsd:double"&gt;2.2428234&lt;/D&gt;&lt;/FQL&gt;&lt;FQL&gt;&lt;Q&gt;BLKB-US^FE_VALUATION(P_SALESPS,MEAN,NTMA,,0,,,'')&lt;/Q&gt;&lt;R&gt;1&lt;/R&gt;&lt;C&gt;1&lt;/C&gt;&lt;D xsi:type="xsd:double"&gt;1.8386855&lt;/D&gt;&lt;/FQL&gt;&lt;FQL&gt;&lt;Q&gt;BLKB-US^FE_VALUATION(PE,MEAN,NTMA,,0,,,'')&lt;/Q&gt;&lt;R&gt;1&lt;/R&gt;&lt;C&gt;1&lt;/C&gt;&lt;D xsi:type="xsd:double"&gt;8.883827&lt;/D&gt;&lt;/FQL&gt;&lt;FQL&gt;&lt;Q&gt;BLKB-US^FE_ACTUAL(ACTUAL,SALES,ANN_ROLL,0,,,,'CURRENCY=USD')&lt;/Q&gt;&lt;R&gt;1&lt;/R&gt;&lt;C&gt;1&lt;/C&gt;&lt;D xsi:type="xsd:double"&gt;1128.365&lt;/D&gt;&lt;/FQL&gt;&lt;FQL&gt;&lt;Q&gt;BLKB-US^FE_ACTUAL(ACTUAL,SALES,ANN_ROLL,-1,,,,'CURRENCY=USD')&lt;/Q&gt;&lt;R&gt;1&lt;/R&gt;&lt;C&gt;1&lt;/C&gt;&lt;D xsi:type="xsd:double"&gt;1155.495&lt;/D&gt;&lt;/FQL&gt;&lt;FQL&gt;&lt;Q&gt;BLKB-US^FE_VALUATION(EBITDA_MARGIN,MEAN,ANN_ROLL,0,NOW,,,'')&lt;/Q&gt;&lt;R&gt;1&lt;/R&gt;&lt;C&gt;1&lt;/C&gt;&lt;D xsi:type="xsd:double"&gt;35.918697&lt;/D&gt;&lt;/FQL&gt;&lt;FQL&gt;&lt;Q&gt;BLKB-US^FE_VALUATION(ROIC,MEAN,NTMA,,0,,,'')&lt;/Q&gt;&lt;R&gt;1&lt;/R&gt;&lt;C&gt;1&lt;/C&gt;&lt;D xsi:type="xsd:double"&gt;19.790466&lt;/D&gt;&lt;/FQL&gt;&lt;FQL&gt;&lt;Q&gt;BLKB-US^FE_VALUATION(ROE,MEAN,NTMA,,0,,,'')&lt;/Q&gt;&lt;R&gt;0&lt;/R&gt;&lt;C&gt;0&lt;/C&gt;&lt;/FQL&gt;&lt;FQL&gt;&lt;Q&gt;BLKB-US^FE_VALUATION(DIV_YLD,MEAN,NTMA,,NOW,,,'')&lt;/Q&gt;&lt;R&gt;1&lt;/R&gt;&lt;C&gt;1&lt;/C&gt;&lt;D xsi:type="xsd:double"&gt;0&lt;/D&gt;&lt;/FQL&gt;&lt;FQL&gt;&lt;Q&gt;BLKB-US^FE_VALUATION(MCAP_FCF,MEAN,NTMA,,NOW,,,'')&lt;/Q&gt;&lt;R&gt;1&lt;/R&gt;&lt;C&gt;1&lt;/C&gt;&lt;D xsi:type="xsd:double"&gt;13.2561035&lt;/D&gt;&lt;/FQL&gt;&lt;FQL&gt;&lt;Q&gt;BLKB-US^FE_VALUATION(NETDEBT_EBITDA,MEAN,NTMA,,NOW,,,'')&lt;/Q&gt;&lt;R&gt;1&lt;/R&gt;&lt;C&gt;1&lt;/C&gt;&lt;D xsi:type="xsd:double"&gt;2.2711532&lt;/D&gt;&lt;/FQL&gt;&lt;FQL&gt;&lt;Q&gt;BLKB-US^FF_NET_MGN(LTM_R,0)&lt;/Q&gt;&lt;R&gt;1&lt;/R&gt;&lt;C&gt;1&lt;/C&gt;&lt;D xsi:type="xsd:double"&gt;10.1998506750658&lt;/D&gt;&lt;/FQL&gt;&lt;FQL&gt;&lt;Q&gt;BLKB-US^FF_EBITDA_OPER_MGN(LTM_R,0)&lt;/Q&gt;&lt;R&gt;1&lt;/R&gt;&lt;C&gt;1&lt;/C&gt;&lt;D xsi:type="xsd:double"&gt;25.3849728040633&lt;/D&gt;&lt;/FQL&gt;&lt;FQL&gt;&lt;Q&gt;BLKB-US^FF_GROSS_MGN(LTM_R,0)&lt;/Q&gt;&lt;R&gt;1&lt;/R&gt;&lt;C&gt;1&lt;/C&gt;&lt;D xsi:type="xsd:double"&gt;58.5625967641535&lt;/D&gt;&lt;/FQL&gt;&lt;FQL&gt;&lt;Q&gt;BLKB-US^POW(FE_ESTIMATE(EPS,MEAN,STMA,,NOW,,,'CURRENCY=USD')/FE_ESTIMATE(EPS,MEAN,LTMA,,NOW,,,'CURRENCY=USD'),0.5)-1&lt;/Q&gt;&lt;R&gt;1&lt;/R&gt;&lt;C&gt;1&lt;/C&gt;&lt;D xsi:type="xsd:double"&gt;0.140138237232661&lt;/D&gt;&lt;/FQL&gt;&lt;FQL&gt;&lt;Q&gt;BLKB-US^POW(FE_ESTIMATE(SALES,MEAN,STMA,,NOW,,,'CURRENCY=USD')/FE_ESTIMATE(SALES,MEAN,LTMA,,NOW,,,'CURRENCY=USD'),0.5)-1&lt;/Q&gt;&lt;R&gt;1&lt;/R&gt;&lt;C&gt;1&lt;/C&gt;&lt;D xsi:type="xsd:double"&gt;0.039493674824431&lt;/D&gt;&lt;/FQL&gt;&lt;FQL&gt;&lt;Q&gt;BLKB-US^FE_ACTUAL(ACTUAL,EPS,ANN_ROLL,0,,,,'CURRENCY=USD')&lt;/Q&gt;&lt;R&gt;1&lt;/R&gt;&lt;C&gt;1&lt;/C&gt;&lt;D xsi:type="xsd:double"&gt;4.45&lt;/D&gt;&lt;/FQL&gt;&lt;FQL&gt;&lt;Q&gt;BLKB-US^OS_SEC_FLT_PCT(0D,,MTD,SEC)&lt;/Q&gt;&lt;R&gt;1&lt;/R&gt;&lt;C&gt;1&lt;/C&gt;&lt;D xsi:type="xsd:double"&gt;77.1211&lt;/D&gt;&lt;/FQL&gt;&lt;FQL&gt;&lt;Q&gt;BLKB-US^AVG(P_VOLUME_FRQ(-1AM,NOW,D,,6))*P_PRICE_AVG(-1AM,NOW,,USD)&lt;/Q&gt;&lt;R&gt;1&lt;/R&gt;&lt;C&gt;1&lt;/C&gt;&lt;D xsi:type="xsd:double"&gt;27.8246385685652&lt;/D&gt;&lt;/FQL&gt;&lt;FQL&gt;&lt;Q&gt;BLKB-US^FCS_EV_DAILY(MV,NOW,,,USD,M)&lt;/Q&gt;&lt;R&gt;1&lt;/R&gt;&lt;C&gt;1&lt;/C&gt;&lt;D xsi:type="xsd:double"&gt;2241.51370998&lt;/D&gt;&lt;/FQL&gt;&lt;FQL&gt;&lt;Q&gt;BLKB-US^P_DCOUNTRY&lt;/Q&gt;&lt;R&gt;1&lt;/R&gt;&lt;C&gt;1&lt;/C&gt;&lt;D xsi:type="xsd:string"&gt;UNITED STATES&lt;/D&gt;&lt;/FQL&gt;&lt;FQL&gt;&lt;Q&gt;BLKB-US^FR_RBICS_NAME_CURR("IND")&lt;/Q&gt;&lt;R&gt;1&lt;/R&gt;&lt;C&gt;1&lt;/C&gt;&lt;D xsi:type="xsd:string"&gt;Government and Not-For-Profit Industry Software&lt;/D&gt;&lt;/FQL&gt;&lt;FQL&gt;&lt;Q&gt;ALKT-US^FE_RATING(MEAN,TEXTONLY,0,NOW,,,'')&lt;/Q&gt;&lt;R&gt;1&lt;/R&gt;&lt;C&gt;1&lt;/C&gt;&lt;D xsi:type="xsd:string"&gt;Buy&lt;/D&gt;&lt;/FQL&gt;&lt;FQL&gt;&lt;Q&gt;ALKT-US^FG_PRICE(0,,,USD)/FG_PRICE_MAVG(0,,,USD,200)&lt;/Q&gt;&lt;R&gt;1&lt;/R&gt;&lt;C&gt;1&lt;/C&gt;&lt;D xsi:type="xsd:double"&gt;0.648867186037709&lt;/D&gt;&lt;/FQL&gt;&lt;FQL&gt;&lt;Q&gt;ALKT-US^FG_PRICE(0,,,USD)/FG_PRICE_MAVG(0,,,USD,100)&lt;/Q&gt;&lt;R&gt;1&lt;/R&gt;&lt;C&gt;1&lt;/C&gt;&lt;D xsi:type="xsd:double"&gt;0.737646199348885&lt;/D&gt;&lt;/FQL&gt;&lt;FQL&gt;&lt;Q&gt;ALKT-US^FG_PRICE(0,,,USD)/FG_PRICE_MAVG(0,,,USD,50)&lt;/Q&gt;&lt;R&gt;1&lt;/R&gt;&lt;C&gt;1&lt;/C&gt;&lt;D xsi:type="xsd:double"&gt;0.763870866650671&lt;/D&gt;&lt;/FQL&gt;&lt;FQL&gt;&lt;Q&gt;ALKT-US^RTP_PRICE_TARGET(USD)/FG_PRICE(0,,,USD)&lt;/Q&gt;&lt;R&gt;1&lt;/R&gt;&lt;C&gt;1&lt;/C&gt;&lt;D xsi:type="xsd:double"&gt;1.93019935897436&lt;/D&gt;&lt;/FQL&gt;&lt;FQL&gt;&lt;Q&gt;ALKT-US^FG_PRICE(0,,,USD)/P_PRICE_HIGH(-1AY,0,USD,,,"PRICE","INTRA")&lt;/Q&gt;&lt;R&gt;1&lt;/R&gt;&lt;C&gt;1&lt;/C&gt;&lt;D xsi:type="xsd:double"&gt;0.49273531269741&lt;/D&gt;&lt;/FQL&gt;&lt;FQL&gt;&lt;Q&gt;ALKT-US^PERCENT_CHANGE(FE_VALUATION(FFEV_EBITDA,MEAN,NTMA,,0,,,''),MAX(FE_VALUATION(FFEV_EBITDA,MEAN,NTMA,,-1AY,0,,'')))&lt;/Q&gt;&lt;R&gt;1&lt;/R&gt;&lt;C&gt;1&lt;/C&gt;&lt;D xsi:type="xsd:double"&gt;-65.6999206557313&lt;/D&gt;&lt;/FQL&gt;&lt;FQL&gt;&lt;Q&gt;ALKT-US^PERCENT_CHANGE(FE_VALUATION(PE,MEAN,NTMA,,0,,,''),MAX(FE_VALUATION(PE,MEAN,NTMA,,-1AY,0,,'')))&lt;/Q&gt;&lt;R&gt;1&lt;/R&gt;&lt;C&gt;1&lt;/C&gt;&lt;D xsi:type="xsd:double"&gt;-75.6095738436287&lt;/D&gt;&lt;/FQL&gt;&lt;FQL&gt;&lt;Q&gt;ALKT-US^FE_VALUATION(FFEV_EBITDA,MEAN,NTMA,,0,,,'')&lt;/Q&gt;&lt;R&gt;1&lt;/R&gt;&lt;C&gt;1&lt;/C&gt;&lt;D xsi:type="xsd:double"&gt;17.149117&lt;/D&gt;&lt;/FQL&gt;&lt;FQL&gt;&lt;Q&gt;ALKT-US^FE_VALUATION(FFEV_SALES,MEAN,NTMA,,0,,,'')&lt;/Q&gt;&lt;R&gt;1&lt;/R&gt;&lt;C&gt;1&lt;/C&gt;&lt;D xsi:type="xsd:double"&gt;3.3969188&lt;/D&gt;&lt;/FQL&gt;&lt;FQL&gt;&lt;Q&gt;ALKT-US^FE_VALUATION(P_SALESPS,MEAN,NTMA,,0,,,'')&lt;/Q&gt;&lt;R&gt;1&lt;/R&gt;&lt;C&gt;1&lt;/C&gt;&lt;D xsi:type="xsd:double"&gt;2.9051914&lt;/D&gt;&lt;/FQL&gt;&lt;FQL&gt;&lt;Q&gt;ALKT-US^FE_VALUATION(PE,MEAN,NTMA,,0,,,'')&lt;/Q&gt;&lt;R&gt;1&lt;/R&gt;&lt;C&gt;1&lt;/C&gt;&lt;D xsi:type="xsd:double"&gt;15.938423&lt;/D&gt;&lt;/FQL&gt;&lt;FQL&gt;&lt;Q&gt;ALKT-US^FE_ACTUAL(ACTUAL,SALES,ANN_ROLL,0,,,,'CURRENCY=USD')&lt;/Q&gt;&lt;R&gt;1&lt;/R&gt;&lt;C&gt;1&lt;/C&gt;&lt;D xsi:type="xsd:double"&gt;333.849&lt;/D&gt;&lt;/FQL&gt;&lt;FQL&gt;&lt;Q&gt;ALKT-US^FE_ACTUAL(ACTUAL,SALES,ANN_ROLL,-1,,,,'CURRENCY=USD')&lt;/Q&gt;&lt;R&gt;1&lt;/R&gt;&lt;C&gt;1&lt;/C&gt;&lt;D xsi:type="xsd:double"&gt;264.831&lt;/D&gt;&lt;/FQL&gt;&lt;FQL&gt;&lt;Q&gt;ALKT-US^FE_VALUATION(EBITDA_MARGIN,MEAN,ANN_ROLL,0,NOW,,,'')&lt;/Q&gt;&lt;R&gt;1&lt;/R&gt;&lt;C&gt;1&lt;/C&gt;&lt;D xsi:type="xsd:double"&gt;8.042858&lt;/D&gt;&lt;/FQL&gt;&lt;FQL&gt;&lt;Q&gt;ALKT-US^FE_VALUATION(ROIC,MEAN,NTMA,,0,,,'')&lt;/Q&gt;&lt;R&gt;1&lt;/R&gt;&lt;C&gt;1&lt;/C&gt;&lt;D xsi:type="xsd:double"&gt;13.126903&lt;/D&gt;&lt;/FQL&gt;&lt;FQL&gt;&lt;Q&gt;ALKT-US^FE_VALUATION(ROE,MEAN,NTMA,,0,,,'')&lt;/Q&gt;&lt;R&gt;1&lt;/R&gt;&lt;C&gt;1&lt;/C&gt;&lt;D xsi:type="xsd:double"&gt;23.88677&lt;/D&gt;&lt;/FQL&gt;&lt;FQL&gt;&lt;Q&gt;ALKT-US^FE_VALUATION(DIV_YLD,MEAN,NTMA,,NOW,,,'')&lt;/Q&gt;&lt;R&gt;1&lt;/R&gt;&lt;C&gt;1&lt;/C&gt;&lt;D xsi:type="xsd:double"&gt;0&lt;/D&gt;&lt;/FQL&gt;&lt;FQL&gt;&lt;Q&gt;ALKT-US^FE_VALUATION(MCAP_FCF,MEAN,NTMA,,NOW,,,'')&lt;/Q&gt;&lt;R&gt;1&lt;/R&gt;&lt;C&gt;1&lt;/C&gt;&lt;D xsi:type="xsd:double"&gt;4.752558&lt;/D&gt;&lt;/FQL&gt;&lt;FQL&gt;&lt;Q&gt;ALKT-US^FE_VALUATION(NETDEBT_EBITDA,MEAN,NTMA,,NOW,,,'')&lt;/Q&gt;&lt;R&gt;1&lt;/R&gt;&lt;C&gt;1&lt;/C&gt;&lt;D xsi:type="xsd:double"&gt;1.5264726&lt;/D&gt;&lt;/FQL&gt;&lt;FQL&gt;&lt;Q&gt;ALKT-US^FF_NET_MGN(LTM_R,0)&lt;/Q&gt;&lt;R&gt;1&lt;/R&gt;&lt;C&gt;1&lt;/C&gt;&lt;D xsi:type="xsd:double"&gt;-10.6311696371429&lt;/D&gt;&lt;/FQL&gt;&lt;FQL&gt;&lt;Q&gt;ALKT-US^FF_EBITDA_OPER_MGN(LTM_R,0)&lt;/Q&gt;&lt;R&gt;1&lt;/R&gt;&lt;C&gt;1&lt;/C&gt;&lt;D xsi:type="xsd:double"&gt;-6.3560595776041&lt;/D&gt;&lt;/FQL&gt;&lt;FQL&gt;&lt;Q&gt;ALKT-US^FF_GROSS_MGN(LTM_R,0)&lt;/Q&gt;&lt;R&gt;1&lt;/R&gt;&lt;C&gt;1&lt;/C&gt;&lt;D xsi:type="xsd:double"&gt;57.3061109710451&lt;/D&gt;&lt;/FQL&gt;&lt;FQL&gt;&lt;Q&gt;ALKT-US^POW(FE_ESTIMATE(EPS,MEAN,STMA,,NOW,,,'CURRENCY=USD')/FE_ESTIMATE(EPS,MEAN,LTMA,,NOW,,,'CURRENCY=USD'),0.5)-1&lt;/Q&gt;&lt;R&gt;1&lt;/R&gt;&lt;C&gt;1&lt;/C&gt;&lt;D xsi:type="xsd:double"&gt;0.514821573651498&lt;/D&gt;&lt;/FQL&gt;&lt;FQL&gt;&lt;Q&gt;ALKT-US^POW(FE_ESTIMATE(SALES,MEAN,STMA,,NOW,,,'CURRENCY=USD')/FE_ESTIMATE(SALES,MEAN,LTMA,,NOW,,,'CURRENCY=USD'),0.5)-1&lt;/Q&gt;&lt;R&gt;1&lt;/R&gt;&lt;C&gt;1&lt;/C&gt;&lt;D xsi:type="xsd:double"&gt;0.195152500729509&lt;/D&gt;&lt;/FQL&gt;&lt;FQL&gt;&lt;Q&gt;ALKT-US^FE_ACTUAL(ACTUAL,EPS,ANN_ROLL,0,,,,'CURRENCY=USD')&lt;/Q&gt;&lt;R&gt;1&lt;/R&gt;&lt;C&gt;1&lt;/C&gt;&lt;D xsi:type="xsd:double"&gt;0.209631&lt;/D&gt;&lt;/FQL&gt;&lt;FQL&gt;&lt;Q&gt;ALKT-US^OS_SEC_FLT_PCT(0D,,MTD,SEC)&lt;/Q&gt;&lt;R&gt;1&lt;/R&gt;&lt;C&gt;1&lt;/C&gt;&lt;D xsi:type="xsd:double"&gt;63.4073&lt;/D&gt;&lt;/FQL&gt;&lt;FQL&gt;&lt;Q&gt;ALKT-US^AVG(P_VOLUME_FRQ(-1AM,NOW,D,,6))*P_PRICE_AVG(-1AM,NOW,,USD)&lt;/Q&gt;&lt;R&gt;1&lt;/R&gt;&lt;C&gt;1&lt;/C&gt;&lt;D xsi:type="xsd:double"&gt;39.2632491290414&lt;/D&gt;&lt;/FQL&gt;&lt;FQL&gt;&lt;Q&gt;ALKT-US^FCS_EV_DAILY(MV,NOW,,,USD,M)&lt;/Q&gt;&lt;R&gt;1&lt;/R&gt;&lt;C&gt;1&lt;/C&gt;&lt;D xsi:type="xsd:double"&gt;1748.33773134&lt;/D&gt;&lt;/FQL&gt;&lt;FQL&gt;&lt;Q&gt;ALKT-US^P_DCOUNTRY&lt;/Q&gt;&lt;R&gt;1&lt;/R&gt;&lt;C&gt;1&lt;/C&gt;&lt;D xsi:type="xsd:string"&gt;UNITED STATES&lt;/D&gt;&lt;/FQL&gt;&lt;FQL&gt;&lt;Q&gt;ALKT-US^FR_RBICS_NAME_CURR("IND")&lt;/Q&gt;&lt;R&gt;1&lt;/R&gt;&lt;C&gt;1&lt;/C&gt;&lt;D xsi:type="xsd:string"&gt;Finance Industry Software&lt;/D&gt;&lt;/FQL&gt;&lt;FQL&gt;&lt;Q&gt;300033-CN^FE_RATING(MEAN,TEXTONLY,0,NOW,,,'')&lt;/Q&gt;&lt;R&gt;1&lt;/R&gt;&lt;C&gt;1&lt;/C&gt;&lt;D xsi:type="xsd:string"&gt;Buy&lt;/D&gt;&lt;/FQL&gt;&lt;FQL&gt;&lt;Q&gt;300033-CN^FG_PRICE(0,,,USD)/FG_PRICE_MAVG(0,,,USD,200)&lt;/Q&gt;&lt;R&gt;1&lt;/R&gt;&lt;C&gt;1&lt;/C&gt;&lt;D xsi:type="xsd:double"&gt;1.05792852825375&lt;/D&gt;&lt;/FQL&gt;&lt;FQL&gt;&lt;Q&gt;300033-CN^FG_PRICE(0,,,USD)/FG_PRICE_MAVG(0,,,USD,100)&lt;/Q&gt;&lt;R&gt;1&lt;/R&gt;&lt;C&gt;1&lt;/C&gt;&lt;D xsi:type="xsd:double"&gt;0.974201806160901&lt;/D&gt;&lt;/FQL&gt;&lt;FQL&gt;&lt;Q&gt;300033-CN^FG_PRICE(0,,,USD)/FG_PRICE_MAVG(0,,,USD,50)&lt;/Q&gt;&lt;R&gt;1&lt;/R&gt;&lt;C&gt;1&lt;/C&gt;&lt;D xsi:type="xsd:double"&gt;0.972135781584352&lt;/D&gt;&lt;/FQL&gt;&lt;FQL&gt;&lt;Q&gt;300033-CN^RTP_PRICE_TARGET(USD)/FG_PRICE(0,,,USD)&lt;/Q&gt;&lt;R&gt;1&lt;/R&gt;&lt;C&gt;1&lt;/C&gt;&lt;D xsi:type="xsd:double"&gt;1.15455928504477&lt;/D&gt;&lt;/FQL&gt;&lt;FQL&gt;&lt;Q&gt;300033-CN^FG_PRICE(0,,,USD)/P_PRICE_HIGH(-1AY,0,USD,,,"PRICE","INTRA")&lt;/Q&gt;&lt;R&gt;1&lt;/R&gt;&lt;C&gt;1&lt;/C&gt;&lt;D xsi:type="xsd:double"&gt;0.766375304687682&lt;/D&gt;&lt;/FQL&gt;&lt;FQL&gt;&lt;Q&gt;300033-CN^PERCENT_CHANGE(FE_VALUATION(FFEV_EBITDA,MEAN,NTMA,,0,,,''),MAX(FE_VALUATION(FFEV_EBITDA,MEAN,NTMA,,-1AY,0,,'')))&lt;/Q&gt;&lt;R&gt;1&lt;/R&gt;&lt;C&gt;1&lt;/C&gt;&lt;D xsi:type="xsd:double"&gt;-57.1416481489318&lt;/D&gt;&lt;/FQL&gt;&lt;FQL&gt;&lt;Q&gt;300033-CN^PERCENT_CHANGE(FE_VALUATION(PE,MEAN,NTMA,,0,,,''),MAX(FE_VALUATION(PE,MEAN,NTMA,,-1AY,0,,'')))&lt;/Q&gt;&lt;R&gt;1&lt;/R&gt;&lt;C&gt;1&lt;/C&gt;&lt;D xsi:type="xsd:double"&gt;-48.779809781069&lt;/D&gt;&lt;/FQL&gt;&lt;FQL&gt;&lt;Q&gt;300033-CN^FE_VALUATION(FFEV_EBITDA,MEAN,NTMA,,0,,,'')&lt;/Q&gt;&lt;R&gt;1&lt;/R&gt;&lt;C&gt;1&lt;/C&gt;&lt;D xsi:type="xsd:double"&gt;46.28705&lt;/D&gt;&lt;/FQL&gt;&lt;FQL&gt;&lt;Q&gt;300033-CN^FE_VALUATION(FFEV_SALES,MEAN,NTMA,,0,,,'')&lt;/Q&gt;&lt;R&gt;1&lt;/R&gt;&lt;C&gt;1&lt;/C&gt;&lt;D xsi:type="xsd:double"&gt;23.52065&lt;/D&gt;&lt;/FQL&gt;&lt;FQL&gt;&lt;Q&gt;300033-CN^FE_VALUATION(P_SALESPS,MEAN,NTMA,,0,,,'')&lt;/Q&gt;&lt;R&gt;1&lt;/R&gt;&lt;C&gt;1&lt;/C&gt;&lt;D xsi:type="xsd:double"&gt;24.891254&lt;/D&gt;&lt;/FQL&gt;&lt;FQL&gt;&lt;Q&gt;300033-CN^FE_VALUATION(PE,MEAN,NTMA,,0,,,'')&lt;/Q&gt;&lt;R&gt;1&lt;/R&gt;&lt;C&gt;1&lt;/C&gt;&lt;D xsi:type="xsd:double"&gt;48.633335&lt;/D&gt;&lt;/FQL&gt;&lt;FQL&gt;&lt;Q&gt;300033-CN^FE_ACTUAL(ACTUAL,SALES,ANN_ROLL,0,,,,'CURRENCY=USD')&lt;/Q&gt;&lt;R&gt;1&lt;/R&gt;&lt;C&gt;1&lt;/C&gt;&lt;D xsi:type="xsd:double"&gt;576.40814&lt;/D&gt;&lt;/FQL&gt;&lt;FQL&gt;&lt;Q&gt;300033-CN^FE_ACTUAL(ACTUAL,SALES,ANN_ROLL,-1,,,,'CURRENCY=USD')&lt;/Q&gt;&lt;R&gt;1&lt;/R&gt;&lt;C&gt;1&lt;/C&gt;&lt;D xsi:type="xsd:double"&gt;495.11694&lt;/D&gt;&lt;/FQL&gt;&lt;FQL&gt;&lt;Q&gt;300033-CN^FE_VALUATION(EBITDA_MARGIN,MEAN,ANN_ROLL,0,NOW,,,'')&lt;/Q&gt;&lt;R&gt;1&lt;/R&gt;&lt;C&gt;1&lt;/C&gt;&lt;D xsi:type="xsd:double"&gt;43.05775&lt;/D&gt;&lt;/FQL&gt;&lt;FQL&gt;&lt;Q&gt;300033-CN^FE_VALUATION(ROIC,MEAN,NTMA,,0,,,'')&lt;/Q&gt;&lt;R&gt;0&lt;/R&gt;&lt;C&gt;0&lt;/C&gt;&lt;/FQL&gt;&lt;FQL&gt;&lt;Q&gt;300033-CN^FE_VALUATION(ROE,MEAN,NTMA,,0,,,'')&lt;/Q&gt;&lt;R&gt;1&lt;/R&gt;&lt;C&gt;1&lt;/C&gt;&lt;D xsi:type="xsd:double"&gt;30.327236&lt;/D&gt;&lt;/FQL&gt;&lt;FQL&gt;&lt;Q&gt;300033-CN^FE_VALUATION(DIV_YLD,MEAN,NTMA,,NOW,,,'')&lt;/Q&gt;&lt;R&gt;1&lt;/R&gt;&lt;C&gt;1&lt;/C&gt;&lt;D xsi:type="xsd:double"&gt;2.0138385&lt;/D&gt;&lt;/FQL&gt;&lt;FQL&gt;&lt;Q&gt;300033-CN^FE_VALUATION(MCAP_FCF,MEAN,NTMA,,NOW,,,'')&lt;/Q&gt;&lt;R&gt;0&lt;/R&gt;&lt;C&gt;0&lt;/C&gt;&lt;/FQL&gt;&lt;FQL&gt;&lt;Q&gt;300033-CN^FE_VALUATION(NETDEBT_EBITDA,MEAN,NTMA,,NOW,,,'')&lt;/Q&gt;&lt;R&gt;1&lt;/R&gt;&lt;C&gt;1&lt;/C&gt;&lt;D xsi:type="xsd:double"&gt;-2.8413167&lt;/D&gt;&lt;/FQL&gt;&lt;FQL&gt;&lt;Q&gt;300033-CN^FF_NET_MGN(LTM_R,0)&lt;/Q&gt;&lt;R&gt;1&lt;/R&gt;&lt;C&gt;1&lt;/C&gt;&lt;D xsi:type="xsd:double"&gt;46.5193299249443&lt;/D&gt;&lt;/FQL&gt;&lt;FQL&gt;&lt;Q&gt;300033-CN^FF_EBITDA_OPER_MGN(LTM_R,0)&lt;/Q&gt;&lt;R&gt;0&lt;/R&gt;&lt;C&gt;0&lt;/C&gt;&lt;/FQL&gt;&lt;FQL&gt;&lt;Q&gt;300033-CN^FF_GROSS_MGN(LTM_R,0)&lt;/Q&gt;&lt;R&gt;1&lt;/R&gt;&lt;C&gt;1&lt;/C&gt;&lt;D xsi:type="xsd:double"&gt;90.8759466137704&lt;/D&gt;&lt;/FQL&gt;&lt;FQL&gt;&lt;Q&gt;300033-CN^POW(FE_ESTIMATE(EPS,MEAN,STMA,,NOW,,,'CURRENCY=USD')/FE_ESTIMATE(EPS,MEAN,LTMA,,NOW,,,'CURRENCY=USD'),0.5)-1&lt;/Q&gt;&lt;R&gt;1&lt;/R&gt;&lt;C&gt;1&lt;/C&gt;&lt;D xsi:type="xsd:double"&gt;0.178712814895978&lt;/D&gt;&lt;/FQL&gt;&lt;FQL&gt;&lt;Q&gt;300033-CN^POW(FE_ESTIMATE(SALES,MEAN,STMA,,NOW,,,'CURRENCY=USD')/FE_ESTIMATE(SALES,MEAN,LTMA,,NOW,,,'CURRENCY=USD'),0.5)-1&lt;/Q&gt;&lt;R&gt;1&lt;/R&gt;&lt;C&gt;1&lt;/C&gt;&lt;D xsi:type="xsd:double"&gt;0.158193593489448&lt;/D&gt;&lt;/FQL&gt;&lt;FQL&gt;&lt;Q&gt;300033-CN^FE_ACTUAL(ACTUAL,EPS,ANN_ROLL,0,,,,'CURRENCY=USD')&lt;/Q&gt;&lt;R&gt;1&lt;/R&gt;&lt;C&gt;1&lt;/C&gt;&lt;D xsi:type="xsd:double"&gt;0.46668825&lt;/D&gt;&lt;/FQL&gt;&lt;FQL&gt;&lt;Q&gt;300033-CN^OS_SEC_FLT_PCT(0D,,MTD,SEC)&lt;/Q&gt;&lt;R&gt;1&lt;/R&gt;&lt;C&gt;1&lt;/C&gt;&lt;D xsi:type="xsd:double"&gt;66.3556&lt;/D&gt;&lt;/FQL&gt;&lt;FQL&gt;&lt;Q&gt;300033-CN^AVG(P_VOLUME_FRQ(-1AM,NOW,D,,6))*P_PRICE_AVG(-1AM,NOW,,USD)&lt;/Q&gt;&lt;R&gt;1&lt;/R&gt;&lt;C&gt;1&lt;/C&gt;&lt;D xsi:type="xsd:double"&gt;444.156843472265&lt;/D&gt;&lt;/FQL&gt;&lt;FQL&gt;&lt;Q&gt;300033-CN^FCS_EV_DAILY(MV,NOW,,,USD,M)&lt;/Q&gt;&lt;R&gt;1&lt;/R&gt;&lt;C&gt;1&lt;/C&gt;&lt;D xsi:type="xsd:double"&gt;25700.5433203352&lt;/D&gt;&lt;/FQL&gt;&lt;FQL&gt;&lt;Q&gt;300033-CN^P_DCOUNTRY&lt;/Q&gt;&lt;R&gt;1&lt;/R&gt;&lt;C&gt;1&lt;/C&gt;&lt;D xsi:type="xsd:string"&gt;CHINA&lt;/D&gt;&lt;/FQL&gt;&lt;FQL&gt;&lt;Q&gt;300033-CN^FR_RBICS_NAME_CURR("IND")&lt;/Q&gt;&lt;R&gt;1&lt;/R&gt;&lt;C&gt;1&lt;/C&gt;&lt;D xsi:type="xsd:string"&gt;Finance Industry Software&lt;/D&gt;&lt;/FQL&gt;&lt;FQL&gt;&lt;Q&gt;RBRK-US^FE_RATING(MEAN,TEXTONLY,0,NOW,,,'')&lt;/Q&gt;&lt;R&gt;1&lt;/R&gt;&lt;C&gt;1&lt;/C&gt;&lt;D xsi:type="xsd:string"&gt;Buy&lt;/D&gt;&lt;/FQL&gt;&lt;FQL&gt;&lt;Q&gt;RBRK-US^FG_PRICE(0,,,USD)/FG_PRICE_MAVG(0,,,USD,200)&lt;/Q&gt;&lt;R&gt;1&lt;/R&gt;&lt;C&gt;1&lt;/C&gt;&lt;D xsi:type="xsd:double"&gt;0.644378542093549&lt;/D&gt;&lt;/FQL&gt;&lt;FQL&gt;&lt;Q&gt;RBRK-US^FG_PRICE(0,,,USD)/FG_PRICE_MAVG(0,,,USD,100)&lt;/Q&gt;&lt;R&gt;1&lt;/R&gt;&lt;C&gt;1&lt;/C&gt;&lt;D xsi:type="xsd:double"&gt;0.718066173512024&lt;/D&gt;&lt;/FQL&gt;&lt;FQL&gt;&lt;Q&gt;RBRK-US^FG_PRICE(0,,,USD)/FG_PRICE_MAVG(0,,,USD,50)&lt;/Q&gt;&lt;R&gt;1&lt;/R&gt;&lt;C&gt;1&lt;/C&gt;&lt;D xsi:type="xsd:double"&gt;0.773216179366763&lt;/D&gt;&lt;/FQL&gt;&lt;FQL&gt;&lt;Q&gt;RBRK-US^RTP_PRICE_TARGET(USD)/FG_PRICE(0,,,USD)&lt;/Q&gt;&lt;R&gt;1&lt;/R&gt;&lt;C&gt;1&lt;/C&gt;&lt;D xsi:type="xsd:double"&gt;2.04613605015674&lt;/D&gt;&lt;/FQL&gt;&lt;FQL&gt;&lt;Q&gt;RBRK-US^FG_PRICE(0,,,USD)/P_PRICE_HIGH(-1AY,0,USD,,,"PRICE","INTRA")&lt;/Q&gt;&lt;R&gt;1&lt;/R&gt;&lt;C&gt;1&lt;/C&gt;&lt;D xsi:type="xsd:double"&gt;0.495533980582524&lt;/D&gt;&lt;/FQL&gt;&lt;FQL&gt;&lt;Q&gt;RBRK-US^PERCENT_CHANGE(FE_VALUATION(FFEV_EBITDA,MEAN,NTMA,,0,,,''),MAX(FE_VALUATION(FFEV_EBITDA,MEAN,NTMA,,-1AY,0,,'')))&lt;/Q&gt;&lt;R&gt;0&lt;/R&gt;&lt;C&gt;0&lt;/C&gt;&lt;/FQL&gt;&lt;FQL&gt;&lt;Q&gt;RBRK-US^PERCENT_CHANGE(FE_VALUATION(PE,MEAN,NTMA,,0,,,''),MAX(FE_VALUATION(PE,MEAN,NTMA,,-1AY,0,,'')))&lt;/Q&gt;&lt;R&gt;1&lt;/R&gt;&lt;C&gt;1&lt;/C&gt;&lt;D xsi:type="xsd:double"&gt;-91.8855941852344&lt;/D&gt;&lt;/FQL&gt;&lt;FQL&gt;&lt;Q&gt;RBRK-US^FE_VALUATION(FFEV_EBITDA,MEAN,NTMA,,0,,,'')&lt;/Q&gt;&lt;R&gt;0&lt;/R&gt;&lt;C&gt;0&lt;/C&gt;&lt;/FQL&gt;&lt;FQL&gt;&lt;Q&gt;RBRK-US^FE_VALUATION(FFEV_SALES,MEAN,NTMA,,0,,,'')&lt;/Q&gt;&lt;R&gt;1&lt;/R&gt;&lt;C&gt;1&lt;/C&gt;&lt;D xsi:type="xsd:double"&gt;6.05479&lt;/D&gt;&lt;/FQL&gt;&lt;FQL&gt;&lt;Q&gt;RBRK-US^FE_VALUATION(P_SALESPS,MEAN,NTMA,,0,,,'')&lt;/Q&gt;&lt;R&gt;1&lt;/R&gt;&lt;C&gt;1&lt;/C&gt;&lt;D xsi:type="xsd:double"&gt;6.3840985&lt;/D&gt;&lt;/FQL&gt;&lt;FQL&gt;&lt;Q&gt;RBRK-US^FE_VALUATION(PE,MEAN,NTMA,,0,,,'')&lt;/Q&gt;&lt;R&gt;1&lt;/R&gt;&lt;C&gt;1&lt;/C&gt;&lt;D xsi:type="xsd:double"&gt;465.73627&lt;/D&gt;&lt;/FQL&gt;&lt;FQL&gt;&lt;Q&gt;RBRK-US^FE_ACTUAL(ACTUAL,SALES,ANN_ROLL,0,,,,'CURRENCY=USD')&lt;/Q&gt;&lt;R&gt;1&lt;/R&gt;&lt;C&gt;1&lt;/C&gt;&lt;D xsi:type="xsd:double"&gt;886.544&lt;/D&gt;&lt;/FQL&gt;&lt;FQL&gt;&lt;Q&gt;RBRK-US^FE_ACTUAL(ACTUAL,SALES,ANN_ROLL,-1,,,,'CURRENCY=USD')&lt;/Q&gt;&lt;R&gt;1&lt;/R&gt;&lt;C&gt;1&lt;/C&gt;&lt;D xsi:type="xsd:double"&gt;627.9&lt;/D&gt;&lt;/FQL&gt;&lt;FQL&gt;&lt;Q&gt;RBRK-US^FE_VALUATION(EBITDA_MARGIN,MEAN,ANN_ROLL,0,NOW,,,'')&lt;/Q&gt;&lt;R&gt;1&lt;/R&gt;&lt;C&gt;1&lt;/C&gt;&lt;D xsi:type="xsd:double"&gt;-21.258287&lt;/D&gt;&lt;/FQL&gt;&lt;FQL&gt;&lt;Q&gt;RBRK-US^FE_VALUATION(ROIC,MEAN,NTMA,,0,,,'')&lt;/Q&gt;&lt;R&gt;0&lt;/R&gt;&lt;C&gt;0&lt;/C&gt;&lt;/FQL&gt;&lt;FQL&gt;&lt;Q&gt;RBRK-US^FE_VALUATION(ROE,MEAN,NTMA,,0,,,'')&lt;/Q&gt;&lt;R&gt;0&lt;/R&gt;&lt;C&gt;0&lt;/C&gt;&lt;/FQL&gt;&lt;FQL&gt;&lt;Q&gt;RBRK-US^FE_VALUATION(DIV_YLD,MEAN,NTMA,,NOW,,,'')&lt;/Q&gt;&lt;R&gt;1&lt;/R&gt;&lt;C&gt;1&lt;/C&gt;&lt;D xsi:type="xsd:double"&gt;0&lt;/D&gt;&lt;/FQL&gt;&lt;FQL&gt;&lt;Q&gt;RBRK-US^FE_VALUATION(MCAP_FCF,MEAN,NTMA,,NOW,,,'')&lt;/Q&gt;&lt;R&gt;1&lt;/R&gt;&lt;C&gt;1&lt;/C&gt;&lt;D xsi:type="xsd:double"&gt;2.5383785&lt;/D&gt;&lt;/FQL&gt;&lt;FQL&gt;&lt;Q&gt;RBRK-US^FE_VALUATION(NETDEBT_EBITDA,MEAN,NTMA,,NOW,,,'')&lt;/Q&gt;&lt;R&gt;0&lt;/R&gt;&lt;C&gt;0&lt;/C&gt;&lt;/FQL&gt;&lt;FQL&gt;&lt;Q&gt;RBRK-US^FF_NET_MGN(LTM_R,0)&lt;/Q&gt;&lt;R&gt;1&lt;/R&gt;&lt;C&gt;1&lt;/C&gt;&lt;D xsi:type="xsd:double"&gt;-31.4849403354652&lt;/D&gt;&lt;/FQL&gt;&lt;FQL&gt;&lt;Q&gt;RBRK-US^FF_EBITDA_OPER_MGN(LTM_R,0)&lt;/Q&gt;&lt;R&gt;1&lt;/R&gt;&lt;C&gt;1&lt;/C&gt;&lt;D xsi:type="xsd:double"&gt;-28.8651996854439&lt;/D&gt;&lt;/FQL&gt;&lt;FQL&gt;&lt;Q&gt;RBRK-US^FF_GROSS_MGN(LTM_R,0)&lt;/Q&gt;&lt;R&gt;1&lt;/R&gt;&lt;C&gt;1&lt;/C&gt;&lt;D xsi:type="xsd:double"&gt;79.0546102437977&lt;/D&gt;&lt;/FQL&gt;&lt;FQL&gt;&lt;Q&gt;RBRK-US^POW(FE_ESTIMATE(EPS,MEAN,STMA,,NOW,,,'CURRENCY=USD')/FE_ESTIMATE(EPS,MEAN,LTMA,,NOW,,,'CURRENCY=USD'),0.5)-1&lt;/Q&gt;&lt;R&gt;0&lt;/R&gt;&lt;C&gt;0&lt;/C&gt;&lt;/FQL&gt;&lt;FQL&gt;&lt;Q&gt;RBRK-US^POW(FE_ESTIMATE(SALES,MEAN,STMA,,NOW,,,'CURRENCY=USD')/FE_ESTIMATE(SALES,MEAN,LTMA,,NOW,,,'CURRENCY=USD'),0.5)-1&lt;/Q&gt;&lt;R&gt;1&lt;/R&gt;&lt;C&gt;1&lt;/C&gt;&lt;D xsi:type="xsd:double"&gt;0.230596196971208&lt;/D&gt;&lt;/FQL&gt;&lt;FQL&gt;&lt;Q&gt;RBRK-US^FE_ACTUAL(ACTUAL,EPS,ANN_ROLL,0,,,,'CURRENCY=USD')&lt;/Q&gt;&lt;R&gt;1&lt;/R&gt;&lt;C&gt;1&lt;/C&gt;&lt;D xsi:type="xsd:double"&gt;-1.57&lt;/D&gt;&lt;/FQL&gt;&lt;FQL&gt;&lt;Q&gt;RBRK-US^OS_SEC_FLT_PCT(0D,,MTD,SEC)&lt;/Q&gt;&lt;R&gt;1&lt;/R&gt;&lt;C&gt;1&lt;/C&gt;&lt;D xsi:type="xsd:double"&gt;89.7774&lt;/D&gt;&lt;/FQL&gt;&lt;FQL&gt;&lt;Q&gt;RBRK-US^AVG(P_VOLUME_FRQ(-1AM,NOW,D,,6))*P_PRICE_AVG(-1AM,NOW,,USD)&lt;/Q&gt;&lt;R&gt;1&lt;/R&gt;&lt;C&gt;1&lt;/C&gt;&lt;D xsi:type="xsd:double"&gt;243.728312090216&lt;/D&gt;&lt;/FQL&gt;&lt;FQL&gt;&lt;Q&gt;RBRK-US^FCS_EV_DAILY(MV,NOW,,,USD,M)&lt;/Q&gt;&lt;R&gt;1&lt;/R&gt;&lt;C&gt;1&lt;/C&gt;&lt;D xsi:type="xsd:double"&gt;11544.44432384&lt;/D&gt;&lt;/FQL&gt;&lt;FQL&gt;&lt;Q&gt;RBRK-US^P_DCOUNTRY&lt;/Q&gt;&lt;R&gt;1&lt;/R&gt;&lt;C&gt;1&lt;/C&gt;&lt;D xsi:type="xsd:string"&gt;UNITED STATES&lt;/D&gt;&lt;/FQL&gt;&lt;FQL&gt;&lt;Q&gt;RBRK-US^FR_RBICS_NAME_CURR("IND")&lt;/Q&gt;&lt;R&gt;1&lt;/R&gt;&lt;C&gt;1&lt;/C&gt;&lt;D xsi:type="xsd:string"&gt;Network Infrastructure Software&lt;/D&gt;&lt;/FQL&gt;&lt;FQL&gt;&lt;Q&gt;MSFT-US^FE_RATING(MEAN,TEXTONLY,0,NOW,,,'')&lt;/Q&gt;&lt;R&gt;1&lt;/R&gt;&lt;C&gt;1&lt;/C&gt;&lt;D xsi:type="xsd:string"&gt;Buy&lt;/D&gt;&lt;/FQL&gt;&lt;FQL&gt;&lt;Q&gt;MSFT-US^FG_PRICE(0,,,USD)/FG_PRICE_MAVG(0,,,USD,200)&lt;/Q&gt;&lt;R&gt;1&lt;/R&gt;&lt;C&gt;1&lt;/C&gt;&lt;D xsi:type="xsd:double"&gt;0.799727311489471&lt;/D&gt;&lt;/FQL&gt;&lt;FQL&gt;&lt;Q&gt;MSFT-US^FG_PRICE(0,,,USD)/FG_PRICE_MAVG(0,,,USD,100)&lt;/Q&gt;&lt;R&gt;1&lt;/R&gt;&lt;C&gt;1&lt;/C&gt;&lt;D xsi:type="xsd:double"&gt;0.813529093389794&lt;/D&gt;&lt;/FQL&gt;&lt;FQL&gt;&lt;Q&gt;MSFT-US^FG_PRICE(0,,,USD)/FG_PRICE_MAVG(0,,,USD,50)&lt;/Q&gt;&lt;R&gt;1&lt;/R&gt;&lt;C&gt;1&lt;/C&gt;&lt;D xsi:type="xsd:double"&gt;0.864081914076938&lt;/D&gt;&lt;/FQL&gt;&lt;FQL&gt;&lt;Q&gt;MSFT-US^RTP_PRICE_TARGET(USD)/FG_PRICE(0,,,USD)&lt;/Q&gt;&lt;R&gt;1&lt;/R&gt;&lt;C&gt;1&lt;/C&gt;&lt;D xsi:type="xsd:double"&gt;1.52934370179949&lt;/D&gt;&lt;/FQL&gt;&lt;FQL&gt;&lt;Q&gt;MSFT-US^FG_PRICE(0,,,USD)/P_PRICE_HIGH(-1AY,0,USD,,,"PRICE","INTRA")&lt;/Q&gt;&lt;R&gt;1&lt;/R&gt;&lt;C&gt;1&lt;/C&gt;&lt;D xsi:type="xsd:double"&gt;0.700333063282023&lt;/D&gt;&lt;/FQL&gt;&lt;FQL&gt;&lt;Q&gt;MSFT-US^PERCENT_CHANGE(FE_VALUATION(FFEV_EBITDA,MEAN,NTMA,,0,,,''),MAX(FE_VALUATION(FFEV_EBITDA,MEAN,NTMA,,-1AY,0,,'')))&lt;/Q&gt;&lt;R&gt;1&lt;/R&gt;&lt;C&gt;1&lt;/C&gt;&lt;D xsi:type="xsd:double"&gt;-36.5938543752272&lt;/D&gt;&lt;/FQL&gt;&lt;FQL&gt;&lt;Q&gt;MSFT-US^PERCENT_CHANGE(FE_VALUATION(PE,MEAN,NTMA,,0,,,''),MAX(FE_VALUATION(PE,MEAN,NTMA,,-1AY,0,,'')))&lt;/Q&gt;&lt;R&gt;1&lt;/R&gt;&lt;C&gt;1&lt;/C&gt;&lt;D xsi:type="xsd:double"&gt;-36.8902139267241&lt;/D&gt;&lt;/FQL&gt;&lt;FQL&gt;&lt;Q&gt;MSFT-US^FE_VALUATION(FFEV_EBITDA,MEAN,NTMA,,0,,,'')&lt;/Q&gt;&lt;R&gt;1&lt;/R&gt;&lt;C&gt;1&lt;/C&gt;&lt;D xsi:type="xsd:double"&gt;13.355887&lt;/D&gt;&lt;/FQL&gt;&lt;FQL&gt;&lt;Q&gt;MSFT-US^FE_VALUATION(FFEV_SALES,MEAN,NTMA,,0,,,'')&lt;/Q&gt;&lt;R&gt;1&lt;/R&gt;&lt;C&gt;1&lt;/C&gt;&lt;D xsi:type="xsd:double"&gt;8.139359&lt;/D&gt;&lt;/FQL&gt;&lt;FQL&gt;&lt;Q&gt;MSFT-US^FE_VALUATION(P_SALESPS,MEAN,NTMA,,0,,,'')&lt;/Q&gt;&lt;R&gt;1&lt;/R&gt;&lt;C&gt;1&lt;/C&gt;&lt;D xsi:type="xsd:double"&gt;8.008536&lt;/D&gt;&lt;/FQL&gt;&lt;FQL&gt;&lt;Q&gt;MSFT-US^FE_VALUATION(PE,MEAN,NTMA,,0,,,'')&lt;/Q&gt;&lt;R&gt;1&lt;/R&gt;&lt;C&gt;1&lt;/C&gt;&lt;D xsi:type="xsd:double"&gt;21.464441&lt;/D&gt;&lt;/FQL&gt;&lt;FQL&gt;&lt;Q&gt;MSFT-US^FE_ACTUAL(ACTUAL,SALES,ANN_ROLL,0,,,,'CURRENCY=USD')&lt;/Q&gt;&lt;R&gt;1&lt;/R&gt;&lt;C&gt;1&lt;/C&gt;&lt;D xsi:type="xsd:double"&gt;281724&lt;/D&gt;&lt;/FQL&gt;&lt;FQL&gt;&lt;Q&gt;MSFT-US^FE_ACTUAL(ACTUAL,SALES,ANN_ROLL,-1,,,,'CURRENCY=USD')&lt;/Q&gt;&lt;R&gt;1&lt;/R&gt;&lt;C&gt;1&lt;/C&gt;&lt;D xsi:type="xsd:double"&gt;245122&lt;/D&gt;&lt;/FQL&gt;&lt;FQL&gt;&lt;Q&gt;MSFT-US^FE_VALUATION(EBITDA_MARGIN,MEAN,ANN_ROLL,0,NOW,,,'')&lt;/Q&gt;&lt;R&gt;1&lt;/R&gt;&lt;C&gt;1&lt;/C&gt;&lt;D xsi:type="xsd:double"&gt;57.5552&lt;/D&gt;&lt;/FQL&gt;&lt;FQL&gt;&lt;Q&gt;MSFT-US^FE_VALUATION(ROIC,MEAN,NTMA,,0,,,'')&lt;/Q&gt;&lt;R&gt;1&lt;/R&gt;&lt;C&gt;1&lt;/C&gt;&lt;D xsi:type="xsd:double"&gt;24.821207&lt;/D&gt;&lt;/FQL&gt;&lt;FQL&gt;&lt;Q&gt;MSFT-US^FE_VALUATION(ROE,MEAN,NTMA,,0,,,'')&lt;/Q&gt;&lt;R&gt;1&lt;/R&gt;&lt;C&gt;1&lt;/C&gt;&lt;D xsi:type="xsd:double"&gt;25.727743&lt;/D&gt;&lt;/FQL&gt;&lt;FQL&gt;&lt;Q&gt;MSFT-US^FE_VALUATION(DIV_YLD,MEAN,NTMA,,NOW,,,'')&lt;/Q&gt;&lt;R&gt;1&lt;/R&gt;&lt;C&gt;1&lt;/C&gt;&lt;D xsi:type="xsd:double"&gt;0.99877864&lt;/D&gt;&lt;/FQL&gt;&lt;FQL&gt;&lt;Q&gt;MSFT-US^FE_VALUATION(MCAP_FCF,MEAN,NTMA,,NOW,,,'')&lt;/Q&gt;&lt;R&gt;1&lt;/R&gt;&lt;C&gt;1&lt;/C&gt;&lt;D xsi:type="xsd:double"&gt;2.5916517&lt;/D&gt;&lt;/FQL&gt;&lt;FQL&gt;&lt;Q&gt;MSFT-US^FE_VALUATION(NETDEBT_EBITDA,MEAN,NTMA,,NOW,,,'')&lt;/Q&gt;&lt;R&gt;1&lt;/R&gt;&lt;C&gt;1&lt;/C&gt;&lt;D xsi:type="xsd:double"&gt;-0.3156908&lt;/D&gt;&lt;/FQL&gt;&lt;FQL&gt;&lt;Q&gt;MSFT-US^FF_NET_MGN(LTM_R,0)&lt;/Q&gt;&lt;R&gt;1&lt;/R&gt;&lt;C&gt;1&lt;/C&gt;&lt;D xsi:type="xsd:double"&gt;39.0443046884463&lt;/D&gt;&lt;/FQL&gt;&lt;FQL&gt;&lt;Q&gt;MSFT-US^FF_EBITDA_OPER_MGN(LTM_R,0)&lt;/Q&gt;&lt;R&gt;1&lt;/R&gt;&lt;C&gt;1&lt;/C&gt;&lt;D xsi:type="xsd:double"&gt;60.4875381809968&lt;/D&gt;&lt;/FQL&gt;&lt;FQL&gt;&lt;Q&gt;MSFT-US^FF_GROSS_MGN(LTM_R,0)&lt;/Q&gt;&lt;R&gt;1&lt;/R&gt;&lt;C&gt;1&lt;/C&gt;&lt;D xsi:type="xsd:double"&gt;68.5863291570225&lt;/D&gt;&lt;/FQL&gt;&lt;FQL&gt;&lt;Q&gt;MSFT-US^POW(FE_ESTIMATE(EPS,MEAN,STMA,,NOW,,,'CURRENCY=USD')/FE_ESTIMATE(EPS,MEAN,LTMA,,NOW,,,'CURRENCY=USD'),0.5)-1&lt;/Q&gt;&lt;R&gt;1&lt;/R&gt;&lt;C&gt;1&lt;/C&gt;&lt;D xsi:type="xsd:double"&gt;0.173018073177051&lt;/D&gt;&lt;/FQL&gt;&lt;FQL&gt;&lt;Q&gt;MSFT-US^POW(FE_ESTIMATE(SALES,MEAN,STMA,,NOW,,,'CURRENCY=USD')/FE_ESTIMATE(SALES,MEAN,LTMA,,NOW,,,'CURRENCY=USD'),0.5)-1&lt;/Q&gt;&lt;R&gt;1&lt;/R&gt;&lt;C&gt;1&lt;/C&gt;&lt;D xsi:type="xsd:double"&gt;0.15930047873707&lt;/D&gt;&lt;/FQL&gt;&lt;FQL&gt;&lt;Q&gt;MSFT-US^FE_ACTUAL(ACTUAL,EPS,ANN_ROLL,0,,,,'CURRENCY=USD')&lt;/Q&gt;&lt;R&gt;1&lt;/R&gt;&lt;C&gt;1&lt;/C&gt;&lt;D xsi:type="xsd:double"&gt;13.64&lt;/D&gt;&lt;/FQL&gt;&lt;FQL&gt;&lt;Q&gt;MSFT-US^OS_SEC_FLT_PCT(0D,,MTD,SEC)&lt;/Q&gt;&lt;R&gt;1&lt;/R&gt;&lt;C&gt;1&lt;/C&gt;&lt;D xsi:type="xsd:double"&gt;98.507&lt;/D&gt;&lt;/FQL&gt;&lt;FQL&gt;&lt;Q&gt;MSFT-US^AVG(P_VOLUME_FRQ(-1AM,NOW,D,,6))*P_PRICE_AVG(-1AM,NOW,,USD)&lt;/Q&gt;&lt;R&gt;1&lt;/R&gt;&lt;C&gt;1&lt;/C&gt;&lt;D xsi:type="xsd:double"&gt;17995.5728802494&lt;/D&gt;&lt;/FQL&gt;&lt;FQL&gt;&lt;Q&gt;MSFT-US^FCS_EV_DAILY(MV,NOW,,,USD,M)&lt;/Q&gt;&lt;R&gt;1&lt;/R&gt;&lt;C&gt;1&lt;/C&gt;&lt;D xsi:type="xsd:double"&gt;2920467.710564&lt;/D&gt;&lt;/FQL&gt;&lt;FQL&gt;&lt;Q&gt;MSFT-US^P_DCOUNTRY&lt;/Q&gt;&lt;R&gt;1&lt;/R&gt;&lt;C&gt;1&lt;/C&gt;&lt;D xsi:type="xsd:string"&gt;UNITED STATES&lt;/D&gt;&lt;/FQL&gt;&lt;FQL&gt;&lt;Q&gt;MSFT-US^FR_RBICS_NAME_CURR("IND")&lt;/Q&gt;&lt;R&gt;1&lt;/R&gt;&lt;C&gt;1&lt;/C&gt;&lt;D xsi:type="xsd:string"&gt;General and Mixed-Type Software&lt;/D&gt;&lt;/FQL&gt;&lt;FQL&gt;&lt;Q&gt;VERX-US^FE_RATING(MEAN,TEXTONLY,0,NOW,,,'')&lt;/Q&gt;&lt;R&gt;1&lt;/R&gt;&lt;C&gt;1&lt;/C&gt;&lt;D xsi:type="xsd:string"&gt;Overweight&lt;/D&gt;&lt;/FQL&gt;&lt;FQL&gt;&lt;Q&gt;VERX-US^FG_PRICE(0,,,USD)/FG_PRICE_MAVG(0,,,USD,200)&lt;/Q&gt;&lt;R&gt;1&lt;/R&gt;&lt;C&gt;1&lt;/C&gt;&lt;D xsi:type="xsd:double"&gt;0.508602321696722&lt;/D&gt;&lt;/FQL&gt;&lt;FQL&gt;&lt;Q&gt;VERX-US^FG_PRICE(0,,,USD)/FG_PRICE_MAVG(0,,,USD,100)&lt;/Q&gt;&lt;R&gt;1&lt;/R&gt;&lt;C&gt;1&lt;/C&gt;&lt;D xsi:type="xsd:double"&gt;0.663824802316879&lt;/D&gt;&lt;/FQL&gt;&lt;FQL&gt;&lt;Q&gt;VERX-US^FG_PRICE(0,,,USD)/FG_PRICE_MAVG(0,,,USD,50)&lt;/Q&gt;&lt;R&gt;1&lt;/R&gt;&lt;C&gt;1&lt;/C&gt;&lt;D xsi:type="xsd:double"&gt;0.741187912935574&lt;/D&gt;&lt;/FQL&gt;&lt;FQL&gt;&lt;Q&gt;VERX-US^RTP_PRICE_TARGET(USD)/FG_PRICE(0,,,USD)&lt;/Q&gt;&lt;R&gt;1&lt;/R&gt;&lt;C&gt;1&lt;/C&gt;&lt;D xsi:type="xsd:double"&gt;1.41547737556561&lt;/D&gt;&lt;/FQL&gt;&lt;FQL&gt;&lt;Q&gt;VERX-US^FG_PRICE(0,,,USD)/P_PRICE_HIGH(-1AY,0,USD,,,"PRICE","INTRA")&lt;/Q&gt;&lt;R&gt;1&lt;/R&gt;&lt;C&gt;1&lt;/C&gt;&lt;D xsi:type="xsd:double"&gt;0.297406774414943&lt;/D&gt;&lt;/FQL&gt;&lt;FQL&gt;&lt;Q&gt;VERX-US^PERCENT_CHANGE(FE_VALUATION(FFEV_EBITDA,MEAN,NTMA,,0,,,''),MAX(FE_VALUATION(FFEV_EBITDA,MEAN,NTMA,,-1AY,0,,'')))&lt;/Q&gt;&lt;R&gt;1&lt;/R&gt;&lt;C&gt;1&lt;/C&gt;&lt;D xsi:type="xsd:double"&gt;-70.924057734085</t>
        </r>
      </text>
    </comment>
    <comment ref="A6" authorId="0" shapeId="0" xr:uid="{1F7936C8-4B45-488E-9D64-0EE3883EEDA7}">
      <text>
        <r>
          <rPr>
            <b/>
            <sz val="9"/>
            <color indexed="81"/>
            <rFont val="Tahoma"/>
            <charset val="1"/>
          </rPr>
          <t>2&lt;/D&gt;&lt;/FQL&gt;&lt;FQL&gt;&lt;Q&gt;VERX-US^PERCENT_CHANGE(FE_VALUATION(PE,MEAN,NTMA,,0,,,''),MAX(FE_VALUATION(PE,MEAN,NTMA,,-1AY,0,,'')))&lt;/Q&gt;&lt;R&gt;1&lt;/R&gt;&lt;C&gt;1&lt;/C&gt;&lt;D xsi:type="xsd:double"&gt;-70.8326803246214&lt;/D&gt;&lt;/FQL&gt;&lt;FQL&gt;&lt;Q&gt;VERX-US^FE_VALUATION(FFEV_EBITDA,MEAN,NTMA,,0,,,'')&lt;/Q&gt;&lt;R&gt;1&lt;/R&gt;&lt;C&gt;1&lt;/C&gt;&lt;D xsi:type="xsd:double"&gt;11.046928&lt;/D&gt;&lt;/FQL&gt;&lt;FQL&gt;&lt;Q&gt;VERX-US^FE_VALUATION(FFEV_SALES,MEAN,NTMA,,0,,,'')&lt;/Q&gt;&lt;R&gt;1&lt;/R&gt;&lt;C&gt;1&lt;/C&gt;&lt;D xsi:type="xsd:double"&gt;2.5600574&lt;/D&gt;&lt;/FQL&gt;&lt;FQL&gt;&lt;Q&gt;VERX-US^FE_VALUATION(P_SALESPS,MEAN,NTMA,,0,,,'')&lt;/Q&gt;&lt;R&gt;1&lt;/R&gt;&lt;C&gt;1&lt;/C&gt;&lt;D xsi:type="xsd:double"&gt;2.5131097&lt;/D&gt;&lt;/FQL&gt;&lt;FQL&gt;&lt;Q&gt;VERX-US^FE_VALUATION(PE,MEAN,NTMA,,0,,,'')&lt;/Q&gt;&lt;R&gt;1&lt;/R&gt;&lt;C&gt;1&lt;/C&gt;&lt;D xsi:type="xsd:double"&gt;17.475592&lt;/D&gt;&lt;/FQL&gt;&lt;FQL&gt;&lt;Q&gt;VERX-US^FE_ACTUAL(ACTUAL,SALES,ANN_ROLL,0,,,,'CURRENCY=USD')&lt;/Q&gt;&lt;R&gt;1&lt;/R&gt;&lt;C&gt;1&lt;/C&gt;&lt;D xsi:type="xsd:double"&gt;748.444&lt;/D&gt;&lt;/FQL&gt;&lt;FQL&gt;&lt;Q&gt;VERX-US^FE_ACTUAL(ACTUAL,SALES,ANN_ROLL,-1,,,,'CURRENCY=USD')&lt;/Q&gt;&lt;R&gt;1&lt;/R&gt;&lt;C&gt;1&lt;/C&gt;&lt;D xsi:type="xsd:double"&gt;666.776&lt;/D&gt;&lt;/FQL&gt;&lt;FQL&gt;&lt;Q&gt;VERX-US^FE_VALUATION(EBITDA_MARGIN,MEAN,ANN_ROLL,0,NOW,,,'')&lt;/Q&gt;&lt;R&gt;1&lt;/R&gt;&lt;C&gt;1&lt;/C&gt;&lt;D xsi:type="xsd:double"&gt;21.583445&lt;/D&gt;&lt;/FQL&gt;&lt;FQL&gt;&lt;Q&gt;VERX-US^FE_VALUATION(ROIC,MEAN,NTMA,,0,,,'')&lt;/Q&gt;&lt;R&gt;1&lt;/R&gt;&lt;C&gt;1&lt;/C&gt;&lt;D xsi:type="xsd:double"&gt;19.440926&lt;/D&gt;&lt;/FQL&gt;&lt;FQL&gt;&lt;Q&gt;VERX-US^FE_VALUATION(ROE,MEAN,NTMA,,0,,,'')&lt;/Q&gt;&lt;R&gt;1&lt;/R&gt;&lt;C&gt;1&lt;/C&gt;&lt;D xsi:type="xsd:double"&gt;35.872288&lt;/D&gt;&lt;/FQL&gt;&lt;FQL&gt;&lt;Q&gt;VERX-US^FE_VALUATION(DIV_YLD,MEAN,NTMA,,NOW,,,'')&lt;/Q&gt;&lt;R&gt;1&lt;/R&gt;&lt;C&gt;1&lt;/C&gt;&lt;D xsi:type="xsd:double"&gt;0&lt;/D&gt;&lt;/FQL&gt;&lt;FQL&gt;&lt;Q&gt;VERX-US^FE_VALUATION(MCAP_FCF,MEAN,NTMA,,NOW,,,'')&lt;/Q&gt;&lt;R&gt;1&lt;/R&gt;&lt;C&gt;1&lt;/C&gt;&lt;D xsi:type="xsd:double"&gt;4.7252264&lt;/D&gt;&lt;/FQL&gt;&lt;FQL&gt;&lt;Q&gt;VERX-US^FE_VALUATION(NETDEBT_EBITDA,MEAN,NTMA,,NOW,,,'')&lt;/Q&gt;&lt;R&gt;1&lt;/R&gt;&lt;C&gt;1&lt;/C&gt;&lt;D xsi:type="xsd:double"&gt;-0.0743948&lt;/D&gt;&lt;/FQL&gt;&lt;FQL&gt;&lt;Q&gt;VERX-US^FF_NET_MGN(LTM_R,0)&lt;/Q&gt;&lt;R&gt;1&lt;/R&gt;&lt;C&gt;1&lt;/C&gt;&lt;D xsi:type="xsd:double"&gt;0.963465536499725&lt;/D&gt;&lt;/FQL&gt;&lt;FQL&gt;&lt;Q&gt;VERX-US^FF_EBITDA_OPER_MGN(LTM_R,0)&lt;/Q&gt;&lt;R&gt;1&lt;/R&gt;&lt;C&gt;1&lt;/C&gt;&lt;D xsi:type="xsd:double"&gt;13.4151653296706&lt;/D&gt;&lt;/FQL&gt;&lt;FQL&gt;&lt;Q&gt;VERX-US^FF_GROSS_MGN(LTM_R,0)&lt;/Q&gt;&lt;R&gt;1&lt;/R&gt;&lt;C&gt;1&lt;/C&gt;&lt;D xsi:type="xsd:double"&gt;60.3407870194697&lt;/D&gt;&lt;/FQL&gt;&lt;FQL&gt;&lt;Q&gt;VERX-US^POW(FE_ESTIMATE(EPS,MEAN,STMA,,NOW,,,'CURRENCY=USD')/FE_ESTIMATE(EPS,MEAN,LTMA,,NOW,,,'CURRENCY=USD'),0.5)-1&lt;/Q&gt;&lt;R&gt;1&lt;/R&gt;&lt;C&gt;1&lt;/C&gt;&lt;D xsi:type="xsd:double"&gt;0.179674065155287&lt;/D&gt;&lt;/FQL&gt;&lt;FQL&gt;&lt;Q&gt;VERX-US^POW(FE_ESTIMATE(SALES,MEAN,STMA,,NOW,,,'CURRENCY=USD')/FE_ESTIMATE(SALES,MEAN,LTMA,,NOW,,,'CURRENCY=USD'),0.5)-1&lt;/Q&gt;&lt;R&gt;1&lt;/R&gt;&lt;C&gt;1&lt;/C&gt;&lt;D xsi:type="xsd:double"&gt;0.112883057648017&lt;/D&gt;&lt;/FQL&gt;&lt;FQL&gt;&lt;Q&gt;VERX-US^FE_ACTUAL(ACTUAL,EPS,ANN_ROLL,0,,,,'CURRENCY=USD')&lt;/Q&gt;&lt;R&gt;1&lt;/R&gt;&lt;C&gt;1&lt;/C&gt;&lt;D xsi:type="xsd:double"&gt;0.64&lt;/D&gt;&lt;/FQL&gt;&lt;FQL&gt;&lt;Q&gt;VERX-US^OS_SEC_FLT_PCT(0D,,MTD,SEC)&lt;/Q&gt;&lt;R&gt;1&lt;/R&gt;&lt;C&gt;1&lt;/C&gt;&lt;D xsi:type="xsd:double"&gt;93.39&lt;/D&gt;&lt;/FQL&gt;&lt;FQL&gt;&lt;Q&gt;VERX-US^AVG(P_VOLUME_FRQ(-1AM,NOW,D,,6))*P_PRICE_AVG(-1AM,NOW,,USD)&lt;/Q&gt;&lt;R&gt;1&lt;/R&gt;&lt;C&gt;1&lt;/C&gt;&lt;D xsi:type="xsd:double"&gt;48.4151604591291&lt;/D&gt;&lt;/FQL&gt;&lt;FQL&gt;&lt;Q&gt;VERX-US^FCS_EV_DAILY(MV,NOW,,,USD,M)&lt;/Q&gt;&lt;R&gt;1&lt;/R&gt;&lt;C&gt;1&lt;/C&gt;&lt;D xsi:type="xsd:double"&gt;2186.12266149&lt;/D&gt;&lt;/FQL&gt;&lt;FQL&gt;&lt;Q&gt;VERX-US^P_DCOUNTRY&lt;/Q&gt;&lt;R&gt;1&lt;/R&gt;&lt;C&gt;1&lt;/C&gt;&lt;D xsi:type="xsd:string"&gt;UNITED STATES&lt;/D&gt;&lt;/FQL&gt;&lt;FQL&gt;&lt;Q&gt;VERX-US^FR_RBICS_NAME_CURR("IND")&lt;/Q&gt;&lt;R&gt;1&lt;/R&gt;&lt;C&gt;1&lt;/C&gt;&lt;D xsi:type="xsd:string"&gt;Enterprise Resource Planning Software&lt;/D&gt;&lt;/FQL&gt;&lt;FQL&gt;&lt;Q&gt;QTWO-US^FE_RATING(MEAN,TEXTONLY,0,NOW,,,'')&lt;/Q&gt;&lt;R&gt;1&lt;/R&gt;&lt;C&gt;1&lt;/C&gt;&lt;D xsi:type="xsd:string"&gt;Overweight&lt;/D&gt;&lt;/FQL&gt;&lt;FQL&gt;&lt;Q&gt;QTWO-US^FG_PRICE(0,,,USD)/FG_PRICE_MAVG(0,,,USD,200)&lt;/Q&gt;&lt;R&gt;1&lt;/R&gt;&lt;C&gt;1&lt;/C&gt;&lt;D xsi:type="xsd:double"&gt;0.626370599514795&lt;/D&gt;&lt;/FQL&gt;&lt;FQL&gt;&lt;Q&gt;QTWO-US^FG_PRICE(0,,,USD)/FG_PRICE_MAVG(0,,,USD,100)&lt;/Q&gt;&lt;R&gt;1&lt;/R&gt;&lt;C&gt;1&lt;/C&gt;&lt;D xsi:type="xsd:double"&gt;0.71578386656457&lt;/D&gt;&lt;/FQL&gt;&lt;FQL&gt;&lt;Q&gt;QTWO-US^FG_PRICE(0,,,USD)/FG_PRICE_MAVG(0,,,USD,50)&lt;/Q&gt;&lt;R&gt;1&lt;/R&gt;&lt;C&gt;1&lt;/C&gt;&lt;D xsi:type="xsd:double"&gt;0.727213465594962&lt;/D&gt;&lt;/FQL&gt;&lt;FQL&gt;&lt;Q&gt;QTWO-US^RTP_PRICE_TARGET(USD)/FG_PRICE(0,,,USD)&lt;/Q&gt;&lt;R&gt;1&lt;/R&gt;&lt;C&gt;1&lt;/C&gt;&lt;D xsi:type="xsd:double"&gt;1.6082754756871&lt;/D&gt;&lt;/FQL&gt;&lt;FQL&gt;&lt;Q&gt;QTWO-US^FG_PRICE(0,,,USD)/P_PRICE_HIGH(-1AY,0,USD,,,"PRICE","INTRA")&lt;/Q&gt;&lt;R&gt;1&lt;/R&gt;&lt;C&gt;1&lt;/C&gt;&lt;D xsi:type="xsd:double"&gt;0.48926158737974&lt;/D&gt;&lt;/FQL&gt;&lt;FQL&gt;&lt;Q&gt;QTWO-US^PERCENT_CHANGE(FE_VALUATION(FFEV_EBITDA,MEAN,NTMA,,0,,,''),MAX(FE_VALUATION(FFEV_EBITDA,MEAN,NTMA,,-1AY,0,,'')))&lt;/Q&gt;&lt;R&gt;1&lt;/R&gt;&lt;C&gt;1&lt;/C&gt;&lt;D xsi:type="xsd:double"&gt;-63.6102782065811&lt;/D&gt;&lt;/FQL&gt;&lt;FQL&gt;&lt;Q&gt;QTWO-US^PERCENT_CHANGE(FE_VALUATION(PE,MEAN,NTMA,,0,,,''),MAX(FE_VALUATION(PE,MEAN,NTMA,,-1AY,0,,'')))&lt;/Q&gt;&lt;R&gt;1&lt;/R&gt;&lt;C&gt;1&lt;/C&gt;&lt;D xsi:type="xsd:double"&gt;-60.7385364016176&lt;/D&gt;&lt;/FQL&gt;&lt;FQL&gt;&lt;Q&gt;QTWO-US^FE_VALUATION(FFEV_EBITDA,MEAN,NTMA,,0,,,'')&lt;/Q&gt;&lt;R&gt;1&lt;/R&gt;&lt;C&gt;1&lt;/C&gt;&lt;D xsi:type="xsd:double"&gt;12.767232&lt;/D&gt;&lt;/FQL&gt;&lt;FQL&gt;&lt;Q&gt;QTWO-US^FE_VALUATION(FFEV_SALES,MEAN,NTMA,,0,,,'')&lt;/Q&gt;&lt;R&gt;1&lt;/R&gt;&lt;C&gt;1&lt;/C&gt;&lt;D xsi:type="xsd:double"&gt;3.3617997&lt;/D&gt;&lt;/FQL&gt;&lt;FQL&gt;&lt;Q&gt;QTWO-US^FE_VALUATION(P_SALESPS,MEAN,NTMA,,0,,,'')&lt;/Q&gt;&lt;R&gt;1&lt;/R&gt;&lt;C&gt;1&lt;/C&gt;&lt;D xsi:type="xsd:double"&gt;3.3167377&lt;/D&gt;&lt;/FQL&gt;&lt;FQL&gt;&lt;Q&gt;QTWO-US^FE_VALUATION(PE,MEAN,NTMA,,0,,,'')&lt;/Q&gt;&lt;R&gt;1&lt;/R&gt;&lt;C&gt;1&lt;/C&gt;&lt;D xsi:type="xsd:double"&gt;15.813653&lt;/D&gt;&lt;/FQL&gt;&lt;FQL&gt;&lt;Q&gt;QTWO-US^FE_ACTUAL(ACTUAL,SALES,ANN_ROLL,0,,,,'CURRENCY=USD')&lt;/Q&gt;&lt;R&gt;1&lt;/R&gt;&lt;C&gt;1&lt;/C&gt;&lt;D xsi:type="xsd:double"&gt;794.809&lt;/D&gt;&lt;/FQL&gt;&lt;FQL&gt;&lt;Q&gt;QTWO-US^FE_ACTUAL(ACTUAL,SALES,ANN_ROLL,-1,,,,'CURRENCY=USD')&lt;/Q&gt;&lt;R&gt;1&lt;/R&gt;&lt;C&gt;1&lt;/C&gt;&lt;D xsi:type="xsd:double"&gt;696.464&lt;/D&gt;&lt;/FQL&gt;&lt;FQL&gt;&lt;Q&gt;QTWO-US^FE_VALUATION(EBITDA_MARGIN,MEAN,ANN_ROLL,0,NOW,,,'')&lt;/Q&gt;&lt;R&gt;1&lt;/R&gt;&lt;C&gt;1&lt;/C&gt;&lt;D xsi:type="xsd:double"&gt;23.466518&lt;/D&gt;&lt;/FQL&gt;&lt;FQL&gt;&lt;Q&gt;QTWO-US^FE_VALUATION(ROIC,MEAN,NTMA,,0,,,'')&lt;/Q&gt;&lt;R&gt;1&lt;/R&gt;&lt;C&gt;1&lt;/C&gt;&lt;D xsi:type="xsd:double"&gt;20.495634&lt;/D&gt;&lt;/FQL&gt;&lt;FQL&gt;&lt;Q&gt;QTWO-US^FE_VALUATION(ROE,MEAN,NTMA,,0,,,'')&lt;/Q&gt;&lt;R&gt;1&lt;/R&gt;&lt;C&gt;1&lt;/C&gt;&lt;D xsi:type="xsd:double"&gt;22.646723&lt;/D&gt;&lt;/FQL&gt;&lt;FQL&gt;&lt;Q&gt;QTWO-US^FE_VALUATION(DIV_YLD,MEAN,NTMA,,NOW,,,'')&lt;/Q&gt;&lt;R&gt;0&lt;/R&gt;&lt;C&gt;0&lt;/C&gt;&lt;/FQL&gt;&lt;FQL&gt;&lt;Q&gt;QTWO-US^FE_VALUATION(MCAP_FCF,MEAN,NTMA,,NOW,,,'')&lt;/Q&gt;&lt;R&gt;1&lt;/R&gt;&lt;C&gt;1&lt;/C&gt;&lt;D xsi:type="xsd:double"&gt;7.4088554&lt;/D&gt;&lt;/FQL&gt;&lt;FQL&gt;&lt;Q&gt;QTWO-US^FE_VALUATION(NETDEBT_EBITDA,MEAN,NTMA,,NOW,,,'')&lt;/Q&gt;&lt;R&gt;1&lt;/R&gt;&lt;C&gt;1&lt;/C&gt;&lt;D xsi:type="xsd:double"&gt;-1.3096963&lt;/D&gt;&lt;/FQL&gt;&lt;FQL&gt;&lt;Q&gt;QTWO-US^FF_NET_MGN(LTM_R,0)&lt;/Q&gt;&lt;R&gt;1&lt;/R&gt;&lt;C&gt;1&lt;/C&gt;&lt;D xsi:type="xsd:double"&gt;6.5434588687345&lt;/D&gt;&lt;/FQL&gt;&lt;FQL&gt;&lt;Q&gt;QTWO-US^FF_EBITDA_OPER_MGN(LTM_R,0)&lt;/Q&gt;&lt;R&gt;1&lt;/R&gt;&lt;C&gt;1&lt;/C&gt;&lt;D xsi:type="xsd:double"&gt;14.4768114100369&lt;/D&gt;&lt;/FQL&gt;&lt;FQL&gt;&lt;Q&gt;QTWO-US^FF_GROSS_MGN(LTM_R,0)&lt;/Q&gt;&lt;R&gt;1&lt;/R&gt;&lt;C&gt;1&lt;/C&gt;&lt;D xsi:type="xsd:double"&gt;54.0494634560001&lt;/D&gt;&lt;/FQL&gt;&lt;FQL&gt;&lt;Q&gt;QTWO-US^POW(FE_ESTIMATE(EPS,MEAN,STMA,,NOW,,,'CURRENCY=USD')/FE_ESTIMATE(EPS,MEAN,LTMA,,NOW,,,'CURRENCY=USD'),0.5)-1&lt;/Q&gt;&lt;R&gt;1&lt;/R&gt;&lt;C&gt;1&lt;/C&gt;&lt;D xsi:type="xsd:double"&gt;0.158606102176232&lt;/D&gt;&lt;/FQL&gt;&lt;FQL&gt;&lt;Q&gt;QTWO-US^POW(FE_ESTIMATE(SALES,MEAN,STMA,,NOW,,,'CURRENCY=USD')/FE_ESTIMATE(SALES,MEAN,LTMA,,NOW,,,'CURRENCY=USD'),0.5)-1&lt;/Q&gt;&lt;R&gt;1&lt;/R&gt;&lt;C&gt;1&lt;/C&gt;&lt;D xsi:type="xsd:double"&gt;0.102280726493936&lt;/D&gt;&lt;/FQL&gt;&lt;FQL&gt;&lt;Q&gt;QTWO-US^FE_ACTUAL(ACTUAL,EPS,ANN_ROLL,0,,,,'CURRENCY=USD')&lt;/Q&gt;&lt;R&gt;1&lt;/R&gt;&lt;C&gt;1&lt;/C&gt;&lt;D xsi:type="xsd:double"&gt;2.554138&lt;/D&gt;&lt;/FQL&gt;&lt;FQL&gt;&lt;Q&gt;QTWO-US^OS_SEC_FLT_PCT(0D,,MTD,SEC)&lt;/Q&gt;&lt;R&gt;1&lt;/R&gt;&lt;C&gt;1&lt;/C&gt;&lt;D xsi:type="xsd:double"&gt;97.1016&lt;/D&gt;&lt;/FQL&gt;&lt;FQL&gt;&lt;Q&gt;QTWO-US^AVG(P_VOLUME_FRQ(-1AM,NOW,D,,6))*P_PRICE_AVG(-1AM,NOW,,USD)&lt;/Q&gt;&lt;R&gt;1&lt;/R&gt;&lt;C&gt;1&lt;/C&gt;&lt;D xsi:type="xsd:double"&gt;64.3443146694426&lt;/D&gt;&lt;/FQL&gt;&lt;FQL&gt;&lt;Q&gt;QTWO-US^FCS_EV_DAILY(MV,NOW,,,USD,M)&lt;/Q&gt;&lt;R&gt;1&lt;/R&gt;&lt;C&gt;1&lt;/C&gt;&lt;D xsi:type="xsd:double"&gt;3116.2834956&lt;/D&gt;&lt;/FQL&gt;&lt;FQL&gt;&lt;Q&gt;QTWO-US^P_DCOUNTRY&lt;/Q&gt;&lt;R&gt;1&lt;/R&gt;&lt;C&gt;1&lt;/C&gt;&lt;D xsi:type="xsd:string"&gt;UNITED STATES&lt;/D&gt;&lt;/FQL&gt;&lt;FQL&gt;&lt;Q&gt;QTWO-US^FR_RBICS_NAME_CURR("IND")&lt;/Q&gt;&lt;R&gt;1&lt;/R&gt;&lt;C&gt;1&lt;/C&gt;&lt;D xsi:type="xsd:string"&gt;Finance Industry Software&lt;/D&gt;&lt;/FQL&gt;&lt;FQL&gt;&lt;Q&gt;APPF-US^FE_RATING(MEAN,TEXTONLY,0,NOW,,,'')&lt;/Q&gt;&lt;R&gt;1&lt;/R&gt;&lt;C&gt;1&lt;/C&gt;&lt;D xsi:type="xsd:string"&gt;Buy&lt;/D&gt;&lt;/FQL&gt;&lt;FQL&gt;&lt;Q&gt;APPF-US^FG_PRICE(0,,,USD)/FG_PRICE_MAVG(0,,,USD,200)&lt;/Q&gt;&lt;R&gt;1&lt;/R&gt;&lt;C&gt;1&lt;/C&gt;&lt;D xsi:type="xsd:double"&gt;0.698241494796198&lt;/D&gt;&lt;/FQL&gt;&lt;FQL&gt;&lt;Q&gt;APPF-US^FG_PRICE(0,,,USD)/FG_PRICE_MAVG(0,,,USD,100)&lt;/Q&gt;&lt;R&gt;1&lt;/R&gt;&lt;C&gt;1&lt;/C&gt;&lt;D xsi:type="xsd:double"&gt;0.740529750914137&lt;/D&gt;&lt;/FQL&gt;&lt;FQL&gt;&lt;Q&gt;APPF-US^FG_PRICE(0,,,USD)/FG_PRICE_MAVG(0,,,USD,50)&lt;/Q&gt;&lt;R&gt;1&lt;/R&gt;&lt;C&gt;1&lt;/C&gt;&lt;D xsi:type="xsd:double"&gt;0.790778531119128&lt;/D&gt;&lt;/FQL&gt;&lt;FQL&gt;&lt;Q&gt;APPF-US^RTP_PRICE_TARGET(USD)/FG_PRICE(0,,,USD)&lt;/Q&gt;&lt;R&gt;1&lt;/R&gt;&lt;C&gt;1&lt;/C&gt;&lt;D xsi:type="xsd:double"&gt;1.6289747383616&lt;/D&gt;&lt;/FQL&gt;&lt;FQL&gt;&lt;Q&gt;APPF-US^FG_PRICE(0,,,USD)/P_PRICE_HIGH(-1AY,0,USD,,,"PRICE","INTRA")&lt;/Q&gt;&lt;R&gt;1&lt;/R&gt;&lt;C&gt;1&lt;/C&gt;&lt;D xsi:type="xsd:double"&gt;0.509937430990063&lt;/D&gt;&lt;/FQL&gt;&lt;FQL&gt;&lt;Q&gt;APPF-US^PERCENT_CHANGE(FE_VALUATION(FFEV_EBITDA,MEAN,NTMA,,0,,,''),MAX(FE_VALUATION(FFEV_EBITDA,MEAN,NTMA,,-1AY,0,,'')))&lt;/Q&gt;&lt;R&gt;1&lt;/R&gt;&lt;C&gt;1&lt;/C&gt;&lt;D xsi:type="xsd:double"&gt;-54.0242967421793&lt;/D&gt;&lt;/FQL&gt;&lt;FQL&gt;&lt;Q&gt;APPF-US^PERCENT_CHANGE(FE_VALUATION(PE,MEAN,NTMA,,0,,,''),MAX(FE_VALUATION(PE,MEAN,NTMA,,-1AY,0,,'')))&lt;/Q&gt;&lt;R&gt;1&lt;/R&gt;&lt;C&gt;1&lt;/C&gt;&lt;D xsi:type="xsd:double"&gt;-54.509724335344&lt;/D&gt;&lt;/FQL&gt;&lt;FQL&gt;&lt;Q&gt;APPF-US^FE_VALUATION(FFEV_EBITDA,MEAN,NTMA,,0,,,'')&lt;/Q&gt;&lt;R&gt;1&lt;/R&gt;&lt;C&gt;1&lt;/C&gt;&lt;D xsi:type="xsd:double"&gt;17.860455&lt;/D&gt;&lt;/FQL&gt;&lt;FQL&gt;&lt;Q&gt;APPF-US^FE_VALUATION(FFEV_SALES,MEAN,NTMA,,0,,,'')&lt;/Q&gt;&lt;R&gt;1&lt;/R&gt;&lt;C&gt;1&lt;/C&gt;&lt;D xsi:type="xsd:double"&gt;5.0975094&lt;/D&gt;&lt;/FQL&gt;&lt;FQL&gt;&lt;Q&gt;APPF-US^FE_VALUATION(P_SALESPS,MEAN,NTMA,,0,,,'')&lt;/Q&gt;&lt;R&gt;1&lt;/R&gt;&lt;C&gt;1&lt;/C&gt;&lt;D xsi:type="xsd:double"&gt;5.235088&lt;/D&gt;&lt;/FQL&gt;&lt;FQL&gt;&lt;Q&gt;APPF-US^FE_VALUATION(PE,MEAN,NTMA,,0,,,'')&lt;/Q&gt;&lt;R&gt;1&lt;/R&gt;&lt;C&gt;1&lt;/C&gt;&lt;D xsi:type="xsd:double"&gt;24.564697&lt;/D&gt;&lt;/FQL&gt;&lt;FQL&gt;&lt;Q&gt;APPF-US^FE_ACTUAL(ACTUAL,SALES,ANN_ROLL,0,,,,'CURRENCY=USD')&lt;/Q&gt;&lt;R&gt;1&lt;/R&gt;&lt;C&gt;1&lt;/C&gt;&lt;D xsi:type="xsd:double"&gt;950.822&lt;/D&gt;&lt;/FQL&gt;&lt;FQL&gt;&lt;Q&gt;APPF-US^FE_ACTUAL(ACTUAL,SALES,ANN_ROLL,-1,,,,'CURRENCY=USD')&lt;/Q&gt;&lt;R&gt;1&lt;/R&gt;&lt;C&gt;1&lt;/C&gt;&lt;D xsi:type="xsd:double"&gt;794.202&lt;/D&gt;&lt;/FQL&gt;&lt;FQL&gt;&lt;Q&gt;APPF-US^FE_VALUATION(EBITDA_MARGIN,MEAN,ANN_ROLL,0,NOW,,,'')&lt;/Q&gt;&lt;R&gt;1&lt;/R&gt;&lt;C&gt;1&lt;/C&gt;&lt;D xsi:type="xsd:double"&gt;25.939135&lt;/D&gt;&lt;/FQL&gt;&lt;FQL&gt;&lt;Q&gt;APPF-US^FE_VALUATION(ROIC,MEAN,NTMA,,0,,,'')&lt;/Q&gt;&lt;R&gt;1&lt;/R&gt;&lt;C&gt;1&lt;/C&gt;&lt;D xsi:type="xsd:double"&gt;30.296679&lt;/D&gt;&lt;/FQL&gt;&lt;FQL&gt;&lt;Q&gt;APPF-US^FE_VALUATION(ROE,MEAN,NTMA,,0,,,'')&lt;/Q&gt;&lt;R&gt;1&lt;/R&gt;&lt;C&gt;1&lt;/C&gt;&lt;D xsi:type="xsd:double"&gt;30.29252&lt;/D&gt;&lt;/FQL&gt;&lt;FQL&gt;&lt;Q&gt;APPF-US^FE_VALUATION(DIV_YLD,MEAN,NTMA,,NOW,,,'')&lt;/Q&gt;&lt;R&gt;1&lt;/R&gt;&lt;C&gt;1&lt;/C&gt;&lt;D xsi:type="xsd:double"&gt;0&lt;/D&gt;&lt;/FQL&gt;&lt;FQL&gt;&lt;Q&gt;APPF-US^FE_VALUATION(MCAP_FCF,MEAN,NTMA,,NOW,,,'')&lt;/Q&gt;&lt;R&gt;1&lt;/R&gt;&lt;C&gt;1&lt;/C&gt;&lt;D xsi:type="xsd:double"&gt;4.684289&lt;/D&gt;&lt;/FQL&gt;&lt;FQL&gt;&lt;Q&gt;APPF-US^FE_VALUATION(NETDEBT_EBITDA,MEAN,NTMA,,NOW,,,'')&lt;/Q&gt;&lt;R&gt;1&lt;/R&gt;&lt;C&gt;1&lt;/C&gt;&lt;D xsi:type="xsd:double"&gt;-1.4485171&lt;/D&gt;&lt;/FQL&gt;&lt;FQL&gt;&lt;Q&gt;APPF-US^FF_NET_MGN(LTM_R,0)&lt;/Q&gt;&lt;R&gt;1&lt;/R&gt;&lt;C&gt;1&lt;/C&gt;&lt;D xsi:type="xsd:double"&gt;14.8211757826386&lt;/D&gt;&lt;/FQL&gt;&lt;FQL&gt;&lt;Q&gt;APPF-US^FF_EBITDA_OPER_MGN(LTM_R,0)&lt;/Q&gt;&lt;R&gt;1&lt;/R&gt;&lt;C&gt;1&lt;/C&gt;&lt;D xsi:type="xsd:double"&gt;18.6984524968922&lt;/D&gt;&lt;/FQL&gt;&lt;FQL&gt;&lt;Q&gt;APPF-US^FF_GROSS_MGN(LTM_R,0)&lt;/Q&gt;&lt;R&gt;1&lt;/R&gt;&lt;C&gt;1&lt;/C&gt;&lt;D xsi:type="xsd:double"&gt;61.2974878578746&lt;/D&gt;&lt;/FQL&gt;&lt;FQL&gt;&lt;Q&gt;APPF-US^POW(FE_ESTIMATE(EPS,MEAN,STMA,,NOW,,,'CURRENCY=USD')/FE_ESTIMATE(EPS,MEAN,LTMA,,NOW,,,'CURRENCY=USD'),0.5)-1&lt;/Q&gt;&lt;R&gt;1&lt;/R&gt;&lt;C&gt;1&lt;/C&gt;&lt;D xsi:type="xsd:double"&gt;0.220693696223586&lt;/D&gt;&lt;/FQL&gt;&lt;FQL&gt;&lt;Q&gt;APPF-US^POW(FE_ESTIMATE(SALES,MEAN,STMA,,NOW,,,'CURRENCY=USD')/FE_ESTIMATE(SALES,MEAN,LTMA,,NOW,,,'CURRENCY=USD'),0.5)-1&lt;/Q&gt;&lt;R&gt;1&lt;/R&gt;&lt;C&gt;1&lt;/C&gt;&lt;D xsi:type="xsd:double"&gt;0.168514869396192&lt;/D&gt;&lt;/FQL&gt;&lt;FQL&gt;&lt;Q&gt;APPF-US^FE_ACTUAL(ACTUAL,EPS,ANN_ROLL,0,,,,'CURRENCY=USD')&lt;/Q&gt;&lt;R&gt;1&lt;/R&gt;&lt;C&gt;1&lt;/C&gt;&lt;D xsi:type="xsd:double"&gt;5.29&lt;/D&gt;&lt;/FQL&gt;&lt;FQL&gt;&lt;Q&gt;APPF-US^OS_SEC_FLT_PCT(0D,,MTD,SEC)&lt;/Q&gt;&lt;R&gt;1&lt;/R&gt;&lt;C&gt;1&lt;/C&gt;&lt;D xsi:type="xsd:double"&gt;93.4494&lt;/D&gt;&lt;/FQL&gt;&lt;FQL&gt;&lt;Q&gt;APPF-US^AVG(P_VOLUME_FRQ(-1AM,NOW,D,,6))*P_PRICE_AVG(-1AM,NOW,,USD)&lt;/Q&gt;&lt;R&gt;1&lt;/R&gt;&lt;C&gt;1&lt;/C&gt;&lt;D xsi:type="xsd:double"&gt;91.0121585633873&lt;/D&gt;&lt;/FQL&gt;&lt;FQL&gt;&lt;Q&gt;APPF-US^FCS_EV_DAILY(MV,NOW,,,USD,M)&lt;/Q&gt;&lt;R&gt;1&lt;/R&gt;&lt;C&gt;1&lt;/C&gt;&lt;D xsi:type="xsd:double"&gt;6092.29422816&lt;/D&gt;&lt;/FQL&gt;&lt;FQL&gt;&lt;Q&gt;APPF-US^P_DCOUNTRY&lt;/Q&gt;&lt;R&gt;1&lt;/R&gt;&lt;C&gt;1&lt;/C&gt;&lt;D xsi:type="xsd:string"&gt;UNITED STATES&lt;/D&gt;&lt;/FQL&gt;&lt;FQL&gt;&lt;Q&gt;APPF-US^FR_RBICS_NAME_CURR("IND")&lt;/Q&gt;&lt;R&gt;1&lt;/R&gt;&lt;C&gt;1&lt;/C&gt;&lt;D xsi:type="xsd:string"&gt;Other Real Estate Investment and Services&lt;/D&gt;&lt;/FQL&gt;&lt;FQL&gt;&lt;Q&gt;PAYX-US^FE_RATING(MEAN,TEXTONLY,0,NOW,,,'')&lt;/Q&gt;&lt;R&gt;1&lt;/R&gt;&lt;C&gt;1&lt;/C&gt;&lt;D xsi:type="xsd:string"&gt;Hold&lt;/D&gt;&lt;/FQL&gt;&lt;FQL&gt;&lt;Q&gt;PAYX-US^FG_PRICE(0,,,USD)/FG_PRICE_MAVG(0,,,USD,200)&lt;/Q&gt;&lt;R&gt;1&lt;/R&gt;&lt;C&gt;1&lt;/C&gt;&lt;D xsi:type="xsd:double"&gt;0.691553500139612&lt;/D&gt;&lt;/FQL&gt;&lt;FQL&gt;&lt;Q&gt;PAYX-US^FG_PRICE(0,,,USD)/FG_PRICE_MAVG(0,,,USD,100)&lt;/Q&gt;&lt;R&gt;1&lt;/R&gt;&lt;C&gt;1&lt;/C&gt;&lt;D xsi:type="xsd:double"&gt;0.791276993898636&lt;/D&gt;&lt;/FQL&gt;&lt;FQL&gt;&lt;Q&gt;PAYX-US^FG_PRICE(0,,,USD)/FG_PRICE_MAVG(0,,,USD,50)&lt;/Q&gt;&lt;R&gt;1&lt;/R&gt;&lt;C&gt;1&lt;/C&gt;&lt;D xsi:type="xsd:double"&gt;0.835901437697568&lt;/D&gt;&lt;/FQL&gt;&lt;FQL&gt;&lt;Q&gt;PAYX-US^RTP_PRICE_TARGET(USD)/FG_PRICE(0,,,USD)&lt;/Q&gt;&lt;R&gt;1&lt;/R&gt;&lt;C&gt;1&lt;/C&gt;&lt;D xsi:type="xsd:double"&gt;1.34332210669078&lt;/D&gt;&lt;/FQL&gt;&lt;FQL&gt;&lt;Q&gt;PAYX-US^FG_PRICE(0,,,USD)/P_PRICE_HIGH(-1AY,0,USD,,,"PRICE","INTRA")&lt;/Q&gt;&lt;R&gt;1&lt;/R&gt;&lt;C&gt;1&lt;/C&gt;&lt;D xsi:type="xsd:double"&gt;0.548747209129248&lt;/D&gt;&lt;/FQL&gt;&lt;FQL&gt;&lt;Q&gt;PAYX-US^PERCENT_CHANGE(FE_VALUATION(FFEV_EBITDA,MEAN,NTMA,,0,,,''),MAX(FE_VALUATION(FFEV_EBITDA,MEAN,NTMA,,-1AY,0,,'')))&lt;/Q&gt;&lt;R&gt;1&lt;/R&gt;&lt;C&gt;1&lt;/C&gt;&lt;D xsi:type="xsd:double"&gt;-50.2832497143879&lt;/D&gt;&lt;/FQL&gt;&lt;FQL&gt;&lt;Q&gt;PAYX-US^PERCENT_CHANGE(FE_VALUATION(PE,MEAN,NTMA,,0,,,''),MAX(FE_VALUATION(PE,MEAN,NTMA,,-1AY,0,,'')))&lt;/Q&gt;&lt;R&gt;1&lt;/R&gt;&lt;C&gt;1&lt;/C&gt;&lt;D xsi:type="xsd:double"&gt;-49.2860193106679&lt;/D&gt;&lt;/FQL&gt;&lt;FQL&gt;&lt;Q&gt;PAYX-US^FE_VALUATION(FFEV_EBITDA,MEAN,NTMA,,0,,,'')&lt;/Q&gt;&lt;R&gt;1&lt;/R&gt;&lt;C&gt;1&lt;/C&gt;&lt;D xsi:type="xsd:double"&gt;11.174915&lt;/D&gt;&lt;/FQL&gt;&lt;FQL&gt;&lt;Q&gt;PAYX-US^FE_VALUATION(FFEV_SALES,MEAN,NTMA,,0,,,'')&lt;/Q&gt;&lt;R&gt;1&lt;/R&gt;&lt;C&gt;1&lt;/C&gt;&lt;D xsi:type="xsd:double"&gt;5.220079&lt;/D&gt;&lt;/FQL&gt;&lt;FQL&gt;&lt;Q&gt;PAYX-US^FE_VALUATION(P_SALESPS,MEAN,NTMA,,0,,,'')&lt;/Q&gt;&lt;R&gt;1&lt;/R&gt;&lt;C&gt;1&lt;/C&gt;&lt;D xsi:type="xsd:double"&gt;4.6900034&lt;/D&gt;&lt;/FQL&gt;&lt;FQL&gt;&lt;Q&gt;PAYX-US^FE_VALUATION(PE,MEAN,NTMA,,0,,,'')&lt;/Q&gt;&lt;R&gt;1&lt;/R&gt;&lt;C&gt;1&lt;/C&gt;&lt;D xsi:type="xsd:double"&gt;15.268766&lt;/D&gt;&lt;/FQL&gt;&lt;FQL&gt;&lt;Q&gt;PAYX-US^FE_ACTUAL(ACTUAL,SALES,ANN_ROLL,0,,,,'CURRENCY=USD')&lt;/Q&gt;&lt;R&gt;1&lt;/R&gt;&lt;C&gt;1&lt;/C&gt;&lt;D xsi:type="xsd:double"&gt;5571.7&lt;/D&gt;&lt;/FQL&gt;&lt;FQL&gt;&lt;Q&gt;PAYX-US^FE_ACTUAL(ACTUAL,SALES,ANN_ROLL,-1,,,,'CURRENCY=USD')&lt;/Q&gt;&lt;R&gt;1&lt;/R&gt;&lt;C&gt;1&lt;/C&gt;&lt;D xsi:type="xsd:double"&gt;5278.3&lt;/D&gt;&lt;/FQL&gt;&lt;FQL&gt;&lt;Q&gt;PAYX-US^FE_VALUATION(EBITDA_MARGIN,MEAN,ANN_ROLL,0,NOW,,,'')&lt;/Q&gt;&lt;R&gt;1&lt;/R&gt;&lt;C&gt;1&lt;/C&gt;&lt;D xsi:type="xsd:double"&gt;45.58034&lt;/D&gt;&lt;/FQL&gt;&lt;FQL&gt;&lt;Q&gt;PAYX-US^FE_VALUATION(ROIC,MEAN,NTMA,,0,,,'')&lt;/Q&gt;&lt;R&gt;1&lt;/R&gt;&lt;C&gt;1&lt;/C&gt;&lt;D xsi:type="xsd:double"&gt;21.688606&lt;/D&gt;&lt;/FQL&gt;&lt;FQL&gt;&lt;Q&gt;PAYX-US^FE_VALUATION(ROE,MEAN,NTMA,,0,,,'')&lt;/Q&gt;&lt;R&gt;1&lt;/R&gt;&lt;C&gt;1&lt;/C&gt;&lt;D xsi:type="xsd:double"&gt;46.332012&lt;/D&gt;&lt;/FQL&gt;&lt;FQL&gt;&lt;Q&gt;PAYX-US^FE_VALUATION(DIV_YLD,MEAN,NTMA,,NOW,,,'')&lt;/Q&gt;&lt;R&gt;1&lt;/R&gt;&lt;C&gt;1&lt;/C&gt;&lt;D xsi:type="xsd:double"&gt;5.267754&lt;/D&gt;&lt;/FQL&gt;&lt;FQL&gt;&lt;Q&gt;PAYX-US^FE_VALUATION(MCAP_FCF,MEAN,NTMA,,NOW,,,'')&lt;/Q&gt;&lt;R&gt;1&lt;/R&gt;&lt;C&gt;1&lt;/C&gt;&lt;D xsi:type="xsd:double"&gt;7.1810746&lt;/D&gt;&lt;/FQL&gt;&lt;FQL&gt;&lt;Q&gt;PAYX-US^FE_VALUATION(NETDEBT_EBITDA,MEAN,NTMA,,NOW,,,'')&lt;/Q&gt;&lt;R&gt;1&lt;/R&gt;&lt;C&gt;1&lt;/C&gt;&lt;D xsi:type="xsd:double"&gt;0.9057918&lt;/D&gt;&lt;/FQL&gt;&lt;FQL&gt;&lt;Q&gt;PAYX-US^FF_NET_MGN(LTM_R,0)&lt;/Q&gt;&lt;R&gt;1&lt;/R&gt;&lt;C&gt;1&lt;/C&gt;&lt;D xsi:type="xsd:double"&gt;26.4455824591061&lt;/D&gt;&lt;/FQL&gt;&lt;FQL&gt;&lt;Q&gt;PAYX-US^FF_EBITDA_OPER_MGN(LTM_R,0)&lt;/Q&gt;&lt;R&gt;1&lt;/R&gt;&lt;C&gt;1&lt;/C&gt;&lt;D xsi:type="xsd:double"&gt;48.1960257876332&lt;/D&gt;&lt;/FQL&gt;&lt;FQL&gt;&lt;Q&gt;PAYX-US^FF_GROSS_MGN(LTM_R,0)&lt;/Q&gt;&lt;R&gt;1&lt;/R&gt;&lt;C&gt;1&lt;/C&gt;&lt;D xsi:type="xsd:double"&gt;73.3621704038847&lt;/D&gt;&lt;/FQL&gt;&lt;FQL&gt;&lt;Q&gt;PAYX-US^POW(FE_ESTIMATE(EPS,MEAN,STMA,,NOW,,,'CURRENCY=USD')/FE_ESTIMATE(EPS,MEAN,LTMA,,NOW,,,'CURRENCY=USD'),0.5)-1&lt;/Q&gt;&lt;R&gt;1&lt;/R&gt;&lt;C&gt;1&lt;/C&gt;&lt;D xsi:type="xsd:double"&gt;0.0752385781769551&lt;/D&gt;&lt;/FQL&gt;&lt;FQL&gt;&lt;Q&gt;PAYX-US^POW(FE_ESTIMATE(SALES,MEAN,STMA,,NOW,,,'CURRENCY=USD')/FE_ESTIMATE(SALES,MEAN,LTMA,,NOW,,,'CURRENCY=USD'),0.5)-1&lt;/Q&gt;&lt;R&gt;1&lt;/R&gt;&lt;C&gt;1&lt;/C&gt;&lt;D xsi:type="xsd:double"&gt;0.0698043279030049&lt;/D&gt;&lt;/FQL&gt;&lt;FQL&gt;&lt;Q&gt;PAYX-US^FE_ACTUAL(ACTUAL,EPS,ANN_ROLL,0,,,,'CURRENCY=USD')&lt;/Q&gt;&lt;R&gt;1&lt;/R&gt;&lt;C&gt;1&lt;/C&gt;&lt;D xsi:type="xsd:double"&gt;4.98&lt;/D&gt;&lt;/FQL&gt;&lt;FQL&gt;&lt;Q&gt;PAYX-US^OS_SEC_FLT_PCT(0D,,MTD,SEC)&lt;/Q&gt;&lt;R&gt;1&lt;/R&gt;&lt;C&gt;1&lt;/C&gt;&lt;D xsi:type="xsd:double"&gt;89.6785&lt;/D&gt;&lt;/FQL&gt;&lt;FQL&gt;&lt;Q&gt;PAYX-US^AVG(P_VOLUME_FRQ(-1AM,NOW,D,,6))*P_PRICE_AVG(-1AM,NOW,,USD)&lt;/Q&gt;&lt;R&gt;1&lt;/R&gt;&lt;C&gt;1&lt;/C&gt;&lt;D xsi:type="xsd:double"&gt;396.30704111377&lt;/D&gt;&lt;/FQL&gt;&lt;FQL&gt;&lt;Q&gt;PAYX-US^FCS_EV_DAILY(MV,NOW,,,USD,M)&lt;/Q&gt;&lt;R&gt;1&lt;/R&gt;&lt;C&gt;1&lt;/C&gt;&lt;D xsi:type="xsd:double"&gt;31942.001976&lt;/D&gt;&lt;/FQL&gt;&lt;FQL&gt;&lt;Q&gt;PAYX-US^P_DCOUNTRY&lt;/Q&gt;&lt;R&gt;1&lt;/R&gt;&lt;C&gt;1&lt;/C&gt;&lt;D xsi:type="xsd:string"&gt;UNITED STATES&lt;/D&gt;&lt;/FQL&gt;&lt;FQL&gt;&lt;Q&gt;PAYX-US^FR_RBICS_NAME_CURR("IND")&lt;/Q&gt;&lt;R&gt;1&lt;/R&gt;&lt;C&gt;1&lt;/C&gt;&lt;D xsi:type="xsd:string"&gt;Enterprise Resource Planning Software&lt;/D&gt;&lt;/FQL&gt;&lt;FQL&gt;&lt;Q&gt;SPSC-US^FE_RATING(MEAN,TEXTONLY,0,NOW,,,'')&lt;/Q&gt;&lt;R&gt;1&lt;/R&gt;&lt;C&gt;1&lt;/C&gt;&lt;D xsi:type="xsd:string"&gt;Overweight&lt;/D&gt;&lt;/FQL&gt;&lt;FQL&gt;&lt;Q&gt;SPSC-US^FG_PRICE(0,,,USD)/FG_PRICE_MAVG(0,,,USD,200)&lt;/Q&gt;&lt;R&gt;1&lt;/R&gt;&lt;C&gt;1&lt;/C&gt;&lt;D xsi:type="xsd:double"&gt;0.502205876967626&lt;/D&gt;&lt;/FQL&gt;&lt;FQL&gt;&lt;Q&gt;SPSC-US^FG_PRICE(0,,,USD)/FG_PRICE_MAVG(0,,,USD,100)&lt;/Q&gt;&lt;R&gt;1&lt;/R&gt;&lt;C&gt;1&lt;/C&gt;&lt;D xsi:type="xsd:double"&gt;0.611434743986392&lt;/D&gt;&lt;/FQL&gt;&lt;FQL&gt;&lt;Q&gt;SPSC-US^FG_PRICE(0,,,USD)/FG_PRICE_MAVG(0,,,USD,50)&lt;/Q&gt;&lt;R&gt;1&lt;/R&gt;&lt;C&gt;1&lt;/C&gt;&lt;D xsi:type="xsd:double"&gt;0.647398097842325&lt;/D&gt;&lt;/FQL&gt;&lt;FQL&gt;&lt;Q&gt;SPSC-US^RTP_PRICE_TARGET(USD)/FG_PRICE(0,,,USD)&lt;/Q&gt;&lt;R&gt;1&lt;/R&gt;&lt;C&gt;1&lt;/C&gt;&lt;D xsi:type="xsd:double"&gt;1.51543123500092&lt;/D&gt;&lt;/FQL&gt;&lt;FQL&gt;&lt;Q&gt;SPSC-US^FG_PRICE(0,,,USD)/P_PRICE_HIGH(-1AY,0,USD,,,"PRICE","INTRA")&lt;/Q&gt;&lt;R&gt;1&lt;/R&gt;&lt;C&gt;1&lt;/C&gt;&lt;D xsi:type="xsd:double"&gt;0.353690044248799&lt;/D&gt;&lt;/FQL&gt;&lt;FQL&gt;&lt;Q&gt;SPSC-US^PERCENT_CHANGE(FE_VALUATION(FFEV_EBITDA,MEAN,NTMA,,0,,,''),MAX(FE_VALUATION(FFEV_EBITDA,MEAN,NTMA,,-1AY,0,,'')))&lt;/Q&gt;&lt;R&gt;1&lt;/R&gt;&lt;C&gt;1&lt;/C&gt;&lt;D xsi:type="xsd:double"&gt;-69.7194775039736&lt;/D&gt;&lt;/FQL&gt;&lt;FQL&gt;&lt;Q&gt;SPSC-US^PERCENT_CHANGE(FE_VALUATION(PE,MEAN,NTMA,,0,,,''),MAX(FE_VALUATION(PE,MEAN,NTMA,,-1AY,0,,'')))&lt;/Q&gt;&lt;R&gt;1&lt;/R&gt;&lt;C&gt;1&lt;/C&gt;&lt;D xsi:type="xsd:double"&gt;-67.7523631245814&lt;/D&gt;&lt;/FQL&gt;&lt;FQL&gt;&lt;Q&gt;SPSC-US^FE_VALUATION(FFEV_EBITDA,MEAN,NTMA,,0,,,'')&lt;/Q&gt;&lt;R&gt;1&lt;/R&gt;&lt;C&gt;1&lt;/C&gt;&lt;D xsi:type="xsd:double"&gt;7.130842&lt;/D&gt;&lt;/FQL&gt;&lt;FQL&gt;&lt;Q&gt;SPSC-US^FE_VALUATION(FFEV_SALES,MEAN,NTMA,,0,,,'')&lt;/Q&gt;&lt;R&gt;1&lt;/R&gt;&lt;C&gt;1&lt;/C&gt;&lt;D xsi:type="xsd:double"&gt;2.3601367&lt;/D&gt;&lt;/FQL&gt;&lt;FQL&gt;&lt;Q&gt;SPSC-US^FE_VALUATION(P_SALESPS,MEAN,NTMA,,0,,,'')&lt;/Q&gt;&lt;R&gt;1&lt;/R&gt;&lt;C&gt;1&lt;/C&gt;&lt;D xsi:type="xsd:double"&gt;2.49776&lt;/D&gt;&lt;/FQL&gt;&lt;FQL&gt;&lt;Q&gt;SPSC-US^FE_VALUATION(PE,MEAN,NTMA,,0,,,'')&lt;/Q&gt;&lt;R&gt;1&lt;/R&gt;&lt;C&gt;1&lt;/C&gt;&lt;D xsi:type="xsd:double"&gt;11.829469&lt;/D&gt;&lt;/FQL&gt;&lt;FQL&gt;&lt;Q&gt;SPSC-US^FE_ACTUAL(ACTUAL,SALES,ANN_ROLL,0,,,,'CURRENCY=USD')&lt;/Q&gt;&lt;R&gt;1&lt;/R&gt;&lt;C&gt;1&lt;/C&gt;&lt;D xsi:type="xsd:double"&gt;751.505&lt;/D&gt;&lt;/FQL&gt;&lt;FQL&gt;&lt;Q&gt;SPSC-US^FE_ACTUAL(ACTUAL,SALES,ANN_ROLL,-1,,,,'CURRENCY=USD')&lt;/Q&gt;&lt;R&gt;1&lt;/R&gt;&lt;C&gt;1&lt;/C&gt;&lt;D xsi:type="xsd:double"&gt;637.765&lt;/D&gt;&lt;/FQL&gt;&lt;FQL&gt;&lt;Q&gt;SPSC-US^FE_VALUATION(EBITDA_MARGIN,MEAN,ANN_ROLL,0,NOW,,,'')&lt;/Q&gt;&lt;R&gt;1&lt;/R&gt;&lt;C&gt;1&lt;/C&gt;&lt;D xsi:type="xsd:double"&gt;30.787155&lt;/D&gt;&lt;/FQL&gt;&lt;FQL&gt;&lt;Q&gt;SPSC-US^FE_VALUATION(ROIC,MEAN,NTMA,,0,,,'')&lt;/Q&gt;&lt;R&gt;0&lt;/R&gt;&lt;C&gt;0&lt;/C&gt;&lt;/FQL&gt;&lt;FQL&gt;&lt;Q&gt;SPSC-US^FE_VALUATION(ROE,MEAN,NTMA,,0,,,'')&lt;/Q&gt;&lt;R&gt;1&lt;/R&gt;&lt;C&gt;1&lt;/C&gt;&lt;D xsi:type="xsd:double"&gt;15.323334&lt;/D&gt;&lt;/FQL&gt;&lt;FQL&gt;&lt;Q&gt;SPSC-US^FE_VALUATION(DIV_YLD,MEAN,NTMA,,NOW,,,'')&lt;/Q&gt;&lt;R&gt;1&lt;/R&gt;&lt;C&gt;1&lt;/C&gt;&lt;D xsi:type="xsd:double"&gt;0&lt;/D&gt;&lt;/FQL&gt;&lt;FQL&gt;&lt;Q&gt;SPSC-US^FE_VALUATION(MCAP_FCF,MEAN,NTMA,,NOW,,,'')&lt;/Q&gt;&lt;R&gt;1&lt;/R&gt;&lt;C&gt;1&lt;/C&gt;&lt;D xsi:type="xsd:double"&gt;9.287747&lt;/D&gt;&lt;/FQL&gt;&lt;FQL&gt;&lt;Q&gt;SPSC-US^FE_VALUATION(NETDEBT_EBITDA,MEAN,NTMA,,NOW,,,'')&lt;/Q&gt;&lt;R&gt;1&lt;/R&gt;&lt;C&gt;1&lt;/C&gt;&lt;D xsi:type="xsd:double"&gt;-1.071384&lt;/D&gt;&lt;/FQL&gt;&lt;FQL&gt;&lt;Q&gt;SPSC-US^FF_NET_MGN(LTM_R,0)&lt;/Q&gt;&lt;R&gt;1&lt;/R&gt;&lt;C&gt;1&lt;/C&gt;&lt;D xsi:type="xsd:double"&gt;12.420276644866&lt;/D&gt;&lt;/FQL&gt;&lt;FQL&gt;&lt;Q&gt;SPSC-US^FF_EBITDA_OPER_MGN(LTM_R,0)&lt;/Q&gt;&lt;R&gt;1&lt;/R&gt;&lt;C&gt;1&lt;/C&gt;&lt;D xsi:type="xsd:double"&gt;23.4943213950672&lt;/D&gt;&lt;/FQL&gt;&lt;FQL&gt;&lt;Q&gt;SPSC-US^FF_GROSS_MGN(LTM_R,0)&lt;/Q&gt;&lt;R&gt;1&lt;/R&gt;&lt;C&gt;1&lt;/C&gt;&lt;D xsi:type="xsd:double"&gt;64.2320410376511&lt;/D&gt;&lt;/FQL&gt;&lt;FQL&gt;&lt;Q&gt;SPSC-US^POW(FE_ESTIMATE(EPS,MEAN,STMA,,NOW,,,'CURRENCY=USD')/FE_ESTIMATE(EPS,MEAN,LTMA,,NOW,,,'CURRENCY=USD'),0.5)-1&lt;/Q&gt;&lt;R&gt;1&lt;/R&gt;&lt;C&gt;1&lt;/C&gt;&lt;D xsi:type="xsd:double"&gt;0.0994314439745663&lt;/D&gt;&lt;/FQL&gt;&lt;FQL&gt;&lt;Q&gt;SPSC-US^POW(FE_ESTIMATE(SALES,MEAN,STMA,,NOW,,,'CURRENCY=USD')/FE_ESTIMATE(SALES,MEAN,LTMA,,NOW,,,'CURRENCY=USD'),0.5)-1&lt;/Q&gt;&lt;R&gt;1&lt;/R&gt;&lt;C&gt;1&lt;/C&gt;&lt;D xsi:type="xsd:double"&gt;0.0716772835140249&lt;/D&gt;&lt;/FQL&gt;&lt;FQL&gt;&lt;Q&gt;SPSC-US^FE_ACTUAL(ACTUAL,EPS,ANN_ROLL,0,,,,'CURRENCY=USD')&lt;/Q&gt;&lt;R&gt;1&lt;/R&gt;&lt;C&gt;1&lt;/C&gt;&lt;D xsi:type="xsd:double"&gt;4.27&lt;/D&gt;&lt;/FQL&gt;&lt;FQL&gt;&lt;Q&gt;SPSC-US^OS_SEC_FLT_PCT(0D,,MTD,SEC)&lt;/Q&gt;&lt;R&gt;1&lt;/R&gt;&lt;C&gt;1&lt;/C&gt;&lt;D xsi:type="xsd:double"&gt;98.2899&lt;/D&gt;&lt;/FQL&gt;&lt;FQL&gt;&lt;Q&gt;SPSC-US^AVG(P_VOLUME_FRQ(-1AM,NOW,D,,6))*P_PRICE_AVG(-1AM,NOW,,USD)&lt;/Q&gt;&lt;R&gt;1&lt;/R&gt;&lt;C&gt;1&lt;/C&gt;&lt;D xsi:type="xsd:double"&gt;72.2392506744688&lt;/D&gt;&lt;/FQL&gt;&lt;FQL&gt;&lt;Q&gt;SPSC-US^FCS_EV_DAILY(MV,NOW,,,USD,M)&lt;/Q&gt;&lt;R&gt;1&lt;/R&gt;&lt;C&gt;1&lt;/C&gt;&lt;D xsi:type="xsd:double"&gt;2079.9811993&lt;/D&gt;&lt;/FQL&gt;&lt;FQL&gt;&lt;Q&gt;SPSC-US^P_DCOUNTRY&lt;/Q&gt;&lt;R&gt;1&lt;/R&gt;&lt;C&gt;1&lt;/C&gt;&lt;D xsi:type="xsd:string"&gt;UNITED STATES&lt;/D&gt;&lt;/FQL&gt;&lt;FQL&gt;&lt;Q&gt;SPSC-US^FR_RBICS_NAME_CURR("IND")&lt;/Q&gt;&lt;R&gt;1&lt;/R&gt;&lt;C&gt;1&lt;/C&gt;&lt;D xsi:type="xsd:string"&gt;Enterprise Resource Planning Software&lt;/D&gt;&lt;/FQL&gt;&lt;FQL&gt;&lt;Q&gt;PANW-US^FE_RATING(MEAN,TEXTONLY,0,NOW,,,'')&lt;/Q&gt;&lt;R&gt;1&lt;/R&gt;&lt;C&gt;1&lt;/C&gt;&lt;D xsi:type="xsd:string"&gt;Overweight&lt;/D&gt;&lt;/FQL&gt;&lt;FQL&gt;&lt;Q&gt;PANW-US^FG_PRICE(0,,,USD)/FG_PRICE_MAVG(0,,,USD,200)&lt;/Q&gt;&lt;R&gt;1&lt;/R&gt;&lt;C&gt;1&lt;/C&gt;&lt;D xsi:type="xsd:double"&gt;0.737352353870004&lt;/D&gt;&lt;/FQL&gt;&lt;FQL&gt;&lt;Q&gt;PANW-US^FG_PRICE(0,,,USD)/FG_PRICE_MAVG(0,,,USD,100)&lt;/Q&gt;&lt;R&gt;1&lt;/R&gt;&lt;C&gt;1&lt;/C&gt;&lt;D xsi:type="xsd:double"&gt;0.739330730080616&lt;/D&gt;&lt;/FQL&gt;&lt;FQL&gt;&lt;Q&gt;PANW-US^FG_PRICE(0,,,USD)/FG_PRICE_MAVG(0,,,USD,50)&lt;/Q&gt;&lt;R&gt;1&lt;/R&gt;&lt;C&gt;1&lt;/C&gt;&lt;D xsi:type="xsd:double"&gt;0.798363937190336&lt;/D&gt;&lt;/FQL&gt;&lt;FQL&gt;&lt;Q&gt;PANW-US^RTP_PRICE_TARGET(USD)/FG_PRICE(0,,,USD)&lt;/Q&gt;&lt;R&gt;1&lt;/R&gt;&lt;C&gt;1&lt;/C&gt;&lt;D xsi:type="xsd:double"&gt;1.47082028658149&lt;/D&gt;&lt;/FQL&gt;&lt;FQL&gt;&lt;Q&gt;PANW-US^FG_PRICE(0,,,USD)/P_PRICE_HIGH(-1AY,0,USD,,,"PRICE","INTRA")&lt;/Q&gt;&lt;R&gt;1&lt;/R&gt;&lt;C&gt;1&lt;/C&gt;&lt;D xsi:type="xsd:double"&gt;0.633558427619516&lt;/D&gt;&lt;/FQL&gt;&lt;FQL&gt;&lt;Q&gt;PANW-US^PERCENT_CHANGE(FE_VALUATION(FFEV_EBITDA,MEAN,NTMA,,0,,,''),MAX(FE_VALUATION(FFEV_EBITDA,MEAN,NTMA,,-1AY,0,,'')))&lt;/Q&gt;&lt;R&gt;1&lt;/R&gt;&lt;C&gt;1&lt;/C&gt;&lt;D xsi:type="xsd:double"&gt;-44.1021758915759&lt;/D&gt;&lt;/FQL&gt;&lt;FQL&gt;&lt;Q&gt;PANW-US^PERCENT_CHANGE(FE_VALUATION(PE,MEAN,NTMA,,0,,,''),MAX(FE_VALUATION(PE,MEAN,NTMA,,-1AY,0,,'')))&lt;/Q&gt;&lt;R&gt;1&lt;/R&gt;&lt;C&gt;1&lt;/C&gt;&lt;D xsi:type="xsd:double"&gt;-35.5204075218295&lt;/D&gt;&lt;/FQL&gt;&lt;FQL&gt;&lt;Q&gt;PANW-US^FE_VALUATION(FFEV_EBITDA,MEAN,NTMA,,0,,,'')&lt;/Q&gt;&lt;R&gt;1&lt;/R&gt;&lt;C&gt;1&lt;/C&gt;&lt;D xsi:type="xsd:double"&gt;24.956488&lt;/D&gt;&lt;/FQL&gt;&lt;FQL&gt;&lt;Q&gt;PANW-US^FE_VALUATION(FFEV_SALES,MEAN,NTMA,,0,,,'')&lt;/Q&gt;&lt;R&gt;1&lt;/R&gt;&lt;C&gt;1&lt;/C&gt;&lt;D xsi:type="xsd:double"&gt;7.8018517&lt;/D&gt;&lt;/FQL&gt;&lt;FQL&gt;&lt;Q&gt;PANW-US^FE_VALUATION(P_SALESPS,MEAN,NTMA,,0,,,'')&lt;/Q&gt;&lt;R&gt;1&lt;/R&gt;&lt;C&gt;1&lt;/C&gt;&lt;D xsi:type="xsd:double"&gt;9.340525&lt;/D&gt;&lt;/FQL&gt;&lt;FQL&gt;&lt;Q&gt;PANW-US^FE_VALUATION(PE,MEAN,NTMA,,0,,,'')&lt;/Q&gt;&lt;R&gt;1&lt;/R&gt;&lt;C&gt;1&lt;/C&gt;&lt;D xsi:type="xsd:double"&gt;36.352707&lt;/D&gt;&lt;/FQL&gt;&lt;FQL&gt;&lt;Q&gt;PANW-US^FE_ACTUAL(ACTUAL,SALES,ANN_ROLL,0,,,,'CURRENCY=USD')&lt;/Q&gt;&lt;R&gt;1&lt;/R&gt;&lt;C&gt;1&lt;/C&gt;&lt;D xsi:type="xsd:double"&gt;9221.5&lt;/D&gt;&lt;/FQL&gt;&lt;FQL&gt;&lt;Q&gt;PANW-US^FE_ACTUAL(ACTUAL,SALES,ANN_ROLL,-1,,,,'CURRENCY=USD')&lt;/Q&gt;&lt;R&gt;1&lt;/R&gt;&lt;C&gt;1&lt;/C&gt;&lt;D xsi:type="xsd:double"&gt;8027.5&lt;/D&gt;&lt;/FQL&gt;&lt;FQL&gt;&lt;Q&gt;PANW-US^FE_VALUATION(EBITDA_MARGIN,MEAN,ANN_ROLL,0,NOW,,,'')&lt;/Q&gt;&lt;R&gt;1&lt;/R&gt;&lt;C&gt;1&lt;/C&gt;&lt;D xsi:type="xsd:double"&gt;31.17652&lt;/D&gt;&lt;/FQL&gt;&lt;FQL&gt;&lt;Q&gt;PANW-US^FE_VALUATION(ROIC,MEAN,NTMA,,0,,,'')&lt;/Q&gt;&lt;R&gt;1&lt;/R&gt;&lt;C&gt;1&lt;/C&gt;&lt;D xsi:type="xsd:double"&gt;25.788795&lt;/D&gt;&lt;/FQL&gt;&lt;FQL&gt;&lt;Q&gt;PANW-US^FE_VALUATION(ROE,MEAN,NTMA,,0,,,'')&lt;/Q&gt;&lt;R&gt;1&lt;/R&gt;&lt;C&gt;1&lt;/C&gt;&lt;D xsi:type="xsd:double"&gt;23.746382&lt;/D&gt;&lt;/FQL&gt;&lt;FQL&gt;&lt;Q&gt;PANW-US^FE_VALUATION(DIV_YLD,MEAN,NTMA,,NOW,,,'')&lt;/Q&gt;&lt;R&gt;1&lt;/R&gt;&lt;C&gt;1&lt;/C&gt;&lt;D xsi:type="xsd:double"&gt;0&lt;/D&gt;&lt;/FQL&gt;&lt;FQL&gt;&lt;Q&gt;PANW-US^FE_VALUATION(MCAP_FCF,MEAN,NTMA,,NOW,,,'')&lt;/Q&gt;&lt;R&gt;1&lt;/R&gt;&lt;C&gt;1&lt;/C&gt;&lt;D xsi:type="xsd:double"&gt;3.982015&lt;/D&gt;&lt;/FQL&gt;&lt;FQL&gt;&lt;Q&gt;PANW-US^FE_VALUATION(NETDEBT_EBITDA,MEAN,NTMA,,NOW,,,'')&lt;/Q&gt;&lt;R&gt;1&lt;/R&gt;&lt;C&gt;1&lt;/C&gt;&lt;D xsi:type="xsd:double"&gt;-2.2344122&lt;/D&gt;&lt;/FQL&gt;&lt;FQL&gt;&lt;Q&gt;PANW-US^FF_NET_MGN(LTM_R,0)&lt;/Q&gt;&lt;R&gt;1&lt;/R&gt;&lt;C&gt;1&lt;/C&gt;&lt;D xsi:type="xsd:double"&gt;12.9572538991034&lt;/D&gt;&lt;/FQL&gt;&lt;FQL&gt;&lt;Q&gt;PANW-US^FF_EBITDA_OPER_MGN(LTM_R,0)&lt;/Q&gt;&lt;R&gt;1&lt;/R&gt;&lt;C&gt;1&lt;/C&gt;&lt;D xsi:type="xsd:double"&gt;21.6388869234735&lt;/D&gt;&lt;/FQL&gt;&lt;FQL&gt;&lt;Q&gt;PANW-US^FF_GROSS_MGN(LTM_R,0)&lt;/Q&gt;&lt;R&gt;1&lt;/R&gt;&lt;C&gt;1&lt;/C&gt;&lt;D xsi:type="xsd:double"&gt;73.5042907826509&lt;/D&gt;&lt;/FQL&gt;&lt;FQL&gt;&lt;Q&gt;PANW-US^POW(FE_ESTIMATE(EPS,MEAN,STMA,,NOW,,,'CURRENCY=USD')/FE_ESTIMATE(EPS,MEAN,LTMA,,NOW,,,'CURRENCY=USD'),0.5)-1&lt;/Q&gt;&lt;R&gt;1&lt;/R&gt;&lt;C&gt;1&lt;/C&gt;&lt;D xsi:type="xsd:double"&gt;0.111410545208205&lt;/D&gt;&lt;/FQL&gt;&lt;FQL&gt;&lt;Q&gt;PANW-US^POW(FE_ESTIMATE(SALES,MEAN,STMA,,NOW,,,'CURRENCY=USD')/FE_ESTIMATE(SALES,MEAN,LTMA,,NOW,,,'CURRENCY=USD'),0.5)-1&lt;/Q&gt;&lt;R&gt;1&lt;/R&gt;&lt;C&gt;1&lt;/C&gt;&lt;D xsi:type="xsd:double"&gt;0.179292669357357&lt;/D&gt;&lt;/FQL&gt;&lt;FQL&gt;&lt;Q&gt;PANW-US^FE_ACTUAL(ACTUAL,EPS,ANN_ROLL,0,,,,'CURRENCY=USD')&lt;/Q&gt;&lt;R&gt;1&lt;/R&gt;&lt;C&gt;1&lt;/C&gt;&lt;D xsi:type="xsd:double"&gt;3.34&lt;/D&gt;&lt;/FQL&gt;&lt;FQL&gt;&lt;Q&gt;PANW-US^OS_SEC_FLT_PCT(0D,,MTD,SEC)&lt;/Q&gt;&lt;R&gt;1&lt;/R&gt;&lt;C&gt;1&lt;/C&gt;&lt;D xsi:type="xsd:double"&gt;99.106&lt;/D&gt;&lt;/FQL&gt;&lt;FQL&gt;&lt;Q&gt;PANW-US^AVG(P_VOLUME_FRQ(-1AM,NOW,D,,6))*P_PRICE_AVG(-1AM,NOW,,USD)&lt;/Q&gt;&lt;R&gt;1&lt;/R&gt;&lt;C&gt;1&lt;/C&gt;&lt;D xsi:type="xsd:double"&gt;2454.3322549424&lt;/D&gt;&lt;/FQL&gt;&lt;FQL&gt;&lt;Q&gt;PANW-US^FCS_EV_DAILY(MV,NOW,,,USD,M)&lt;/Q&gt;&lt;R&gt;1&lt;/R&gt;&lt;C&gt;1&lt;/C&gt;&lt;D xsi:type="xsd:double"&gt;118719.46&lt;/D&gt;&lt;/FQL&gt;&lt;FQL&gt;&lt;Q&gt;PANW-US^P_DCOUNTRY&lt;/Q&gt;&lt;R&gt;1&lt;/R&gt;&lt;C&gt;1&lt;/C&gt;&lt;D xsi:type="xsd:string"&gt;UNITED STATES&lt;/D&gt;&lt;/FQL&gt;&lt;FQL&gt;&lt;Q&gt;PANW-US^FR_RBICS_NAME_CURR("IND")&lt;/Q&gt;&lt;R&gt;1&lt;/R&gt;&lt;C&gt;1&lt;/C&gt;&lt;D xsi:type="xsd:string"&gt;Network Infrastructure Software&lt;/D&gt;&lt;/FQL&gt;&lt;FQL&gt;&lt;Q&gt;301269-CN^FE_RATING(MEAN,TEXTONLY,0,NOW,,,'')&lt;/Q&gt;&lt;R&gt;1&lt;/R&gt;&lt;C&gt;1&lt;/C&gt;&lt;D xsi:type="xsd:string"&gt;Overweight&lt;/D&gt;&lt;/FQL&gt;&lt;FQL&gt;&lt;Q&gt;301269-CN^FG_PRICE(0,,,USD)/FG_PRICE_MAVG(0,,,USD,200)&lt;/Q&gt;&lt;R&gt;1&lt;/R&gt;&lt;C&gt;1&lt;/C&gt;&lt;D xsi:type="xsd:double"&gt;0.924623481931091&lt;/D&gt;&lt;/FQL&gt;&lt;FQL&gt;&lt;Q&gt;301269-CN^FG_PRICE(0,,,USD)/FG_PRICE_MAVG(0,,,USD,100)&lt;/Q&gt;&lt;R&gt;1&lt;/R&gt;&lt;C&gt;1&lt;/C&gt;&lt;D xsi:type="xsd:double"&gt;0.933910363844073&lt;/D&gt;&lt;/FQL&gt;&lt;FQL&gt;&lt;Q&gt;301269-CN^FG_PRICE(0,,,USD)/FG_PRICE_MAVG(0,,,USD,50)&lt;/Q&gt;&lt;R&gt;1&lt;/R&gt;&lt;C&gt;1&lt;/C&gt;&lt;D xsi:type="xsd:double"&gt;0.969529472805906&lt;/D&gt;&lt;/FQL&gt;&lt;FQL&gt;&lt;Q&gt;301269-CN^RTP_PRICE_TARGET(USD)/FG_PRICE(0,,,USD)&lt;/Q&gt;&lt;R&gt;1&lt;/R&gt;&lt;C&gt;1&lt;/C&gt;&lt;D xsi:type="xsd:double"&gt;1.37709544048497&lt;/D&gt;&lt;/FQL&gt;&lt;FQL&gt;&lt;Q&gt;301269-CN^FG_PRICE(0,,,USD)/P_PRICE_HIGH(-1AY,0,USD,,,"PRICE","INTRA")&lt;/Q&gt;&lt;R&gt;1&lt;/R&gt;&lt;C&gt;1&lt;/C&gt;&lt;D xsi:type="xsd:double"&gt;0.72724196929828&lt;/D&gt;&lt;/FQL&gt;&lt;FQL&gt;&lt;Q&gt;301269-CN^PERCENT_CHANGE(FE_VALUATION(FFEV_EBITDA,MEAN,NTMA,,0,,,''),MAX(FE_VALUATION(FFEV_EBITDA,MEAN,NTMA,,-1AY,0,,'')))&lt;/Q&gt;&lt;R&gt;1&lt;/R&gt;&lt;C&gt;1&lt;/C&gt;&lt;D xsi:type="xsd:double"&gt;-27.5359048362523&lt;/D&gt;&lt;/FQL&gt;&lt;FQL&gt;&lt;Q&gt;301269-CN^PERCENT_CHANGE(FE_VALUATION(PE,MEAN,NTMA,,0,,,''),MAX(FE_VALUATION(PE,MEAN,NTMA,,-1AY,0,,'')))&lt;/Q&gt;&lt;R&gt;1&lt;/R&gt;&lt;C&gt;1&lt;/C&gt;&lt;D xsi:type="xsd:double"&gt;-38.3365334562291&lt;/D&gt;&lt;/FQL&gt;&lt;FQL&gt;&lt;Q&gt;301269-CN^FE_VALUATION(FFEV_EBITDA,MEAN,NTMA,,0,,,'')&lt;/Q&gt;&lt;R&gt;1&lt;/R&gt;&lt;C&gt;1&lt;/C&gt;&lt;D xsi:type="xsd:double"&gt;138.27274&lt;/D&gt;&lt;/FQL&gt;&lt;FQL&gt;&lt;Q&gt;301269-CN^FE_VALUATION(FFEV_SALES,MEAN,NTMA,,0,,,'')&lt;/Q&gt;&lt;R&gt;1&lt;/R&gt;&lt;C&gt;1&lt;/C&gt;&lt;D xsi:type="xsd:double"&gt;27.255692&lt;/D&gt;&lt;/FQL&gt;&lt;FQL&gt;&lt;Q&gt;301269-CN^FE_VALUATION(P_SALESPS,MEAN,NTMA,,0,,,'')&lt;/Q&gt;&lt;R&gt;1&lt;/R&gt;&lt;C&gt;1&lt;/C&gt;&lt;D xsi:type="xsd:double"&gt;27.990995&lt;/D&gt;&lt;/FQL&gt;&lt;FQL&gt;&lt;Q&gt;301269-CN^FE_VALUATION(PE,MEAN,NTMA,,0,,,'')&lt;/Q&gt;&lt;R&gt;1&lt;/R&gt;&lt;C&gt;1&lt;/C&gt;&lt;D xsi:type="xsd:double"&gt;190.69337&lt;/D&gt;&lt;/FQL&gt;&lt;FQL&gt;&lt;Q&gt;301269-CN^FE_ACTUAL(ACTUAL,SALES,ANN_ROLL,0,,,,'CURRENCY=USD')&lt;/Q&gt;&lt;R&gt;1&lt;/R&gt;&lt;C&gt;1&lt;/C&gt;&lt;D xsi:type="xsd:double"&gt;167.41562&lt;/D&gt;&lt;/FQL&gt;&lt;FQL&gt;&lt;Q&gt;301269-CN^FE_ACTUAL(ACTUAL,SALES,ANN_ROLL,-1,,,,'CURRENCY=USD')&lt;/Q&gt;&lt;R&gt;1&lt;/R&gt;&lt;C&gt;1&lt;/C&gt;&lt;D xsi:type="xsd:double"&gt;139.3757&lt;/D&gt;&lt;/FQL&gt;&lt;FQL&gt;&lt;Q&gt;301269-CN^FE_VALUATION(EBITDA_MARGIN,MEAN,ANN_ROLL,0,NOW,,,'')&lt;/Q&gt;&lt;R&gt;1&lt;/R&gt;&lt;C&gt;1&lt;/C&gt;&lt;D xsi:type="xsd:double"&gt;7.8446984&lt;/D&gt;&lt;/FQL&gt;&lt;FQL&gt;&lt;Q&gt;301269-CN^FE_VALUATION(ROIC,MEAN,NTMA,,0,,,'')&lt;/Q&gt;&lt;R&gt;0&lt;/R&gt;&lt;C&gt;0&lt;/C&gt;&lt;/FQL&gt;&lt;FQL&gt;&lt;Q&gt;301269-CN^FE_VALUATION(ROE,MEAN,NTMA,,0,,,'')&lt;/Q&gt;&lt;R&gt;1&lt;/R&gt;&lt;C&gt;1&lt;/C&gt;&lt;D xsi:type="xsd:double"&gt;5.6396217&lt;/D&gt;&lt;/FQL&gt;&lt;FQL&gt;&lt;Q&gt;301269-CN^FE_VALUATION(DIV_YLD,MEAN,NTMA,,NOW,,,'')&lt;/Q&gt;&lt;R&gt;1&lt;/R&gt;&lt;C&gt;1&lt;/C&gt;&lt;D xsi:type="xsd:double"&gt;0.5886792&lt;/D&gt;&lt;/FQL&gt;&lt;FQL&gt;&lt;Q&gt;301269-CN^FE_VALUATION(MCAP_FCF,MEAN,NTMA,,NOW,,,'')&lt;/Q&gt;&lt;R&gt;0&lt;/R&gt;&lt;C&gt;0&lt;/C&gt;&lt;/FQL&gt;&lt;FQL&gt;&lt;Q&gt;301269-CN^FE_VALUATION(NETDEBT_EBITDA,MEAN,NTMA,,NOW,,,'')&lt;/Q&gt;&lt;R&gt;1&lt;/R&gt;&lt;C&gt;1&lt;/C&gt;&lt;D xsi:type="xsd:double"&gt;-2.708711&lt;/D&gt;&lt;/FQL&gt;&lt;FQL&gt;&lt;Q&gt;301269-CN^FF_NET_MGN(LTM_R,0)&lt;/Q&gt;&lt;R&gt;1&lt;/R&gt;&lt;C&gt;1&lt;/C&gt;&lt;D xsi:type="xsd:double"&gt;4.67389357674874&lt;/D&gt;&lt;/FQL&gt;&lt;FQL&gt;&lt;Q&gt;301269-CN^FF_EBITDA_OPER_MGN(LTM_R,0)&lt;/Q&gt;&lt;R&gt;0&lt;/R&gt;&lt;C&gt;0&lt;/C&gt;&lt;/FQL&gt;&lt;FQL&gt;&lt;Q&gt;301269-CN^FF_GROSS_MGN(LTM_R,0)&lt;/Q&gt;&lt;R&gt;1&lt;/R&gt;&lt;C&gt;1&lt;/C&gt;&lt;D xsi:type="xsd:double"&gt;94.1190034443204&lt;/D&gt;&lt;/FQL&gt;&lt;FQL&gt;&lt;Q&gt;301269-CN^POW(FE_ESTIMATE(EPS,MEAN,STMA,,NOW,,,'CURRENCY=USD')/FE_ESTIMATE(EPS,MEAN,LTMA,,NOW,,,'CURRENCY=USD'),0.5)-1&lt;/Q&gt;&lt;R&gt;1&lt;/R&gt;&lt;C&gt;1&lt;/C&gt;&lt;D xsi:type="xsd:double"&gt;0.654081255561528&lt;/D&gt;&lt;/FQL&gt;&lt;FQL&gt;&lt;Q&gt;301269-CN^POW(FE_ESTIMATE(SALES,MEAN,STMA,,NOW,,,'CURRENCY=USD')/FE_ESTIMATE(SALES,MEAN,LTMA,,NOW,,,'CURRENCY=USD'),0.5)-1&lt;/Q&gt;&lt;R&gt;1&lt;/R&gt;&lt;C&gt;1&lt;/C&gt;&lt;D xsi:type="xsd:double"&gt;0.268744812797278&lt;/D&gt;&lt;/FQL&gt;&lt;FQL&gt;&lt;Q&gt;301269-CN^FE_ACTUAL(ACTUAL,EPS,ANN_ROLL,0,,,,'CURRENCY=USD')&lt;/Q&gt;&lt;R&gt;1&lt;/R&gt;&lt;C&gt;1&lt;/C&gt;&lt;D xsi:type="xsd:double"&gt;0.027400265&lt;/D&gt;&lt;/FQL&gt;&lt;FQL&gt;&lt;Q&gt;301269-CN^OS_SEC_FLT_PCT(0D,,MTD,SEC)&lt;/Q&gt;&lt;R&gt;1&lt;/R&gt;&lt;C&gt;1&lt;/C&gt;&lt;D xsi:type="xsd:double"&gt;27.8328&lt;/D&gt;&lt;/FQL&gt;&lt;FQL&gt;&lt;Q&gt;301269-CN^AVG(P_VOLUME_FRQ(-1AM,NOW,D,,6))*P_PRICE_AVG(-1AM,NOW,,USD)&lt;/Q&gt;&lt;R&gt;1&lt;/R&gt;&lt;C&gt;1&lt;/C&gt;&lt;D xsi:type="xsd:double"&gt;79.2051072098721&lt;/D&gt;&lt;/FQL&gt;&lt;FQL&gt;&lt;Q&gt;301269-CN^FCS_EV_DAILY(MV,NOW,,,USD,M)&lt;/Q&gt;&lt;R&gt;1&lt;/R&gt;&lt;C&gt;1&lt;/C&gt;&lt;D xsi:type="xsd:double"&gt;8143.72521926762&lt;/D&gt;&lt;/FQL&gt;&lt;FQL&gt;&lt;Q&gt;301269-CN^P_DCOUNTRY&lt;/Q&gt;&lt;R&gt;1&lt;/R&gt;&lt;C&gt;1&lt;/C&gt;&lt;D xsi:type="xsd:string"&gt;CHINA&lt;/D&gt;&lt;/FQL&gt;&lt;FQL&gt;&lt;Q&gt;301269-CN^FR_RBICS_NAME_CURR("IND")&lt;/Q&gt;&lt;R&gt;1&lt;/R&gt;&lt;C&gt;1&lt;/C&gt;&lt;D xsi:type="xsd:string"&gt;Electronic Design Automation Software&lt;/D&gt;&lt;/FQL&gt;&lt;FQL&gt;&lt;Q&gt;OS-US^FE_RATING(MEAN,TEXTONLY,0,NOW,,,'')&lt;/Q&gt;&lt;R&gt;1&lt;/R&gt;&lt;C&gt;1&lt;/C&gt;&lt;D xsi:type="xsd:string"&gt;Hold&lt;/D&gt;&lt;/FQL&gt;&lt;FQL&gt;&lt;Q&gt;OS-US^FG_PRICE(0,,,USD)/FG_PRICE_MAVG(0,,,USD,200)&lt;/Q&gt;&lt;R&gt;1&lt;/R&gt;&lt;C&gt;1&lt;/C&gt;&lt;D xsi:type="xsd:double"&gt;1.05048520963354&lt;/D&gt;&lt;/FQL&gt;&lt;FQL&gt;&lt;Q&gt;OS-US^FG_PRICE(0,,,USD)/FG_PRICE_MAVG(0,,,USD,100)&lt;/Q&gt;&lt;R&gt;1&lt;/R&gt;&lt;C&gt;1&lt;/C&gt;&lt;D xsi:type="xsd:double"&gt;1.14115471443187&lt;/D&gt;&lt;/FQL&gt;&lt;FQL&gt;&lt;Q&gt;OS-US^FG_PRICE(0,,,USD)/FG_PRICE_MAVG(0,,,USD,50)&lt;/Q&gt;&lt;R&gt;1&lt;/R&gt;&lt;C&gt;1&lt;/C&gt;&lt;D xsi:type="xsd:double"&gt;1.07312614259598&lt;/D&gt;&lt;/FQL&gt;&lt;FQL&gt;&lt;Q&gt;OS-US^RTP_PRICE_TARGET(USD)/FG_PRICE(0,,,USD)&lt;/Q&gt;&lt;R&gt;1&lt;/R&gt;&lt;C&gt;1&lt;/C&gt;&lt;D xsi:type="xsd:double"&gt;1.02782508517888&lt;/D&gt;&lt;/FQL&gt;&lt;FQL&gt;&lt;Q&gt;OS-US^FG_PRICE(0,,,USD)/P_PRICE_HIGH(-1AY,0,USD,,,"PRICE","INTRA")&lt;/Q&gt;&lt;R&gt;1&lt;/R&gt;&lt;C&gt;1&lt;/C&gt;&lt;D xsi:type="xsd:double"&gt;0.791638570465273&lt;/D&gt;&lt;/FQL&gt;&lt;FQL&gt;&lt;Q&gt;OS-US^PERCENT_CHANGE(FE_VALUATION(FFEV_EBITDA,MEAN,NTMA,,0,,,''),MAX(FE_VALUATION(FFEV_EBITDA,MEAN,NTMA,,-1AY,0,,'')))&lt;/Q&gt;&lt;R&gt;1&lt;/R&gt;&lt;C&gt;1&lt;/C&gt;&lt;D xsi:type="xsd:double"&gt;-80.8757418171943&lt;/D&gt;&lt;/FQL&gt;&lt;FQL&gt;&lt;Q&gt;OS-US^PERCENT_CHANGE(FE_VALUATION(PE,MEAN,NTMA,,0,,,''),MAX(FE_VALUATION(PE,MEAN,NTMA,,-1AY,0,,'')))&lt;/Q&gt;&lt;R&gt;1&lt;/R&gt;&lt;C&gt;1&lt;/C&gt;&lt;D xsi:type="xsd:double"&gt;-72.3473479681428&lt;/D&gt;&lt;/FQL&gt;&lt;FQL&gt;&lt;Q&gt;OS-US^FE_VALUATION(FFEV_EBITDA,MEAN,NTMA,,0,,,'')&lt;/Q&gt;&lt;R&gt;1&lt;/R&gt;&lt;C&gt;1&lt;/C&gt;&lt;D xsi:type="xsd:double"&gt;63.743042&lt;/D&gt;&lt;/FQL&gt;&lt;FQL&gt;&lt;Q&gt;OS-US^FE_VALUATION(FFEV_SALES,MEAN,NTMA,,0,,,'')&lt;/Q&gt;&lt;R&gt;1&lt;/R&gt;&lt;C&gt;1&lt;/C&gt;&lt;D xsi:type="xsd:double"&gt;5.291487&lt;/D&gt;&lt;/FQL&gt;&lt;FQL&gt;&lt;Q&gt;OS-US^FE_VALUATION(P_SALESPS,MEAN,NTMA,,0,,,'')&lt;/Q&gt;&lt;R&gt;1&lt;/R&gt;&lt;C&gt;1&lt;/C&gt;&lt;D xsi:type="xsd:double"&gt;8.009923&lt;/D&gt;&lt;/FQL&gt;&lt;FQL&gt;&lt;Q&gt;OS-US^FE_VALUATION(PE,MEAN,NTMA,,0,,,'')&lt;/Q&gt;&lt;R&gt;1&lt;/R&gt;&lt;C&gt;1&lt;/C&gt;&lt;D xsi:type="xsd:double"&gt;78.69869&lt;/D&gt;&lt;/FQL&gt;&lt;FQL&gt;&lt;Q&gt;OS-US^FE_ACTUAL(ACTUAL,SALES,ANN_ROLL,0,,,,'CURRENCY=USD')&lt;/Q&gt;&lt;R&gt;1&lt;/R&gt;&lt;C&gt;1&lt;/C&gt;&lt;D xsi:type="xsd:double"&gt;489.407&lt;/D&gt;&lt;/FQL&gt;&lt;FQL&gt;&lt;Q&gt;OS-US^FE_ACTUAL(ACTUAL,SALES,ANN_ROLL,-1,,,,'CURRENCY=USD')&lt;/Q&gt;&lt;R&gt;0&lt;/R&gt;&lt;C&gt;0&lt;/C&gt;&lt;/FQL&gt;&lt;FQL&gt;&lt;Q&gt;OS-US^FE_VALUATION(EBITDA_MARGIN,MEAN,ANN_ROLL,0,NOW,,,'')&lt;/Q&gt;&lt;R&gt;1&lt;/R&gt;&lt;C&gt;1&lt;/C&gt;&lt;D xsi:type="xsd:double"&gt;0.8189094&lt;/D&gt;&lt;/FQL&gt;&lt;FQL&gt;&lt;Q&gt;OS-US^FE_VALUATION(ROIC,MEAN,NTMA,,0,,,'')&lt;/Q&gt;&lt;R&gt;1&lt;/R&gt;&lt;C&gt;1&lt;/C&gt;&lt;D xsi:type="xsd:double"&gt;-8.970574&lt;/D&gt;&lt;/FQL&gt;&lt;FQL&gt;&lt;Q&gt;OS-US^FE_VALUATION(ROE,MEAN,NTMA,,0,,,'')&lt;/Q&gt;&lt;R&gt;1&lt;/R&gt;&lt;C&gt;1&lt;/C&gt;&lt;D xsi:type="xsd:double"&gt;11.452493&lt;/D&gt;&lt;/FQL&gt;&lt;FQL&gt;&lt;Q&gt;OS-US^FE_VALUATION(DIV_YLD,MEAN,NTMA,,NOW,,,'')&lt;/Q&gt;&lt;R&gt;1&lt;/R&gt;&lt;C&gt;1&lt;/C&gt;&lt;D xsi:type="xsd:double"&gt;0&lt;/D&gt;&lt;/FQL&gt;&lt;FQL&gt;&lt;Q&gt;OS-US^FE_VALUATION(MCAP_FCF,MEAN,NTMA,,NOW,,,'')&lt;/Q&gt;&lt;R&gt;1&lt;/R&gt;&lt;C&gt;1&lt;/C&gt;&lt;D xsi:type="xsd:double"&gt;2.1887033&lt;/D&gt;&lt;/FQL&gt;&lt;FQL&gt;&lt;Q&gt;OS-US^FE_VALUATION(NETDEBT_EBITDA,MEAN,NTMA,,NOW,,,'')&lt;/Q&gt;&lt;R&gt;1&lt;/R&gt;&lt;C&gt;1&lt;/C&gt;&lt;D xsi:type="xsd:double"&gt;-13.442983&lt;/D&gt;&lt;/FQL&gt;&lt;FQL&gt;&lt;Q&gt;OS-US^FF_NET_MGN(LTM_R,0)&lt;/Q&gt;&lt;R&gt;1&lt;/R&gt;&lt;C&gt;1&lt;/C&gt;&lt;D xsi:type="xsd:double"&gt;-14.4997958565003&lt;/D&gt;&lt;/FQL&gt;&lt;FQL&gt;&lt;Q&gt;OS-US^FF_EBITDA_OPER_MGN(LTM_R,0)&lt;/Q&gt;&lt;R&gt;1&lt;/R&gt;&lt;C&gt;1&lt;/C&gt;&lt;D xsi:type="xsd:double"&gt;-23.2462496298256&lt;/D&gt;&lt;/FQL&gt;&lt;FQL&gt;&lt;Q&gt;OS-US^FF_GROSS_MGN(LTM_R,0)&lt;/Q&gt;&lt;R&gt;1&lt;/R&gt;&lt;C&gt;1&lt;/C&gt;&lt;D xsi:type="xsd:double"&gt;67.8588763871682&lt;/D&gt;&lt;/FQL&gt;&lt;FQL&gt;&lt;Q&gt;OS-US^POW(FE_ESTIMATE(EPS,MEAN,STMA,,NOW,,,'CURRENCY=USD')/FE_ESTIMATE(EPS,MEAN,LTMA,,NOW,,,'CURRENCY=USD'),0.5)-1&lt;/Q&gt;&lt;R&gt;1&lt;/R&gt;&lt;C&gt;1&lt;/C&gt;&lt;D xsi:type="xsd:double"&gt;0.516951779062209&lt;/D&gt;&lt;/FQL&gt;&lt;FQL&gt;&lt;Q&gt;OS-US^POW(FE_ESTIMATE(SALES,MEAN,STMA,,NOW,,,'CURRENCY=USD')/FE_ESTIMATE(SALES,MEAN,LTMA,,NOW,,,'CURRENCY=USD'),0.5)-1&lt;/Q&gt;&lt;R&gt;1&lt;/R&gt;&lt;C&gt;1&lt;/C&gt;&lt;D xsi:type="xsd:double"&gt;0.185930562891437&lt;/D&gt;&lt;/FQL&gt;&lt;FQL&gt;&lt;Q&gt;OS-US^FE_ACTUAL(ACTUAL,EPS,ANN_ROLL,0,,,,'CURRENCY=USD')&lt;/Q&gt;&lt;R&gt;1&lt;/R&gt;&lt;C&gt;1&lt;/C&gt;&lt;D xsi:type="xsd:double"&gt;0.14&lt;/D&gt;&lt;/FQL&gt;&lt;FQL&gt;&lt;Q&gt;OS-US^OS_SEC_FLT_PCT(0D,,MTD,SEC)&lt;/Q&gt;&lt;R&gt;1&lt;/R&gt;&lt;C&gt;1&lt;/C&gt;&lt;D xsi:type="xsd:double"&gt;96.3263&lt;/D&gt;&lt;/FQL&gt;&lt;FQL&gt;&lt;Q&gt;OS-US^AVG(P_VOLUME_FRQ(-1AM,NOW,D,,6))*P_PRICE_AVG(-1AM,NOW,,USD)&lt;/Q&gt;&lt;R&gt;1&lt;/R&gt;&lt;C&gt;1&lt;/C&gt;&lt;D xsi:type="xsd:double"&gt;111.344473174469&lt;/D&gt;&lt;/FQL&gt;&lt;FQL&gt;&lt;Q&gt;OS-US^FCS_EV_DAILY(MV,NOW,,,USD,M)&lt;/Q&gt;&lt;R&gt;1&lt;/R&gt;&lt;C&gt;1&lt;/C&gt;&lt;D xsi:type="xsd:double"&gt;6330.40485728&lt;/D&gt;&lt;/FQL&gt;&lt;FQL&gt;&lt;Q&gt;OS-US^P_DCOUNTRY&lt;/Q&gt;&lt;R&gt;1&lt;/R&gt;&lt;C&gt;1&lt;/C&gt;&lt;D xsi:type="xsd:string"&gt;UNITED STATES&lt;/D&gt;&lt;/FQL&gt;&lt;FQL&gt;&lt;Q&gt;OS-US^FR_RBICS_NAME_CURR("IND")&lt;/Q&gt;&lt;R&gt;1&lt;/R&gt;&lt;C&gt;1&lt;/C&gt;&lt;D xsi:type="xsd:string"&gt;Enterprise Resource Planning Software&lt;/D&gt;&lt;/FQL&gt;&lt;FQL&gt;&lt;Q&gt;BSY-US^FE_RATING(MEAN,TEXTONLY,0,NOW,,,'')&lt;/Q&gt;&lt;R&gt;1&lt;/R&gt;&lt;C&gt;1&lt;/C&gt;&lt;D xsi:type="xsd:string"&gt;Overweight&lt;/D&gt;&lt;/FQL&gt;&lt;FQL&gt;&lt;Q&gt;BSY-US^FG_PRICE(0,,,USD)/FG_PRICE_MAVG(0,,,USD,200)&lt;/Q&gt;&lt;R&gt;1&lt;/R&gt;&lt;C&gt;1&lt;/C&gt;&lt;D xsi:type="xsd:double"&gt;0.681150788460472&lt;/D&gt;&lt;/FQL&gt;&lt;FQL&gt;&lt;Q&gt;BSY-US^FG_PRICE(0,,,USD)/FG_PRICE_MAVG(0,,,USD,100)&lt;/Q&gt;&lt;R&gt;1&lt;/R&gt;&lt;C&gt;1&lt;/C&gt;&lt;D xsi:type="xsd:double"&gt;0.765942329326781&lt;/D&gt;&lt;/FQL&gt;&lt;FQL&gt;&lt;Q&gt;BSY-US^FG_PRICE(0,,,USD)/FG_PRICE_MAVG(0,,,USD,50)&lt;/Q&gt;&lt;R&gt;1&lt;/R&gt;&lt;C&gt;1&lt;/C&gt;&lt;D xsi:type="xsd:double"&gt;0.869165584912963&lt;/D&gt;&lt;/FQL&gt;&lt;FQL&gt;&lt;Q&gt;BSY-US^RTP_PRICE_TARGET(USD)/FG_PRICE(0,,,USD)&lt;/Q&gt;&lt;R&gt;1&lt;/R&gt;&lt;C&gt;1&lt;/C&gt;&lt;D xsi:type="xsd:double"&gt;1.62218738404453&lt;/D&gt;&lt;/FQL&gt;&lt;FQL&gt;&lt;Q&gt;BSY-US^FG_PRICE(0,,,USD)/P_PRICE_HIGH(-1AY,0,USD,,,"PRICE","INTRA")&lt;/Q&gt;&lt;R&gt;1&lt;/R&gt;&lt;C&gt;1&lt;/C&gt;&lt;D xsi:type="xsd:double"&gt;0.545822784810127&lt;/D&gt;&lt;/FQL&gt;&lt;FQL&gt;&lt;Q&gt;BSY-US^PERCENT_CHANGE(FE_VALUATION(FFEV_EBITDA,MEAN,NTMA,,0,,,''),MAX(FE_VALUATION(FFEV_EBITDA,MEAN,NTMA,,-1AY,0,,'')))&lt;/Q&gt;&lt;R&gt;1&lt;/R&gt;&lt;C&gt;1&lt;/C&gt;&lt;D xsi:type="xsd:double"&gt;-47.0558746416808&lt;/D&gt;&lt;/FQL&gt;&lt;FQL&gt;&lt;Q&gt;BSY-US^PERCENT_CHANGE(FE_VALUATION(PE,MEAN,NTMA,,0,,,''),MAX(FE_VALUATION(PE,MEAN,NTMA,,-1AY,0,,'')))&lt;/Q&gt;&lt;R&gt;1&lt;/R&gt;&lt;C&gt;1&lt;/C&gt;&lt;D xsi:type="xsd:double"&gt;-49.3161394437729&lt;/D&gt;&lt;/FQL&gt;&lt;FQL&gt;&lt;Q&gt;BSY-US^FE_VALUATION(FFEV_EBITDA,MEAN,NTMA,,0,,,'')&lt;/Q&gt;&lt;R&gt;1&lt;/R&gt;&lt;C&gt;1&lt;/C&gt;&lt;D xsi:type="xsd:double"&gt;19.41876&lt;/D&gt;&lt;/FQL&gt;&lt;FQL&gt;&lt;Q&gt;BSY-US^FE_VALUATION(FFEV_SALES,MEAN,NTMA,,0,,,'')&lt;/Q&gt;&lt;R&gt;1&lt;/R&gt;&lt;C&gt;1&lt;/C&gt;&lt;D xsi:type="xsd:double"&gt;7.1122327&lt;/D&gt;&lt;/FQL&gt;&lt;FQL&gt;&lt;Q&gt;BSY-US^FE_V</t>
        </r>
      </text>
    </comment>
    <comment ref="A7" authorId="0" shapeId="0" xr:uid="{67B3F5B5-73EF-44DB-AEAB-F94585E2ABAD}">
      <text>
        <r>
          <rPr>
            <b/>
            <sz val="9"/>
            <color indexed="81"/>
            <rFont val="Tahoma"/>
            <charset val="1"/>
          </rPr>
          <t>ALUATION(P_SALESPS,MEAN,NTMA,,0,,,'')&lt;/Q&gt;&lt;R&gt;1&lt;/R&gt;&lt;C&gt;1&lt;/C&gt;&lt;D xsi:type="xsd:double"&gt;5.86925&lt;/D&gt;&lt;/FQL&gt;&lt;FQL&gt;&lt;Q&gt;BSY-US^FE_VALUATION(PE,MEAN,NTMA,,0,,,'')&lt;/Q&gt;&lt;R&gt;1&lt;/R&gt;&lt;C&gt;1&lt;/C&gt;&lt;D xsi:type="xsd:double"&gt;23.566427&lt;/D&gt;&lt;/FQL&gt;&lt;FQL&gt;&lt;Q&gt;BSY-US^FE_ACTUAL(ACTUAL,SALES,ANN_ROLL,0,,,,'CURRENCY=USD')&lt;/Q&gt;&lt;R&gt;1&lt;/R&gt;&lt;C&gt;1&lt;/C&gt;&lt;D xsi:type="xsd:double"&gt;1353.095&lt;/D&gt;&lt;/FQL&gt;&lt;FQL&gt;&lt;Q&gt;BSY-US^FE_ACTUAL(ACTUAL,SALES,ANN_ROLL,-1,,,,'CURRENCY=USD')&lt;/Q&gt;&lt;R&gt;1&lt;/R&gt;&lt;C&gt;1&lt;/C&gt;&lt;D xsi:type="xsd:double"&gt;1228.413&lt;/D&gt;&lt;/FQL&gt;&lt;FQL&gt;&lt;Q&gt;BSY-US^FE_VALUATION(EBITDA_MARGIN,MEAN,ANN_ROLL,0,NOW,,,'')&lt;/Q&gt;&lt;R&gt;1&lt;/R&gt;&lt;C&gt;1&lt;/C&gt;&lt;D xsi:type="xsd:double"&gt;34.392857&lt;/D&gt;&lt;/FQL&gt;&lt;FQL&gt;&lt;Q&gt;BSY-US^FE_VALUATION(ROIC,MEAN,NTMA,,0,,,'')&lt;/Q&gt;&lt;R&gt;1&lt;/R&gt;&lt;C&gt;1&lt;/C&gt;&lt;D xsi:type="xsd:double"&gt;13.299074&lt;/D&gt;&lt;/FQL&gt;&lt;FQL&gt;&lt;Q&gt;BSY-US^FE_VALUATION(ROE,MEAN,NTMA,,0,,,'')&lt;/Q&gt;&lt;R&gt;1&lt;/R&gt;&lt;C&gt;1&lt;/C&gt;&lt;D xsi:type="xsd:double"&gt;19.141386&lt;/D&gt;&lt;/FQL&gt;&lt;FQL&gt;&lt;Q&gt;BSY-US^FE_VALUATION(DIV_YLD,MEAN,NTMA,,NOW,,,'')&lt;/Q&gt;&lt;R&gt;1&lt;/R&gt;&lt;C&gt;1&lt;/C&gt;&lt;D xsi:type="xsd:double"&gt;0.95367396&lt;/D&gt;&lt;/FQL&gt;&lt;FQL&gt;&lt;Q&gt;BSY-US^FE_VALUATION(MCAP_FCF,MEAN,NTMA,,NOW,,,'')&lt;/Q&gt;&lt;R&gt;1&lt;/R&gt;&lt;C&gt;1&lt;/C&gt;&lt;D xsi:type="xsd:double"&gt;5.399657&lt;/D&gt;&lt;/FQL&gt;&lt;FQL&gt;&lt;Q&gt;BSY-US^FE_VALUATION(NETDEBT_EBITDA,MEAN,NTMA,,NOW,,,'')&lt;/Q&gt;&lt;R&gt;1&lt;/R&gt;&lt;C&gt;1&lt;/C&gt;&lt;D xsi:type="xsd:double"&gt;0.84888643&lt;/D&gt;&lt;/FQL&gt;&lt;FQL&gt;&lt;Q&gt;BSY-US^FF_NET_MGN(LTM_R,0)&lt;/Q&gt;&lt;R&gt;1&lt;/R&gt;&lt;C&gt;1&lt;/C&gt;&lt;D xsi:type="xsd:double"&gt;18.4416778137819&lt;/D&gt;&lt;/FQL&gt;&lt;FQL&gt;&lt;Q&gt;BSY-US^FF_EBITDA_OPER_MGN(LTM_R,0)&lt;/Q&gt;&lt;R&gt;1&lt;/R&gt;&lt;C&gt;1&lt;/C&gt;&lt;D xsi:type="xsd:double"&gt;28.3388777817275&lt;/D&gt;&lt;/FQL&gt;&lt;FQL&gt;&lt;Q&gt;BSY-US^FF_GROSS_MGN(LTM_R,0)&lt;/Q&gt;&lt;R&gt;1&lt;/R&gt;&lt;C&gt;1&lt;/C&gt;&lt;D xsi:type="xsd:double"&gt;78.9468493218239&lt;/D&gt;&lt;/FQL&gt;&lt;FQL&gt;&lt;Q&gt;BSY-US^POW(FE_ESTIMATE(EPS,MEAN,STMA,,NOW,,,'CURRENCY=USD')/FE_ESTIMATE(EPS,MEAN,LTMA,,NOW,,,'CURRENCY=USD'),0.5)-1&lt;/Q&gt;&lt;R&gt;1&lt;/R&gt;&lt;C&gt;1&lt;/C&gt;&lt;D xsi:type="xsd:double"&gt;0.125725499400276&lt;/D&gt;&lt;/FQL&gt;&lt;FQL&gt;&lt;Q&gt;BSY-US^POW(FE_ESTIMATE(SALES,MEAN,STMA,,NOW,,,'CURRENCY=USD')/FE_ESTIMATE(SALES,MEAN,LTMA,,NOW,,,'CURRENCY=USD'),0.5)-1&lt;/Q&gt;&lt;R&gt;1&lt;/R&gt;&lt;C&gt;1&lt;/C&gt;&lt;D xsi:type="xsd:double"&gt;0.0951430500167547&lt;/D&gt;&lt;/FQL&gt;&lt;FQL&gt;&lt;Q&gt;BSY-US^FE_ACTUAL(ACTUAL,EPS,ANN_ROLL,0,,,,'CURRENCY=USD')&lt;/Q&gt;&lt;R&gt;1&lt;/R&gt;&lt;C&gt;1&lt;/C&gt;&lt;D xsi:type="xsd:double"&gt;1.07&lt;/D&gt;&lt;/FQL&gt;&lt;FQL&gt;&lt;Q&gt;BSY-US^OS_SEC_FLT_PCT(0D,,MTD,SEC)&lt;/Q&gt;&lt;R&gt;1&lt;/R&gt;&lt;C&gt;1&lt;/C&gt;&lt;D xsi:type="xsd:double"&gt;41.1494&lt;/D&gt;&lt;/FQL&gt;&lt;FQL&gt;&lt;Q&gt;BSY-US^AVG(P_VOLUME_FRQ(-1AM,NOW,D,,6))*P_PRICE_AVG(-1AM,NOW,,USD)&lt;/Q&gt;&lt;R&gt;1&lt;/R&gt;&lt;C&gt;1&lt;/C&gt;&lt;D xsi:type="xsd:double"&gt;105.550249599174&lt;/D&gt;&lt;/FQL&gt;&lt;FQL&gt;&lt;Q&gt;BSY-US^FCS_EV_DAILY(MV,NOW,,,USD,M)&lt;/Q&gt;&lt;R&gt;1&lt;/R&gt;&lt;C&gt;1&lt;/C&gt;&lt;D xsi:type="xsd:double"&gt;9939.4655052&lt;/D&gt;&lt;/FQL&gt;&lt;FQL&gt;&lt;Q&gt;BSY-US^P_DCOUNTRY&lt;/Q&gt;&lt;R&gt;1&lt;/R&gt;&lt;C&gt;1&lt;/C&gt;&lt;D xsi:type="xsd:string"&gt;UNITED STATES&lt;/D&gt;&lt;/FQL&gt;&lt;FQL&gt;&lt;Q&gt;BSY-US^FR_RBICS_NAME_CURR("IND")&lt;/Q&gt;&lt;R&gt;1&lt;/R&gt;&lt;C&gt;1&lt;/C&gt;&lt;D xsi:type="xsd:string"&gt;Computer Aided Design Software&lt;/D&gt;&lt;/FQL&gt;&lt;FQL&gt;&lt;Q&gt;4684-JP^FE_RATING(MEAN,TEXTONLY,0,NOW,,,'')&lt;/Q&gt;&lt;R&gt;1&lt;/R&gt;&lt;C&gt;1&lt;/C&gt;&lt;D xsi:type="xsd:string"&gt;Overweight&lt;/D&gt;&lt;/FQL&gt;&lt;FQL&gt;&lt;Q&gt;4684-JP^FG_PRICE(0,,,USD)/FG_PRICE_MAVG(0,,,USD,200)&lt;/Q&gt;&lt;R&gt;1&lt;/R&gt;&lt;C&gt;1&lt;/C&gt;&lt;D xsi:type="xsd:double"&gt;0.715116251195983&lt;/D&gt;&lt;/FQL&gt;&lt;FQL&gt;&lt;Q&gt;4684-JP^FG_PRICE(0,,,USD)/FG_PRICE_MAVG(0,,,USD,100)&lt;/Q&gt;&lt;R&gt;1&lt;/R&gt;&lt;C&gt;1&lt;/C&gt;&lt;D xsi:type="xsd:double"&gt;0.78177163723441&lt;/D&gt;&lt;/FQL&gt;&lt;FQL&gt;&lt;Q&gt;4684-JP^FG_PRICE(0,,,USD)/FG_PRICE_MAVG(0,,,USD,50)&lt;/Q&gt;&lt;R&gt;1&lt;/R&gt;&lt;C&gt;1&lt;/C&gt;&lt;D xsi:type="xsd:double"&gt;0.829130387222151&lt;/D&gt;&lt;/FQL&gt;&lt;FQL&gt;&lt;Q&gt;4684-JP^RTP_PRICE_TARGET(USD)/FG_PRICE(0,,,USD)&lt;/Q&gt;&lt;R&gt;1&lt;/R&gt;&lt;C&gt;1&lt;/C&gt;&lt;D xsi:type="xsd:double"&gt;1.39043699625814&lt;/D&gt;&lt;/FQL&gt;&lt;FQL&gt;&lt;Q&gt;4684-JP^FG_PRICE(0,,,USD)/P_PRICE_HIGH(-1AY,0,USD,,,"PRICE","INTRA")&lt;/Q&gt;&lt;R&gt;1&lt;/R&gt;&lt;C&gt;1&lt;/C&gt;&lt;D xsi:type="xsd:double"&gt;0.612788834888857&lt;/D&gt;&lt;/FQL&gt;&lt;FQL&gt;&lt;Q&gt;4684-JP^PERCENT_CHANGE(FE_VALUATION(FFEV_EBITDA,MEAN,NTMA,,0,,,''),MAX(FE_VALUATION(FFEV_EBITDA,MEAN,NTMA,,-1AY,0,,'')))&lt;/Q&gt;&lt;R&gt;1&lt;/R&gt;&lt;C&gt;1&lt;/C&gt;&lt;D xsi:type="xsd:double"&gt;-40.7793050964974&lt;/D&gt;&lt;/FQL&gt;&lt;FQL&gt;&lt;Q&gt;4684-JP^PERCENT_CHANGE(FE_VALUATION(PE,MEAN,NTMA,,0,,,''),MAX(FE_VALUATION(PE,MEAN,NTMA,,-1AY,0,,'')))&lt;/Q&gt;&lt;R&gt;1&lt;/R&gt;&lt;C&gt;1&lt;/C&gt;&lt;D xsi:type="xsd:double"&gt;-38.5571956368333&lt;/D&gt;&lt;/FQL&gt;&lt;FQL&gt;&lt;Q&gt;4684-JP^FE_VALUATION(FFEV_EBITDA,MEAN,NTMA,,0,,,'')&lt;/Q&gt;&lt;R&gt;1&lt;/R&gt;&lt;C&gt;1&lt;/C&gt;&lt;D xsi:type="xsd:double"&gt;14.703856&lt;/D&gt;&lt;/FQL&gt;&lt;FQL&gt;&lt;Q&gt;4684-JP^FE_VALUATION(FFEV_SALES,MEAN,NTMA,,0,,,'')&lt;/Q&gt;&lt;R&gt;1&lt;/R&gt;&lt;C&gt;1&lt;/C&gt;&lt;D xsi:type="xsd:double"&gt;9.946902&lt;/D&gt;&lt;/FQL&gt;&lt;FQL&gt;&lt;Q&gt;4684-JP^FE_VALUATION(P_SALESPS,MEAN,NTMA,,0,,,'')&lt;/Q&gt;&lt;R&gt;1&lt;/R&gt;&lt;C&gt;1&lt;/C&gt;&lt;D xsi:type="xsd:double"&gt;12.827414&lt;/D&gt;&lt;/FQL&gt;&lt;FQL&gt;&lt;Q&gt;4684-JP^FE_VALUATION(PE,MEAN,NTMA,,0,,,'')&lt;/Q&gt;&lt;R&gt;1&lt;/R&gt;&lt;C&gt;1&lt;/C&gt;&lt;D xsi:type="xsd:double"&gt;21.037956&lt;/D&gt;&lt;/FQL&gt;&lt;FQL&gt;&lt;Q&gt;4684-JP^FE_ACTUAL(ACTUAL,SALES,ANN_ROLL,0,,,,'CURRENCY=USD')&lt;/Q&gt;&lt;R&gt;1&lt;/R&gt;&lt;C&gt;1&lt;/C&gt;&lt;D xsi:type="xsd:double"&gt;850.0912&lt;/D&gt;&lt;/FQL&gt;&lt;FQL&gt;&lt;Q&gt;4684-JP^FE_ACTUAL(ACTUAL,SALES,ANN_ROLL,-1,,,,'CURRENCY=USD')&lt;/Q&gt;&lt;R&gt;1&lt;/R&gt;&lt;C&gt;1&lt;/C&gt;&lt;D xsi:type="xsd:double"&gt;719.86584&lt;/D&gt;&lt;/FQL&gt;&lt;FQL&gt;&lt;Q&gt;4684-JP^FE_VALUATION(EBITDA_MARGIN,MEAN,ANN_ROLL,0,NOW,,,'')&lt;/Q&gt;&lt;R&gt;1&lt;/R&gt;&lt;C&gt;1&lt;/C&gt;&lt;D xsi:type="xsd:double"&gt;66.47774&lt;/D&gt;&lt;/FQL&gt;&lt;FQL&gt;&lt;Q&gt;4684-JP^FE_VALUATION(ROIC,MEAN,NTMA,,0,,,'')&lt;/Q&gt;&lt;R&gt;1&lt;/R&gt;&lt;C&gt;1&lt;/C&gt;&lt;D xsi:type="xsd:double"&gt;15.8308525&lt;/D&gt;&lt;/FQL&gt;&lt;FQL&gt;&lt;Q&gt;4684-JP^FE_VALUATION(ROE,MEAN,NTMA,,0,,,'')&lt;/Q&gt;&lt;R&gt;1&lt;/R&gt;&lt;C&gt;1&lt;/C&gt;&lt;D xsi:type="xsd:double"&gt;15.804352&lt;/D&gt;&lt;/FQL&gt;&lt;FQL&gt;&lt;Q&gt;4684-JP^FE_VALUATION(DIV_YLD,MEAN,NTMA,,NOW,,,'')&lt;/Q&gt;&lt;R&gt;1&lt;/R&gt;&lt;C&gt;1&lt;/C&gt;&lt;D xsi:type="xsd:double"&gt;2.289976&lt;/D&gt;&lt;/FQL&gt;&lt;FQL&gt;&lt;Q&gt;4684-JP^FE_VALUATION(MCAP_FCF,MEAN,NTMA,,NOW,,,'')&lt;/Q&gt;&lt;R&gt;1&lt;/R&gt;&lt;C&gt;1&lt;/C&gt;&lt;D xsi:type="xsd:double"&gt;3.9433043&lt;/D&gt;&lt;/FQL&gt;&lt;FQL&gt;&lt;Q&gt;4684-JP^FE_VALUATION(NETDEBT_EBITDA,MEAN,NTMA,,NOW,,,'')&lt;/Q&gt;&lt;R&gt;1&lt;/R&gt;&lt;C&gt;1&lt;/C&gt;&lt;D xsi:type="xsd:double"&gt;-2.4344165&lt;/D&gt;&lt;/FQL&gt;&lt;FQL&gt;&lt;Q&gt;4684-JP^FF_NET_MGN(LTM_R,0)&lt;/Q&gt;&lt;R&gt;1&lt;/R&gt;&lt;C&gt;1&lt;/C&gt;&lt;D xsi:type="xsd:double"&gt;54.8636329104308&lt;/D&gt;&lt;/FQL&gt;&lt;FQL&gt;&lt;Q&gt;4684-JP^FF_EBITDA_OPER_MGN(LTM_R,0)&lt;/Q&gt;&lt;R&gt;1&lt;/R&gt;&lt;C&gt;1&lt;/C&gt;&lt;D xsi:type="xsd:double"&gt;67.5074071260351&lt;/D&gt;&lt;/FQL&gt;&lt;FQL&gt;&lt;Q&gt;4684-JP^FF_GROSS_MGN(LTM_R,0)&lt;/Q&gt;&lt;R&gt;1&lt;/R&gt;&lt;C&gt;1&lt;/C&gt;&lt;D xsi:type="xsd:double"&gt;78.0688292942338&lt;/D&gt;&lt;/FQL&gt;&lt;FQL&gt;&lt;Q&gt;4684-JP^POW(FE_ESTIMATE(EPS,MEAN,STMA,,NOW,,,'CURRENCY=USD')/FE_ESTIMATE(EPS,MEAN,LTMA,,NOW,,,'CURRENCY=USD'),0.5)-1&lt;/Q&gt;&lt;R&gt;1&lt;/R&gt;&lt;C&gt;1&lt;/C&gt;&lt;D xsi:type="xsd:double"&gt;0.0882821325373306&lt;/D&gt;&lt;/FQL&gt;&lt;FQL&gt;&lt;Q&gt;4684-JP^POW(FE_ESTIMATE(SALES,MEAN,STMA,,NOW,,,'CURRENCY=USD')/FE_ESTIMATE(SALES,MEAN,LTMA,,NOW,,,'CURRENCY=USD'),0.5)-1&lt;/Q&gt;&lt;R&gt;1&lt;/R&gt;&lt;C&gt;1&lt;/C&gt;&lt;D xsi:type="xsd:double"&gt;0.0896142436660783&lt;/D&gt;&lt;/FQL&gt;&lt;FQL&gt;&lt;Q&gt;4684-JP^FE_ACTUAL(ACTUAL,EPS,ANN_ROLL,0,,,,'CURRENCY=USD')&lt;/Q&gt;&lt;R&gt;1&lt;/R&gt;&lt;C&gt;1&lt;/C&gt;&lt;D xsi:type="xsd:double"&gt;1.0300099&lt;/D&gt;&lt;/FQL&gt;&lt;FQL&gt;&lt;Q&gt;4684-JP^OS_SEC_FLT_PCT(0D,,MTD,SEC)&lt;/Q&gt;&lt;R&gt;1&lt;/R&gt;&lt;C&gt;1&lt;/C&gt;&lt;D xsi:type="xsd:double"&gt;61.0278&lt;/D&gt;&lt;/FQL&gt;&lt;FQL&gt;&lt;Q&gt;4684-JP^AVG(P_VOLUME_FRQ(-1AM,NOW,D,,6))*P_PRICE_AVG(-1AM,NOW,,USD)&lt;/Q&gt;&lt;R&gt;1&lt;/R&gt;&lt;C&gt;1&lt;/C&gt;&lt;D xsi:type="xsd:double"&gt;73.0692903476929&lt;/D&gt;&lt;/FQL&gt;&lt;FQL&gt;&lt;Q&gt;4684-JP^FCS_EV_DAILY(MV,NOW,,,USD,M)&lt;/Q&gt;&lt;R&gt;1&lt;/R&gt;&lt;C&gt;1&lt;/C&gt;&lt;D xsi:type="xsd:double"&gt;11769.7633082424&lt;/D&gt;&lt;/FQL&gt;&lt;FQL&gt;&lt;Q&gt;4684-JP^P_DCOUNTRY&lt;/Q&gt;&lt;R&gt;1&lt;/R&gt;&lt;C&gt;1&lt;/C&gt;&lt;D xsi:type="xsd:string"&gt;JAPAN&lt;/D&gt;&lt;/FQL&gt;&lt;FQL&gt;&lt;Q&gt;4684-JP^FR_RBICS_NAME_CURR("IND")&lt;/Q&gt;&lt;R&gt;1&lt;/R&gt;&lt;C&gt;1&lt;/C&gt;&lt;D xsi:type="xsd:string"&gt;Enterprise Resource Planning Software&lt;/D&gt;&lt;/FQL&gt;&lt;FQL&gt;&lt;Q&gt;NICE-US^FE_RATING(MEAN,TEXTONLY,0,NOW,,,'')&lt;/Q&gt;&lt;R&gt;1&lt;/R&gt;&lt;C&gt;1&lt;/C&gt;&lt;D xsi:type="xsd:string"&gt;Overweight&lt;/D&gt;&lt;/FQL&gt;&lt;FQL&gt;&lt;Q&gt;NICE-US^FG_PRICE(0,,,USD)/FG_PRICE_MAVG(0,,,USD,200)&lt;/Q&gt;&lt;R&gt;1&lt;/R&gt;&lt;C&gt;1&lt;/C&gt;&lt;D xsi:type="xsd:double"&gt;0.834333186791227&lt;/D&gt;&lt;/FQL&gt;&lt;FQL&gt;&lt;Q&gt;NICE-US^FG_PRICE(0,,,USD)/FG_PRICE_MAVG(0,,,USD,100)&lt;/Q&gt;&lt;R&gt;1&lt;/R&gt;&lt;C&gt;1&lt;/C&gt;&lt;D xsi:type="xsd:double"&gt;0.97121965735663&lt;/D&gt;&lt;/FQL&gt;&lt;FQL&gt;&lt;Q&gt;NICE-US^FG_PRICE(0,,,USD)/FG_PRICE_MAVG(0,,,USD,50)&lt;/Q&gt;&lt;R&gt;1&lt;/R&gt;&lt;C&gt;1&lt;/C&gt;&lt;D xsi:type="xsd:double"&gt;1.02452749129336&lt;/D&gt;&lt;/FQL&gt;&lt;FQL&gt;&lt;Q&gt;NICE-US^RTP_PRICE_TARGET(USD)/FG_PRICE(0,,,USD)&lt;/Q&gt;&lt;R&gt;1&lt;/R&gt;&lt;C&gt;1&lt;/C&gt;&lt;D xsi:type="xsd:double"&gt;1.34065350608422&lt;/D&gt;&lt;/FQL&gt;&lt;FQL&gt;&lt;Q&gt;NICE-US^FG_PRICE(0,,,USD)/P_PRICE_HIGH(-1AY,0,USD,,,"PRICE","INTRA")&lt;/Q&gt;&lt;R&gt;1&lt;/R&gt;&lt;C&gt;1&lt;/C&gt;&lt;D xsi:type="xsd:double"&gt;0.632467748186701&lt;/D&gt;&lt;/FQL&gt;&lt;FQL&gt;&lt;Q&gt;NICE-US^PERCENT_CHANGE(FE_VALUATION(FFEV_EBITDA,MEAN,NTMA,,0,,,''),MAX(FE_VALUATION(FFEV_EBITDA,MEAN,NTMA,,-1AY,0,,'')))&lt;/Q&gt;&lt;R&gt;1&lt;/R&gt;&lt;C&gt;1&lt;/C&gt;&lt;D xsi:type="xsd:double"&gt;-27.123816794392&lt;/D&gt;&lt;/FQL&gt;&lt;FQL&gt;&lt;Q&gt;NICE-US^PERCENT_CHANGE(FE_VALUATION(PE,MEAN,NTMA,,0,,,''),MAX(FE_VALUATION(PE,MEAN,NTMA,,-1AY,0,,'')))&lt;/Q&gt;&lt;R&gt;1&lt;/R&gt;&lt;C&gt;1&lt;/C&gt;&lt;D xsi:type="xsd:double"&gt;-26.316399963234&lt;/D&gt;&lt;/FQL&gt;&lt;FQL&gt;&lt;Q&gt;NICE-US^FE_VALUATION(FFEV_EBITDA,MEAN,NTMA,,0,,,'')&lt;/Q&gt;&lt;R&gt;1&lt;/R&gt;&lt;C&gt;1&lt;/C&gt;&lt;D xsi:type="xsd:double"&gt;7.136683&lt;/D&gt;&lt;/FQL&gt;&lt;FQL&gt;&lt;Q&gt;NICE-US^FE_VALUATION(FFEV_SALES,MEAN,NTMA,,0,,,'')&lt;/Q&gt;&lt;R&gt;1&lt;/R&gt;&lt;C&gt;1&lt;/C&gt;&lt;D xsi:type="xsd:double"&gt;2.1466796&lt;/D&gt;&lt;/FQL&gt;&lt;FQL&gt;&lt;Q&gt;NICE-US^FE_VALUATION(P_SALESPS,MEAN,NTMA,,0,,,'')&lt;/Q&gt;&lt;R&gt;1&lt;/R&gt;&lt;C&gt;1&lt;/C&gt;&lt;D xsi:type="xsd:double"&gt;2.2398727&lt;/D&gt;&lt;/FQL&gt;&lt;FQL&gt;&lt;Q&gt;NICE-US^FE_VALUATION(PE,MEAN,NTMA,,0,,,'')&lt;/Q&gt;&lt;R&gt;1&lt;/R&gt;&lt;C&gt;1&lt;/C&gt;&lt;D xsi:type="xsd:double"&gt;10.221039&lt;/D&gt;&lt;/FQL&gt;&lt;FQL&gt;&lt;Q&gt;NICE-US^FE_ACTUAL(ACTUAL,SALES,ANN_ROLL,0,,,,'CURRENCY=USD')&lt;/Q&gt;&lt;R&gt;1&lt;/R&gt;&lt;C&gt;1&lt;/C&gt;&lt;D xsi:type="xsd:double"&gt;2945.399&lt;/D&gt;&lt;/FQL&gt;&lt;FQL&gt;&lt;Q&gt;NICE-US^FE_ACTUAL(ACTUAL,SALES,ANN_ROLL,-1,,,,'CURRENCY=USD')&lt;/Q&gt;&lt;R&gt;1&lt;/R&gt;&lt;C&gt;1&lt;/C&gt;&lt;D xsi:type="xsd:double"&gt;2735.272&lt;/D&gt;&lt;/FQL&gt;&lt;FQL&gt;&lt;Q&gt;NICE-US^FE_VALUATION(EBITDA_MARGIN,MEAN,ANN_ROLL,0,NOW,,,'')&lt;/Q&gt;&lt;R&gt;1&lt;/R&gt;&lt;C&gt;1&lt;/C&gt;&lt;D xsi:type="xsd:double"&gt;34.705032&lt;/D&gt;&lt;/FQL&gt;&lt;FQL&gt;&lt;Q&gt;NICE-US^FE_VALUATION(ROIC,MEAN,NTMA,,0,,,'')&lt;/Q&gt;&lt;R&gt;1&lt;/R&gt;&lt;C&gt;1&lt;/C&gt;&lt;D xsi:type="xsd:double"&gt;16.202742&lt;/D&gt;&lt;/FQL&gt;&lt;FQL&gt;&lt;Q&gt;NICE-US^FE_VALUATION(ROE,MEAN,NTMA,,0,,,'')&lt;/Q&gt;&lt;R&gt;1&lt;/R&gt;&lt;C&gt;1&lt;/C&gt;&lt;D xsi:type="xsd:double"&gt;14.630997&lt;/D&gt;&lt;/FQL&gt;&lt;FQL&gt;&lt;Q&gt;NICE-US^FE_VALUATION(DIV_YLD,MEAN,NTMA,,NOW,,,'')&lt;/Q&gt;&lt;R&gt;1&lt;/R&gt;&lt;C&gt;1&lt;/C&gt;&lt;D xsi:type="xsd:double"&gt;0&lt;/D&gt;&lt;/FQL&gt;&lt;FQL&gt;&lt;Q&gt;NICE-US^FE_VALUATION(MCAP_FCF,MEAN,NTMA,,NOW,,,'')&lt;/Q&gt;&lt;R&gt;1&lt;/R&gt;&lt;C&gt;1&lt;/C&gt;&lt;D xsi:type="xsd:double"&gt;8.444508&lt;/D&gt;&lt;/FQL&gt;&lt;FQL&gt;&lt;Q&gt;NICE-US^FE_VALUATION(NETDEBT_EBITDA,MEAN,NTMA,,NOW,,,'')&lt;/Q&gt;&lt;R&gt;1&lt;/R&gt;&lt;C&gt;1&lt;/C&gt;&lt;D xsi:type="xsd:double"&gt;-0.9078173&lt;/D&gt;&lt;/FQL&gt;&lt;FQL&gt;&lt;Q&gt;NICE-US^FF_NET_MGN(LTM_R,0)&lt;/Q&gt;&lt;R&gt;1&lt;/R&gt;&lt;C&gt;1&lt;/C&gt;&lt;D xsi:type="xsd:double"&gt;20.8069340987844&lt;/D&gt;&lt;/FQL&gt;&lt;FQL&gt;&lt;Q&gt;NICE-US^FF_EBITDA_OPER_MGN(LTM_R,0)&lt;/Q&gt;&lt;R&gt;1&lt;/R&gt;&lt;C&gt;1&lt;/C&gt;&lt;D xsi:type="xsd:double"&gt;28.9909926169954&lt;/D&gt;&lt;/FQL&gt;&lt;FQL&gt;&lt;Q&gt;NICE-US^FF_GROSS_MGN(LTM_R,0)&lt;/Q&gt;&lt;R&gt;1&lt;/R&gt;&lt;C&gt;1&lt;/C&gt;&lt;D xsi:type="xsd:double"&gt;66.4135080334333&lt;/D&gt;&lt;/FQL&gt;&lt;FQL&gt;&lt;Q&gt;NICE-US^POW(FE_ESTIMATE(EPS,MEAN,STMA,,NOW,,,'CURRENCY=USD')/FE_ESTIMATE(EPS,MEAN,LTMA,,NOW,,,'CURRENCY=USD'),0.5)-1&lt;/Q&gt;&lt;R&gt;1&lt;/R&gt;&lt;C&gt;1&lt;/C&gt;&lt;D xsi:type="xsd:double"&gt;0.0314128659271224&lt;/D&gt;&lt;/FQL&gt;&lt;FQL&gt;&lt;Q&gt;NICE-US^POW(FE_ESTIMATE(SALES,MEAN,STMA,,NOW,,,'CURRENCY=USD')/FE_ESTIMATE(SALES,MEAN,LTMA,,NOW,,,'CURRENCY=USD'),0.5)-1&lt;/Q&gt;&lt;R&gt;1&lt;/R&gt;&lt;C&gt;1&lt;/C&gt;&lt;D xsi:type="xsd:double"&gt;0.0937038904566445&lt;/D&gt;&lt;/FQL&gt;&lt;FQL&gt;&lt;Q&gt;NICE-US^FE_ACTUAL(ACTUAL,EPS,ANN_ROLL,0,,,,'CURRENCY=USD')&lt;/Q&gt;&lt;R&gt;1&lt;/R&gt;&lt;C&gt;1&lt;/C&gt;&lt;D xsi:type="xsd:double"&gt;12.3&lt;/D&gt;&lt;/FQL&gt;&lt;FQL&gt;&lt;Q&gt;NICE-US^OS_SEC_FLT_PCT(0D,,MTD,SEC)&lt;/Q&gt;&lt;R&gt;0&lt;/R&gt;&lt;C&gt;0&lt;/C&gt;&lt;/FQL&gt;&lt;FQL&gt;&lt;Q&gt;NICE-US^AVG(P_VOLUME_FRQ(-1AM,NOW,D,,6))*P_PRICE_AVG(-1AM,NOW,,USD)&lt;/Q&gt;&lt;R&gt;1&lt;/R&gt;&lt;C&gt;1&lt;/C&gt;&lt;D xsi:type="xsd:double"&gt;117.494895114729&lt;/D&gt;&lt;/FQL&gt;&lt;FQL&gt;&lt;Q&gt;NICE-US^FCS_EV_DAILY(MV,NOW,,,USD,M)&lt;/Q&gt;&lt;R&gt;1&lt;/R&gt;&lt;C&gt;1&lt;/C&gt;&lt;D xsi:type="xsd:double"&gt;7420.59644245548&lt;/D&gt;&lt;/FQL&gt;&lt;FQL&gt;&lt;Q&gt;NICE-US^P_DCOUNTRY&lt;/Q&gt;&lt;R&gt;1&lt;/R&gt;&lt;C&gt;1&lt;/C&gt;&lt;D xsi:type="xsd:string"&gt;ISRAEL&lt;/D&gt;&lt;/FQL&gt;&lt;FQL&gt;&lt;Q&gt;NICE-US^FR_RBICS_NAME_CURR("IND")&lt;/Q&gt;&lt;R&gt;1&lt;/R&gt;&lt;C&gt;1&lt;/C&gt;&lt;D xsi:type="xsd:string"&gt;Customer Relationship Management Software&lt;/D&gt;&lt;/FQL&gt;&lt;FQL&gt;&lt;Q&gt;TOST-US^FE_RATING(MEAN,TEXTONLY,0,NOW,,,'')&lt;/Q&gt;&lt;R&gt;1&lt;/R&gt;&lt;C&gt;1&lt;/C&gt;&lt;D xsi:type="xsd:string"&gt;Overweight&lt;/D&gt;&lt;/FQL&gt;&lt;FQL&gt;&lt;Q&gt;TOST-US^FG_PRICE(0,,,USD)/FG_PRICE_MAVG(0,,,USD,200)&lt;/Q&gt;&lt;R&gt;1&lt;/R&gt;&lt;C&gt;1&lt;/C&gt;&lt;D xsi:type="xsd:double"&gt;0.65960457260487&lt;/D&gt;&lt;/FQL&gt;&lt;FQL&gt;&lt;Q&gt;TOST-US^FG_PRICE(0,,,USD)/FG_PRICE_MAVG(0,,,USD,100)&lt;/Q&gt;&lt;R&gt;1&lt;/R&gt;&lt;C&gt;1&lt;/C&gt;&lt;D xsi:type="xsd:double"&gt;0.745135636833072&lt;/D&gt;&lt;/FQL&gt;&lt;FQL&gt;&lt;Q&gt;TOST-US^FG_PRICE(0,,,USD)/FG_PRICE_MAVG(0,,,USD,50)&lt;/Q&gt;&lt;R&gt;1&lt;/R&gt;&lt;C&gt;1&lt;/C&gt;&lt;D xsi:type="xsd:double"&gt;0.784871050321377&lt;/D&gt;&lt;/FQL&gt;&lt;FQL&gt;&lt;Q&gt;TOST-US^RTP_PRICE_TARGET(USD)/FG_PRICE(0,,,USD)&lt;/Q&gt;&lt;R&gt;1&lt;/R&gt;&lt;C&gt;1&lt;/C&gt;&lt;D xsi:type="xsd:double"&gt;1.45482987876418&lt;/D&gt;&lt;/FQL&gt;&lt;FQL&gt;&lt;Q&gt;TOST-US^FG_PRICE(0,,,USD)/P_PRICE_HIGH(-1AY,0,USD,,,"PRICE","INTRA")&lt;/Q&gt;&lt;R&gt;1&lt;/R&gt;&lt;C&gt;1&lt;/C&gt;&lt;D xsi:type="xsd:double"&gt;0.514901329037455&lt;/D&gt;&lt;/FQL&gt;&lt;FQL&gt;&lt;Q&gt;TOST-US^PERCENT_CHANGE(FE_VALUATION(FFEV_EBITDA,MEAN,NTMA,,0,,,''),MAX(FE_VALUATION(FFEV_EBITDA,MEAN,NTMA,,-1AY,0,,'')))&lt;/Q&gt;&lt;R&gt;1&lt;/R&gt;&lt;C&gt;1&lt;/C&gt;&lt;D xsi:type="xsd:double"&gt;-60.4544441155079&lt;/D&gt;&lt;/FQL&gt;&lt;FQL&gt;&lt;Q&gt;TOST-US^PERCENT_CHANGE(FE_VALUATION(PE,MEAN,NTMA,,0,,,''),MAX(FE_VALUATION(PE,MEAN,NTMA,,-1AY,0,,'')))&lt;/Q&gt;&lt;R&gt;1&lt;/R&gt;&lt;C&gt;1&lt;/C&gt;&lt;D xsi:type="xsd:double"&gt;-56.1318706244859&lt;/D&gt;&lt;/FQL&gt;&lt;FQL&gt;&lt;Q&gt;TOST-US^FE_VALUATION(FFEV_EBITDA,MEAN,NTMA,,0,,,'')&lt;/Q&gt;&lt;R&gt;1&lt;/R&gt;&lt;C&gt;1&lt;/C&gt;&lt;D xsi:type="xsd:double"&gt;16.23003&lt;/D&gt;&lt;/FQL&gt;&lt;FQL&gt;&lt;Q&gt;TOST-US^FE_VALUATION(FFEV_SALES,MEAN,NTMA,,0,,,'')&lt;/Q&gt;&lt;R&gt;1&lt;/R&gt;&lt;C&gt;1&lt;/C&gt;&lt;D xsi:type="xsd:double"&gt;1.7823989&lt;/D&gt;&lt;/FQL&gt;&lt;FQL&gt;&lt;Q&gt;TOST-US^FE_VALUATION(P_SALESPS,MEAN,NTMA,,0,,,'')&lt;/Q&gt;&lt;R&gt;1&lt;/R&gt;&lt;C&gt;1&lt;/C&gt;&lt;D xsi:type="xsd:double"&gt;1.9844888&lt;/D&gt;&lt;/FQL&gt;&lt;FQL&gt;&lt;Q&gt;TOST-US^FE_VALUATION(PE,MEAN,NTMA,,0,,,'')&lt;/Q&gt;&lt;R&gt;1&lt;/R&gt;&lt;C&gt;1&lt;/C&gt;&lt;D xsi:type="xsd:double"&gt;20.190754&lt;/D&gt;&lt;/FQL&gt;&lt;FQL&gt;&lt;Q&gt;TOST-US^FE_ACTUAL(ACTUAL,SALES,ANN_ROLL,0,,,,'CURRENCY=USD')&lt;/Q&gt;&lt;R&gt;1&lt;/R&gt;&lt;C&gt;1&lt;/C&gt;&lt;D xsi:type="xsd:double"&gt;6153&lt;/D&gt;&lt;/FQL&gt;&lt;FQL&gt;&lt;Q&gt;TOST-US^FE_ACTUAL(ACTUAL,SALES,ANN_ROLL,-1,,,,'CURRENCY=USD')&lt;/Q&gt;&lt;R&gt;1&lt;/R&gt;&lt;C&gt;1&lt;/C&gt;&lt;D xsi:type="xsd:double"&gt;4960&lt;/D&gt;&lt;/FQL&gt;&lt;FQL&gt;&lt;Q&gt;TOST-US^FE_VALUATION(EBITDA_MARGIN,MEAN,ANN_ROLL,0,NOW,,,'')&lt;/Q&gt;&lt;R&gt;1&lt;/R&gt;&lt;C&gt;1&lt;/C&gt;&lt;D xsi:type="xsd:double"&gt;10.287664&lt;/D&gt;&lt;/FQL&gt;&lt;FQL&gt;&lt;Q&gt;TOST-US^FE_VALUATION(ROIC,MEAN,NTMA,,0,,,'')&lt;/Q&gt;&lt;R&gt;1&lt;/R&gt;&lt;C&gt;1&lt;/C&gt;&lt;D xsi:type="xsd:double"&gt;17.183422&lt;/D&gt;&lt;/FQL&gt;&lt;FQL&gt;&lt;Q&gt;TOST-US^FE_VALUATION(ROE,MEAN,NTMA,,0,,,'')&lt;/Q&gt;&lt;R&gt;1&lt;/R&gt;&lt;C&gt;1&lt;/C&gt;&lt;D xsi:type="xsd:double"&gt;25.188044&lt;/D&gt;&lt;/FQL&gt;&lt;FQL&gt;&lt;Q&gt;TOST-US^FE_VALUATION(DIV_YLD,MEAN,NTMA,,NOW,,,'')&lt;/Q&gt;&lt;R&gt;1&lt;/R&gt;&lt;C&gt;1&lt;/C&gt;&lt;D xsi:type="xsd:double"&gt;0&lt;/D&gt;&lt;/FQL&gt;&lt;FQL&gt;&lt;Q&gt;TOST-US^FE_VALUATION(MCAP_FCF,MEAN,NTMA,,NOW,,,'')&lt;/Q&gt;&lt;R&gt;1&lt;/R&gt;&lt;C&gt;1&lt;/C&gt;&lt;D xsi:type="xsd:double"&gt;5.320233&lt;/D&gt;&lt;/FQL&gt;&lt;FQL&gt;&lt;Q&gt;TOST-US^FE_VALUATION(NETDEBT_EBITDA,MEAN,NTMA,,NOW,,,'')&lt;/Q&gt;&lt;R&gt;1&lt;/R&gt;&lt;C&gt;1&lt;/C&gt;&lt;D xsi:type="xsd:double"&gt;-3.0913737&lt;/D&gt;&lt;/FQL&gt;&lt;FQL&gt;&lt;Q&gt;TOST-US^FF_NET_MGN(LTM_R,0)&lt;/Q&gt;&lt;R&gt;1&lt;/R&gt;&lt;C&gt;1&lt;/C&gt;&lt;D xsi:type="xsd:double"&gt;5.55826426133593&lt;/D&gt;&lt;/FQL&gt;&lt;FQL&gt;&lt;Q&gt;TOST-US^FF_EBITDA_OPER_MGN(LTM_R,0)&lt;/Q&gt;&lt;R&gt;1&lt;/R&gt;&lt;C&gt;1&lt;/C&gt;&lt;D xsi:type="xsd:double"&gt;6.02957906712173&lt;/D&gt;&lt;/FQL&gt;&lt;FQL&gt;&lt;Q&gt;TOST-US^FF_GROSS_MGN(LTM_R,0)&lt;/Q&gt;&lt;R&gt;1&lt;/R&gt;&lt;C&gt;1&lt;/C&gt;&lt;D xsi:type="xsd:double"&gt;25.8410531448074&lt;/D&gt;&lt;/FQL&gt;&lt;FQL&gt;&lt;Q&gt;TOST-US^POW(FE_ESTIMATE(EPS,MEAN,STMA,,NOW,,,'CURRENCY=USD')/FE_ESTIMATE(EPS,MEAN,LTMA,,NOW,,,'CURRENCY=USD'),0.5)-1&lt;/Q&gt;&lt;R&gt;1&lt;/R&gt;&lt;C&gt;1&lt;/C&gt;&lt;D xsi:type="xsd:double"&gt;0.25587722329852&lt;/D&gt;&lt;/FQL&gt;&lt;FQL&gt;&lt;Q&gt;TOST-US^POW(FE_ESTIMATE(SALES,MEAN,STMA,,NOW,,,'CURRENCY=USD')/FE_ESTIMATE(SALES,MEAN,LTMA,,NOW,,,'CURRENCY=USD'),0.5)-1&lt;/Q&gt;&lt;R&gt;1&lt;/R&gt;&lt;C&gt;1&lt;/C&gt;&lt;D xsi:type="xsd:double"&gt;0.189157516900095&lt;/D&gt;&lt;/FQL&gt;&lt;FQL&gt;&lt;Q&gt;TOST-US^FE_ACTUAL(ACTUAL,EPS,ANN_ROLL,0,,,,'CURRENCY=USD')&lt;/Q&gt;&lt;R&gt;1&lt;/R&gt;&lt;C&gt;1&lt;/C&gt;&lt;D xsi:type="xsd:double"&gt;0.976804&lt;/D&gt;&lt;/FQL&gt;&lt;FQL&gt;&lt;Q&gt;TOST-US^OS_SEC_FLT_PCT(0D,,MTD,SEC)&lt;/Q&gt;&lt;R&gt;1&lt;/R&gt;&lt;C&gt;1&lt;/C&gt;&lt;D xsi:type="xsd:double"&gt;92.0785&lt;/D&gt;&lt;/FQL&gt;&lt;FQL&gt;&lt;Q&gt;TOST-US^AVG(P_VOLUME_FRQ(-1AM,NOW,D,,6))*P_PRICE_AVG(-1AM,NOW,,USD)&lt;/Q&gt;&lt;R&gt;1&lt;/R&gt;&lt;C&gt;1&lt;/C&gt;&lt;D xsi:type="xsd:double"&gt;398.448032656528&lt;/D&gt;&lt;/FQL&gt;&lt;FQL&gt;&lt;Q&gt;TOST-US^FCS_EV_DAILY(MV,NOW,,,USD,M)&lt;/Q&gt;&lt;R&gt;1&lt;/R&gt;&lt;C&gt;1&lt;/C&gt;&lt;D xsi:type="xsd:double"&gt;15766.25&lt;/D&gt;&lt;/FQL&gt;&lt;FQL&gt;&lt;Q&gt;TOST-US^P_DCOUNTRY&lt;/Q&gt;&lt;R&gt;1&lt;/R&gt;&lt;C&gt;1&lt;/C&gt;&lt;D xsi:type="xsd:string"&gt;UNITED STATES&lt;/D&gt;&lt;/FQL&gt;&lt;FQL&gt;&lt;Q&gt;TOST-US^FR_RBICS_NAME_CURR("IND")&lt;/Q&gt;&lt;R&gt;1&lt;/R&gt;&lt;C&gt;1&lt;/C&gt;&lt;D xsi:type="xsd:string"&gt;Retail Industry Software&lt;/D&gt;&lt;/FQL&gt;&lt;FQL&gt;&lt;Q&gt;DDOG-US^FE_RATING(MEAN,TEXTONLY,0,NOW,,,'')&lt;/Q&gt;&lt;R&gt;1&lt;/R&gt;&lt;C&gt;1&lt;/C&gt;&lt;D xsi:type="xsd:string"&gt;Buy&lt;/D&gt;&lt;/FQL&gt;&lt;FQL&gt;&lt;Q&gt;DDOG-US^FG_PRICE(0,,,USD)/FG_PRICE_MAVG(0,,,USD,200)&lt;/Q&gt;&lt;R&gt;1&lt;/R&gt;&lt;C&gt;1&lt;/C&gt;&lt;D xsi:type="xsd:double"&gt;0.752577594475765&lt;/D&gt;&lt;/FQL&gt;&lt;FQL&gt;&lt;Q&gt;DDOG-US^FG_PRICE(0,,,USD)/FG_PRICE_MAVG(0,,,USD,100)&lt;/Q&gt;&lt;R&gt;1&lt;/R&gt;&lt;C&gt;1&lt;/C&gt;&lt;D xsi:type="xsd:double"&gt;0.715389120851644&lt;/D&gt;&lt;/FQL&gt;&lt;FQL&gt;&lt;Q&gt;DDOG-US^FG_PRICE(0,,,USD)/FG_PRICE_MAVG(0,,,USD,50)&lt;/Q&gt;&lt;R&gt;1&lt;/R&gt;&lt;C&gt;1&lt;/C&gt;&lt;D xsi:type="xsd:double"&gt;0.809750189391443&lt;/D&gt;&lt;/FQL&gt;&lt;FQL&gt;&lt;Q&gt;DDOG-US^RTP_PRICE_TARGET(USD)/FG_PRICE(0,,,USD)&lt;/Q&gt;&lt;R&gt;1&lt;/R&gt;&lt;C&gt;1&lt;/C&gt;&lt;D xsi:type="xsd:double"&gt;1.76145532892847&lt;/D&gt;&lt;/FQL&gt;&lt;FQL&gt;&lt;Q&gt;DDOG-US^FG_PRICE(0,,,USD)/P_PRICE_HIGH(-1AY,0,USD,,,"PRICE","INTRA")&lt;/Q&gt;&lt;R&gt;1&lt;/R&gt;&lt;C&gt;1&lt;/C&gt;&lt;D xsi:type="xsd:double"&gt;0.517774802915365&lt;/D&gt;&lt;/FQL&gt;&lt;FQL&gt;&lt;Q&gt;DDOG-US^PERCENT_CHANGE(FE_VALUATION(FFEV_EBITDA,MEAN,NTMA,,0,,,''),MAX(FE_VALUATION(FFEV_EBITDA,MEAN,NTMA,,-1AY,0,,'')))&lt;/Q&gt;&lt;R&gt;1&lt;/R&gt;&lt;C&gt;1&lt;/C&gt;&lt;D xsi:type="xsd:double"&gt;-51.3342722205137&lt;/D&gt;&lt;/FQL&gt;&lt;FQL&gt;&lt;Q&gt;DDOG-US^PERCENT_CHANGE(FE_VALUATION(PE,MEAN,NTMA,,0,,,''),MAX(FE_VALUATION(PE,MEAN,NTMA,,-1AY,0,,'')))&lt;/Q&gt;&lt;R&gt;1&lt;/R&gt;&lt;C&gt;1&lt;/C&gt;&lt;D xsi:type="xsd:double"&gt;-46.3295743923456&lt;/D&gt;&lt;/FQL&gt;&lt;FQL&gt;&lt;Q&gt;DDOG-US^FE_VALUATION(FFEV_EBITDA,MEAN,NTMA,,0,,,'')&lt;/Q&gt;&lt;R&gt;1&lt;/R&gt;&lt;C&gt;1&lt;/C&gt;&lt;D xsi:type="xsd:double"&gt;33.833397&lt;/D&gt;&lt;/FQL&gt;&lt;FQL&gt;&lt;Q&gt;DDOG-US^FE_VALUATION(FFEV_SALES,MEAN,NTMA,,0,,,'')&lt;/Q&gt;&lt;R&gt;1&lt;/R&gt;&lt;C&gt;1&lt;/C&gt;&lt;D xsi:type="xsd:double"&gt;8.199817&lt;/D&gt;&lt;/FQL&gt;&lt;FQL&gt;&lt;Q&gt;DDOG-US^FE_VALUATION(P_SALESPS,MEAN,NTMA,,0,,,'')&lt;/Q&gt;&lt;R&gt;1&lt;/R&gt;&lt;C&gt;1&lt;/C&gt;&lt;D xsi:type="xsd:double"&gt;8.687898&lt;/D&gt;&lt;/FQL&gt;&lt;FQL&gt;&lt;Q&gt;DDOG-US^FE_VALUATION(PE,MEAN,NTMA,,0,,,'')&lt;/Q&gt;&lt;R&gt;1&lt;/R&gt;&lt;C&gt;1&lt;/C&gt;&lt;D xsi:type="xsd:double"&gt;47.1005&lt;/D&gt;&lt;/FQL&gt;&lt;FQL&gt;&lt;Q&gt;DDOG-US^FE_ACTUAL(ACTUAL,SALES,ANN_ROLL,0,,,,'CURRENCY=USD')&lt;/Q&gt;&lt;R&gt;1&lt;/R&gt;&lt;C&gt;1&lt;/C&gt;&lt;D xsi:type="xsd:double"&gt;3427.158&lt;/D&gt;&lt;/FQL&gt;&lt;FQL&gt;&lt;Q&gt;DDOG-US^FE_ACTUAL(ACTUAL,SALES,ANN_ROLL,-1,,,,'CURRENCY=USD')&lt;/Q&gt;&lt;R&gt;1&lt;/R&gt;&lt;C&gt;1&lt;/C&gt;&lt;D xsi:type="xsd:double"&gt;2684.275&lt;/D&gt;&lt;/FQL&gt;&lt;FQL&gt;&lt;Q&gt;DDOG-US^FE_VALUATION(EBITDA_MARGIN,MEAN,ANN_ROLL,0,NOW,,,'')&lt;/Q&gt;&lt;R&gt;1&lt;/R&gt;&lt;C&gt;1&lt;/C&gt;&lt;D xsi:type="xsd:double"&gt;24.027456&lt;/D&gt;&lt;/FQL&gt;&lt;FQL&gt;&lt;Q&gt;DDOG-US^FE_VALUATION(ROIC,MEAN,NTMA,,0,,,'')&lt;/Q&gt;&lt;R&gt;1&lt;/R&gt;&lt;C&gt;1&lt;/C&gt;&lt;D xsi:type="xsd:double"&gt;13.954807&lt;/D&gt;&lt;/FQL&gt;&lt;FQL&gt;&lt;Q&gt;DDOG-US^FE_VALUATION(ROE,MEAN,NTMA,,0,,,'')&lt;/Q&gt;&lt;R&gt;1&lt;/R&gt;&lt;C&gt;1&lt;/C&gt;&lt;D xsi:type="xsd:double"&gt;16.43451&lt;/D&gt;&lt;/FQL&gt;&lt;FQL&gt;&lt;Q&gt;DDOG-US^FE_VALUATION(DIV_YLD,MEAN,NTMA,,NOW,,,'')&lt;/Q&gt;&lt;R&gt;1&lt;/R&gt;&lt;C&gt;1&lt;/C&gt;&lt;D xsi:type="xsd:double"&gt;0&lt;/D&gt;&lt;/FQL&gt;&lt;FQL&gt;&lt;Q&gt;DDOG-US^FE_VALUATION(MCAP_FCF,MEAN,NTMA,,NOW,,,'')&lt;/Q&gt;&lt;R&gt;1&lt;/R&gt;&lt;C&gt;1&lt;/C&gt;&lt;D xsi:type="xsd:double"&gt;3.0458798&lt;/D&gt;&lt;/FQL&gt;&lt;FQL&gt;&lt;Q&gt;DDOG-US^FE_VALUATION(NETDEBT_EBITDA,MEAN,NTMA,,NOW,,,'')&lt;/Q&gt;&lt;R&gt;1&lt;/R&gt;&lt;C&gt;1&lt;/C&gt;&lt;D xsi:type="xsd:double"&gt;-4.417233&lt;/D&gt;&lt;/FQL&gt;&lt;FQL&gt;&lt;Q&gt;DDOG-US^FF_NET_MGN(LTM_R,0)&lt;/Q&gt;&lt;R&gt;1&lt;/R&gt;&lt;C&gt;1&lt;/C&gt;&lt;D xsi:type="xsd:double"&gt;3.14374184090725&lt;/D&gt;&lt;/FQL&gt;&lt;FQL&gt;&lt;Q&gt;DDOG-US^FF_EBITDA_OPER_MGN(LTM_R,0)&lt;/Q&gt;&lt;R&gt;1&lt;/R&gt;&lt;C&gt;1&lt;/C&gt;&lt;D xsi:type="xsd:double"&gt;2.27908955466891&lt;/D&gt;&lt;/FQL&gt;&lt;FQL&gt;&lt;Q&gt;DDOG-US^FF_GROSS_MGN(LTM_R,0)&lt;/Q&gt;&lt;R&gt;1&lt;/R&gt;&lt;C&gt;1&lt;/C&gt;&lt;D xsi:type="xsd:double"&gt;79.9279169504295&lt;/D&gt;&lt;/FQL&gt;&lt;FQL&gt;&lt;Q&gt;DDOG-US^POW(FE_ESTIMATE(EPS,MEAN,STMA,,NOW,,,'CURRENCY=USD')/FE_ESTIMATE(EPS,MEAN,LTMA,,NOW,,,'CURRENCY=USD'),0.5)-1&lt;/Q&gt;&lt;R&gt;1&lt;/R&gt;&lt;C&gt;1&lt;/C&gt;&lt;D xsi:type="xsd:double"&gt;0.143456383077203&lt;/D&gt;&lt;/FQL&gt;&lt;FQL&gt;&lt;Q&gt;DDOG-US^POW(FE_ESTIMATE(SALES,MEAN,STMA,,NOW,,,'CURRENCY=USD')/FE_ESTIMATE(SALES,MEAN,LTMA,,NOW,,,'CURRENCY=USD'),0.5)-1&lt;/Q&gt;&lt;R&gt;1&lt;/R&gt;&lt;C&gt;1&lt;/C&gt;&lt;D xsi:type="xsd:double"&gt;0.196623625038383&lt;/D&gt;&lt;/FQL&gt;&lt;FQL&gt;&lt;Q&gt;DDOG-US^FE_ACTUAL(ACTUAL,EPS,ANN_ROLL,0,,,,'CURRENCY=USD')&lt;/Q&gt;&lt;R&gt;1&lt;/R&gt;&lt;C&gt;1&lt;/C&gt;&lt;D xsi:type="xsd:double"&gt;2.05&lt;/D&gt;&lt;/FQL&gt;&lt;FQL&gt;&lt;Q&gt;DDOG-US^OS_SEC_FLT_PCT(0D,,MTD,SEC)&lt;/Q&gt;&lt;R&gt;1&lt;/R&gt;&lt;C&gt;1&lt;/C&gt;&lt;D xsi:type="xsd:double"&gt;98.2886&lt;/D&gt;&lt;/FQL&gt;&lt;FQL&gt;&lt;Q&gt;DDOG-US^AVG(P_VOLUME_FRQ(-1AM,NOW,D,,6))*P_PRICE_AVG(-1AM,NOW,,USD)&lt;/Q&gt;&lt;R&gt;1&lt;/R&gt;&lt;C&gt;1&lt;/C&gt;&lt;D xsi:type="xsd:double"&gt;844.039394158829&lt;/D&gt;&lt;/FQL&gt;&lt;FQL&gt;&lt;Q&gt;DDOG-US^FCS_EV_DAILY(MV,NOW,,,USD,M)&lt;/Q&gt;&lt;R&gt;1&lt;/R&gt;&lt;C&gt;1&lt;/C&gt;&lt;D xsi:type="xsd:double"&gt;38912.28299106&lt;/D&gt;&lt;/FQL&gt;&lt;FQL&gt;&lt;Q&gt;DDOG-US^P_DCOUNTRY&lt;/Q&gt;&lt;R&gt;1&lt;/R&gt;&lt;C&gt;1&lt;/C&gt;&lt;D xsi:type="xsd:string"&gt;UNITED STATES&lt;/D&gt;&lt;/FQL&gt;&lt;FQL&gt;&lt;Q&gt;DDOG-US^FR_RBICS_NAME_CURR("IND")&lt;/Q&gt;&lt;R&gt;1&lt;/R&gt;&lt;C&gt;1&lt;/C&gt;&lt;D xsi:type="xsd:string"&gt;Network Infrastructure Software&lt;/D&gt;&lt;/FQL&gt;&lt;FQL&gt;&lt;Q&gt;VRNS-US^FE_RATING(MEAN,TEXTONLY,0,NOW,,,'')&lt;/Q&gt;&lt;R&gt;1&lt;/R&gt;&lt;C&gt;1&lt;/C&gt;&lt;D xsi:type="xsd:string"&gt;Overweight&lt;/D&gt;&lt;/FQL&gt;&lt;FQL&gt;&lt;Q&gt;VRNS-US^FG_PRICE(0,,,USD)/FG_PRICE_MAVG(0,,,USD,200)&lt;/Q&gt;&lt;R&gt;1&lt;/R&gt;&lt;C&gt;1&lt;/C&gt;&lt;D xsi:type="xsd:double"&gt;0.47972732219457&lt;/D&gt;&lt;/FQL&gt;&lt;FQL&gt;&lt;Q&gt;VRNS-US^FG_PRICE(0,,,USD)/FG_PRICE_MAVG(0,,,USD,100)&lt;/Q&gt;&lt;R&gt;1&lt;/R&gt;&lt;C&gt;1&lt;/C&gt;&lt;D xsi:type="xsd:double"&gt;0.577597158573167&lt;/D&gt;&lt;/FQL&gt;&lt;FQL&gt;&lt;Q&gt;VRNS-US^FG_PRICE(0,,,USD)/FG_PRICE_MAVG(0,,,USD,50)&lt;/Q&gt;&lt;R&gt;1&lt;/R&gt;&lt;C&gt;1&lt;/C&gt;&lt;D xsi:type="xsd:double"&gt;0.705646799561855&lt;/D&gt;&lt;/FQL&gt;&lt;FQL&gt;&lt;Q&gt;VRNS-US^RTP_PRICE_TARGET(USD)/FG_PRICE(0,,,USD)&lt;/Q&gt;&lt;R&gt;1&lt;/R&gt;&lt;C&gt;1&lt;/C&gt;&lt;D xsi:type="xsd:double"&gt;1.59034168585905&lt;/D&gt;&lt;/FQL&gt;&lt;FQL&gt;&lt;Q&gt;VRNS-US^FG_PRICE(0,,,USD)/P_PRICE_HIGH(-1AY,0,USD,,,"PRICE","INTRA")&lt;/Q&gt;&lt;R&gt;1&lt;/R&gt;&lt;C&gt;1&lt;/C&gt;&lt;D xsi:type="xsd:double"&gt;0.339749608763693&lt;/D&gt;&lt;/FQL&gt;&lt;FQL&gt;&lt;Q&gt;VRNS-US^PERCENT_CHANGE(FE_VALUATION(FFEV_EBITDA,MEAN,NTMA,,0,,,''),MAX(FE_VALUATION(FFEV_EBITDA,MEAN,NTMA,,-1AY,0,,'')))&lt;/Q&gt;&lt;R&gt;1&lt;/R&gt;&lt;C&gt;1&lt;/C&gt;&lt;D xsi:type="xsd:double"&gt;-52.6874111811467&lt;/D&gt;&lt;/FQL&gt;&lt;FQL&gt;&lt;Q&gt;VRNS-US^PERCENT_CHANGE(FE_VALUATION(PE,MEAN,NTMA,,0,,,''),MAX(FE_VALUATION(PE,MEAN,NTMA,,-1AY,0,,'')))&lt;/Q&gt;&lt;R&gt;1&lt;/R&gt;&lt;C&gt;1&lt;/C&gt;&lt;D xsi:type="xsd:double"&gt;-28.1941017685464&lt;/D&gt;&lt;/FQL&gt;&lt;FQL&gt;&lt;Q&gt;VRNS-US^FE_VALUATION(FFEV_EBITDA,MEAN,NTMA,,0,,,'')&lt;/Q&gt;&lt;R&gt;1&lt;/R&gt;&lt;C&gt;1&lt;/C&gt;&lt;D xsi:type="xsd:double"&gt;93.043655&lt;/D&gt;&lt;/FQL&gt;&lt;FQL&gt;&lt;Q&gt;VRNS-US^FE_VALUATION(FFEV_SALES,MEAN,NTMA,,0,,,'')&lt;/Q&gt;&lt;R&gt;1&lt;/R&gt;&lt;C&gt;1&lt;/C&gt;&lt;D xsi:type="xsd:double"&gt;2.7964485&lt;/D&gt;&lt;/FQL&gt;&lt;FQL&gt;&lt;Q&gt;VRNS-US^FE_VALUATION(P_SALESPS,MEAN,NTMA,,0,,,'')&lt;/Q&gt;&lt;R&gt;1&lt;/R&gt;&lt;C&gt;1&lt;/C&gt;&lt;D xsi:type="xsd:double"&gt;3.4203446&lt;/D&gt;&lt;/FQL&gt;&lt;FQL&gt;&lt;Q&gt;VRNS-US^FE_VALUATION(PE,MEAN,NTMA,,0,,,'')&lt;/Q&gt;&lt;R&gt;1&lt;/R&gt;&lt;C&gt;1&lt;/C&gt;&lt;D xsi:type="xsd:double"&gt;164.29173&lt;/D&gt;&lt;/FQL&gt;&lt;FQL&gt;&lt;Q&gt;VRNS-US^FE_ACTUAL(ACTUAL,SALES,ANN_ROLL,0,,,,'CURRENCY=USD')&lt;/Q&gt;&lt;R&gt;1&lt;/R&gt;&lt;C&gt;1&lt;/C&gt;&lt;D xsi:type="xsd:double"&gt;623.532&lt;/D&gt;&lt;/FQL&gt;&lt;FQL&gt;&lt;Q&gt;VRNS-US^FE_ACTUAL(ACTUAL,SALES,ANN_ROLL,-1,,,,'CURRENCY=USD')&lt;/Q&gt;&lt;R&gt;1&lt;/R&gt;&lt;C&gt;1&lt;/C&gt;&lt;D xsi:type="xsd:double"&gt;550.95&lt;/D&gt;&lt;/FQL&gt;&lt;FQL&gt;&lt;Q&gt;VRNS-US^FE_VALUATION(EBITDA_MARGIN,MEAN,ANN_ROLL,0,NOW,,,'')&lt;/Q&gt;&lt;R&gt;1&lt;/R&gt;&lt;C&gt;1&lt;/C&gt;&lt;D xsi:type="xsd:double"&gt;1.4163668&lt;/D&gt;&lt;/FQL&gt;&lt;FQL&gt;&lt;Q&gt;VRNS-US^FE_VALUATION(ROIC,MEAN,NTMA,,0,,,'')&lt;/Q&gt;&lt;R&gt;1&lt;/R&gt;&lt;C&gt;1&lt;/C&gt;&lt;D xsi:type="xsd:double"&gt;1.7536154&lt;/D&gt;&lt;/FQL&gt;&lt;FQL&gt;&lt;Q&gt;VRNS-US^FE_VALUATION(ROE,MEAN,NTMA,,0,,,'')&lt;/Q&gt;&lt;R&gt;1&lt;/R&gt;&lt;C&gt;1&lt;/C&gt;&lt;D xsi:type="xsd:double"&gt;2.6995661&lt;/D&gt;&lt;/FQL&gt;&lt;FQL&gt;&lt;Q&gt;VRNS-US^FE_VALUATION(DIV_YLD,MEAN,NTMA,,NOW,,,'')&lt;/Q&gt;&lt;R&gt;1&lt;/R&gt;&lt;C&gt;1&lt;/C&gt;&lt;D xsi:type="xsd:double"&gt;0&lt;/D&gt;&lt;/FQL&gt;&lt;FQL&gt;&lt;Q&gt;VRNS-US^FE_VALUATION(MCAP_FCF,MEAN,NTMA,,NOW,,,'')&lt;/Q&gt;&lt;R&gt;1&lt;/R&gt;&lt;C&gt;1&lt;/C&gt;&lt;D xsi:type="xsd:double"&gt;4.372019&lt;/D&gt;&lt;/FQL&gt;&lt;FQL&gt;&lt;Q&gt;VRNS-US^FE_VALUATION(NETDEBT_EBITDA,MEAN,NTMA,,NOW,,,'')&lt;/Q&gt;&lt;R&gt;1&lt;/R&gt;&lt;C&gt;1&lt;/C&gt;&lt;D xsi:type="xsd:double"&gt;-38.46902&lt;/D&gt;&lt;/FQL&gt;&lt;FQL&gt;&lt;Q&gt;VRNS-US^FF_NET_MGN(LTM_R,0)&lt;/Q&gt;&lt;R&gt;1&lt;/R&gt;&lt;C&gt;1&lt;/C&gt;&lt;D xsi:type="xsd:double"&gt;-20.7405554165624&lt;/D&gt;&lt;/FQL&gt;&lt;FQL&gt;&lt;Q&gt;VRNS-US^FF_EBITDA_OPER_MGN(LTM_R,0)&lt;/Q&gt;&lt;R&gt;1&lt;/R&gt;&lt;C&gt;1&lt;/C&gt;&lt;D xsi:type="xsd:double"&gt;-21.7477210471957&lt;/D&gt;&lt;/FQL&gt;&lt;FQL&gt;&lt;Q&gt;VRNS-US^FF_GROSS_MGN(LTM_R,0)&lt;/Q&gt;&lt;R&gt;1&lt;/R&gt;&lt;C&gt;1&lt;/C&gt;&lt;D xsi:type="xsd:double"&gt;78.8344463475812&lt;/D&gt;&lt;/FQL&gt;&lt;FQL&gt;&lt;Q&gt;VRNS-US^POW(FE_ESTIMATE(EPS,MEAN,STMA,,NOW,,,'CURRENCY=USD')/FE_ESTIMATE(EPS,MEAN,LTMA,,NOW,,,'CURRENCY=USD'),0.5)-1&lt;/Q&gt;&lt;R&gt;1&lt;/R&gt;&lt;C&gt;1&lt;/C&gt;&lt;D xsi:type="xsd:double"&gt;0.660106502607589&lt;/D&gt;&lt;/FQL&gt;&lt;FQL&gt;&lt;Q&gt;VRNS-US^POW(FE_ESTIMATE(SALES,MEAN,STMA,,NOW,,,'CURRENCY=USD')/FE_ESTIMATE(SALES,MEAN,LTMA,,NOW,,,'CURRENCY=USD'),0.5)-1&lt;/Q&gt;&lt;R&gt;1&lt;/R&gt;&lt;C&gt;1&lt;/C&gt;&lt;D xsi:type="xsd:double"&gt;0.170698167761443&lt;/D&gt;&lt;/FQL&gt;&lt;FQL&gt;&lt;Q&gt;VRNS-US^FE_ACTUAL(ACTUAL,EPS,ANN_ROLL,0,,,,'CURRENCY=USD')&lt;/Q&gt;&lt;R&gt;1&lt;/R&gt;&lt;C&gt;1&lt;/C&gt;&lt;D xsi:type="xsd:double"&gt;0.18&lt;/D&gt;&lt;/FQL&gt;&lt;FQL&gt;&lt;Q&gt;VRNS-US^OS_SEC_FLT_PCT(0D,,MTD,SEC)&lt;/Q&gt;&lt;R&gt;1&lt;/R&gt;&lt;C&gt;1&lt;/C&gt;&lt;D xsi:type="xsd:double"&gt;94.5823&lt;/D&gt;&lt;/FQL&gt;&lt;FQL&gt;&lt;Q&gt;VRNS-US^AVG(P_VOLUME_FRQ(-1AM,NOW,D,,6))*P_PRICE_AVG(-1AM,NOW,,USD)&lt;/Q&gt;&lt;R&gt;1&lt;/R&gt;&lt;C&gt;1&lt;/C&gt;&lt;D xsi:type="xsd:double"&gt;127.322865902532&lt;/D&gt;&lt;/FQL&gt;&lt;FQL&gt;&lt;Q&gt;VRNS-US^FCS_EV_DAILY(MV,NOW,,,USD,M)&lt;/Q&gt;&lt;R&gt;1&lt;/R&gt;&lt;C&gt;1&lt;/C&gt;&lt;D xsi:type="xsd:double"&gt;2736.014192358&lt;/D&gt;&lt;/FQL&gt;&lt;FQL&gt;&lt;Q&gt;VRNS-US^P_DCOUNTRY&lt;/Q&gt;&lt;R&gt;1&lt;/R&gt;&lt;C&gt;1&lt;/C&gt;&lt;D xsi:type="xsd:string"&gt;UNITED STATES&lt;/D&gt;&lt;/FQL&gt;&lt;FQL&gt;&lt;Q&gt;VRNS-US^FR_RBICS_NAME_CURR("IND")&lt;/Q&gt;&lt;R&gt;1&lt;/R&gt;&lt;C&gt;1&lt;/C&gt;&lt;D xsi:type="xsd:string"&gt;Network Infrastructure Software&lt;/D&gt;&lt;/FQL&gt;&lt;FQL&gt;&lt;Q&gt;SAP-DE^FE_RATING(MEAN,TEXTONLY,0,NOW,,,'')&lt;/Q&gt;&lt;R&gt;1&lt;/R&gt;&lt;C&gt;1&lt;/C&gt;&lt;D xsi:type="xsd:string"&gt;Overweight&lt;/D&gt;&lt;/FQL&gt;&lt;FQL&gt;&lt;Q&gt;SAP-DE^FG_PRICE(0,,,USD)/FG_PRICE_MAVG(0,,,USD,200)&lt;/Q&gt;&lt;R&gt;1&lt;/R&gt;&lt;C&gt;1&lt;/C&gt;&lt;D xsi:type="xsd:double"&gt;0.738631380433026&lt;/D&gt;&lt;/FQL&gt;&lt;FQL&gt;&lt;Q&gt;SAP-DE^FG_PRICE(0,,,USD)/FG_PRICE_MAVG(0,,,USD,100)&lt;/Q&gt;&lt;R&gt;1&lt;/R&gt;&lt;C&gt;1&lt;/C&gt;&lt;D xsi:type="xsd:double"&gt;0.808688070930331&lt;/D&gt;&lt;/FQL&gt;&lt;FQL&gt;&lt;Q&gt;SAP-DE^FG_PRICE(0,,,USD)/FG_PRICE_MAVG(0,,,USD,50)&lt;/Q&gt;&lt;R&gt;1&lt;/R&gt;&lt;C&gt;1&lt;/C&gt;&lt;D xsi:type="xsd:double"&gt;0.866036676520547&lt;/D&gt;&lt;/FQL&gt;&lt;FQL&gt;&lt;Q&gt;SAP-DE^RTP_PRICE_TARGET(USD)/FG_PRICE(0,,,USD)&lt;/Q&gt;&lt;R&gt;1&lt;/R&gt;&lt;C&gt;1&lt;/C&gt;&lt;D xsi:type="xsd:double"&gt;1.49448954890075&lt;/D&gt;&lt;/FQL&gt;&lt;FQL&gt;&lt;Q&gt;SAP-DE^FG_PRICE(0,,,USD)/P_PRICE_HIGH(-1AY,0,USD,,,"PRICE","INTRA")&lt;/Q&gt;&lt;R&gt;1&lt;/R&gt;&lt;C&gt;1&lt;/C&gt;&lt;D xsi:type="xsd:double"&gt;0.620606596712228&lt;/D&gt;&lt;/FQL&gt;&lt;FQL&gt;&lt;Q&gt;SAP-DE^PERCENT_CHANGE(FE_VALUATION(FFEV_EBITDA,MEAN,NTMA,,0,,,''),MAX(FE_VALUATION(FFEV_EBITDA,MEAN,NTMA,,-1AY,0,,'')))&lt;/Q&gt;&lt;R&gt;1&lt;/R&gt;&lt;C&gt;1&lt;/C&gt;&lt;D xsi:type="xsd:double"&gt;-46.4985094880183&lt;/D&gt;&lt;/FQL&gt;&lt;FQL&gt;&lt;Q&gt;SAP-DE^PERCENT_CHANGE(FE_VALUATION(PE,MEAN,NTMA,,0,,,''),MAX(FE_VALUATION(PE,MEAN,NTMA,,-1AY,0,,'')))&lt;/Q&gt;&lt;R&gt;1&lt;/R&gt;&lt;C&gt;1&lt;/C&gt;&lt;D xsi:type="xsd:double"&gt;-46.9433839389989&lt;/D&gt;&lt;/FQL&gt;&lt;FQL&gt;&lt;Q&gt;SAP-DE^FE_VALUATION(FFEV_EBITDA,MEAN,NTMA,,0,,,'')&lt;/Q&gt;&lt;R&gt;1&lt;/R&gt;&lt;C&gt;1&lt;/C&gt;&lt;D xsi:type="xsd:double"&gt;14.383009&lt;/D&gt;&lt;/FQL&gt;&lt;FQL&gt;&lt;Q&gt;SAP-DE^FE_VALUATION(FFEV_SALES,MEAN,NTMA,,0,,,'')&lt;/Q&gt;&lt;R&gt;1&lt;/R&gt;&lt;C&gt;1&lt;/C&gt;&lt;D xsi:type="xsd:double"&gt;4.714749&lt;/D&gt;&lt;/FQL&gt;&lt;FQL&gt;&lt;Q&gt;SAP-DE^FE_VALUATION(P_SALESPS,MEAN,NTMA,,0,,,'')&lt;/Q&gt;&lt;R&gt;1&lt;/R&gt;&lt;C&gt;1&lt;/C&gt;&lt;D xsi:type="xsd:double"&gt;4.960314&lt;/D&gt;&lt;/FQL&gt;&lt;FQL&gt;&lt;Q&gt;SAP-DE^FE_VALUATION(PE,MEAN,NTMA,,0,,,'')&lt;/Q&gt;&lt;R&gt;1&lt;/R&gt;&lt;C&gt;1&lt;/C&gt;&lt;D xsi:type="xsd:double"&gt;22.489258&lt;/D&gt;&lt;/FQL&gt;&lt;FQL&gt;&lt;Q&gt;SAP-DE^FE_ACTUAL(ACTUAL,SALES,ANN_ROLL,0,,,,'CURRENCY=USD')&lt;/Q&gt;&lt;R&gt;1&lt;/R&gt;&lt;C&gt;1&lt;/C&gt;&lt;D xsi:type="xsd:double"&gt;43900.56&lt;/D&gt;&lt;/FQL&gt;&lt;FQL&gt;&lt;Q&gt;SAP-DE^FE_ACTUAL(ACTUAL,SALES,ANN_ROLL,-1,,,,'CURRENCY=USD')&lt;/Q&gt;&lt;R&gt;1&lt;/R&gt;&lt;C&gt;1&lt;/C&gt;&lt;D xsi:type="xsd:double"&gt;35626.77&lt;/D&gt;&lt;/FQL&gt;&lt;FQL&gt;&lt;Q&gt;SAP-DE^FE_VALUATION(EBITDA_MARGIN,MEAN,ANN_ROLL,0,NOW,,,'')&lt;/Q&gt;&lt;R&gt;1&lt;/R&gt;&lt;C&gt;1&lt;/C&gt;&lt;D xsi:type="xsd:double"&gt;31.08609&lt;/D&gt;&lt;/FQL&gt;&lt;FQL&gt;&lt;Q&gt;SAP-DE^FE_VALUATION(ROIC,MEAN,NTMA,,0,,,'')&lt;/Q&gt;&lt;R&gt;1&lt;/R&gt;&lt;C&gt;1&lt;/C&gt;&lt;D xsi:type="xsd:double"&gt;14.444313&lt;/D&gt;&lt;/FQL&gt;&lt;FQL&gt;&lt;Q&gt;SAP-DE^FE_VALUATION(ROE,MEAN,NTMA,,0,,,'')&lt;/Q&gt;&lt;R&gt;1&lt;/R&gt;&lt;C&gt;1&lt;/C&gt;&lt;D xsi:type="xsd:double"&gt;17.383753&lt;/D&gt;&lt;/FQL&gt;&lt;FQL&gt;&lt;Q&gt;SAP-DE^FE_VALUATION(DIV_YLD,MEAN,NTMA,,NOW,,,'')&lt;/Q&gt;&lt;R&gt;1&lt;/R&gt;&lt;C&gt;1&lt;/C&gt;&lt;D xsi:type="xsd:double"&gt;1.6269106&lt;/D&gt;&lt;/FQL&gt;&lt;FQL&gt;&lt;Q&gt;SAP-DE^FE_VALUATION(MCAP_FCF,MEAN,NTMA,,NOW,,,'')&lt;/Q&gt;&lt;R&gt;1&lt;/R&gt;&lt;C&gt;1&lt;/C&gt;&lt;D xsi:type="xsd:double"&gt;5.0163445&lt;/D&gt;&lt;/FQL&gt;&lt;FQL&gt;&lt;Q&gt;SAP-DE^FE_VALUATION(NETDEBT_EBITDA,MEAN,NTMA,,NOW,,,'')&lt;/Q&gt;&lt;R&gt;1&lt;/R&gt;&lt;C&gt;1&lt;/C&gt;&lt;D xsi:type="xsd:double"&gt;-0.53080827&lt;/D&gt;&lt;/FQL&gt;&lt;FQL&gt;&lt;Q&gt;SAP-DE^FF_NET_MGN(LTM_R,0)&lt;/Q&gt;&lt;R&gt;1&lt;/R&gt;&lt;C&gt;1&lt;/C&gt;&lt;D xsi:type="xsd:double"&gt;19.9103260869565&lt;/D&gt;&lt;/FQL&gt;&lt;FQL&gt;&lt;Q&gt;SAP-DE^FF_EBITDA_OPER_MGN(LTM_R,0)&lt;/Q&gt;&lt;R&gt;1&lt;/R&gt;&lt;C&gt;1&lt;/C&gt;&lt;D xsi:type="xsd:double"&gt;31.5326086956522&lt;/D&gt;&lt;/FQL&gt;&lt;FQL&gt;&lt;Q&gt;SAP-DE^FF_GROSS_MGN(LTM_R,0)&lt;/Q&gt;&lt;R&gt;1&lt;/R&gt;&lt;C&gt;1&lt;/C&gt;&lt;D xsi:type="xsd:double"&gt;76.1576086956522&lt;/D&gt;&lt;/FQL&gt;&lt;FQL&gt;&lt;Q&gt;SAP-DE^POW(FE_ESTIMATE(EPS,MEAN,STMA,,NOW,,,'CURRENCY=USD')/FE_ESTIMATE(EPS,MEAN,LTMA,,NOW,,,'CURRENCY=USD'),0.5)-1&lt;/Q&gt;&lt;R&gt;1&lt;/R&gt;&lt;C&gt;1&lt;/C&gt;&lt;D xsi:type="xsd:double"&gt;0.163856090760365&lt;/D&gt;&lt;/FQL&gt;&lt;FQL&gt;&lt;Q&gt;SAP-DE^POW(FE_ESTIMATE(SALES,MEAN,STMA,,NOW,,,'CURRENCY=USD')/FE_ESTIMATE(SALES,MEAN,LTMA,,NOW,,,'CURRENCY=USD'),0.5)-1&lt;/Q&gt;&lt;R&gt;1&lt;/R&gt;&lt;C&gt;1&lt;/C&gt;&lt;D xsi:type="xsd:double"&gt;0.103310427758208&lt;/D&gt;&lt;/FQL&gt;&lt;FQL&gt;&lt;Q&gt;SAP-DE^FE_ACTUAL(ACTUAL,EPS,ANN_ROLL,0,,,,'CURRENCY=USD')&lt;/Q&gt;&lt;R&gt;1&lt;/R&gt;&lt;C&gt;1&lt;/C&gt;&lt;D xsi:type="xsd:double"&gt;7.3366423&lt;/D&gt;&lt;/FQL&gt;&lt;FQL&gt;&lt;Q&gt;SAP-DE^OS_SEC_FLT_PCT(0D,,MTD,SEC)&lt;/Q&gt;&lt;R&gt;1&lt;/R&gt;&lt;C&gt;1&lt;/C&gt;&lt;D xsi:type="xsd:double"&gt;89.9713&lt;/D&gt;&lt;/FQL&gt;&lt;FQL&gt;&lt;Q&gt;SAP-DE^AVG(P_VOLUME_FRQ(-1AM,NOW,D,,6))*P_PRICE_AVG(-1AM,NOW,,USD)&lt;/Q&gt;&lt;R&gt;1&lt;/R&gt;&lt;C&gt;1&lt;/C&gt;&lt;D xsi:type="xsd:double"&gt;807.732887584096&lt;/D&gt;&lt;/FQL&gt;&lt;FQL&gt;&lt;Q&gt;SAP-DE^FCS_EV_DAILY(MV,NOW,,,USD,M)&lt;/Q&gt;&lt;R&gt;1&lt;/R&gt;&lt;C&gt;1&lt;/C&gt;&lt;D xsi:type="xsd:double"&gt;239108.115505565&lt;/D&gt;&lt;/FQL&gt;&lt;FQL&gt;&lt;Q&gt;SAP-DE^P_DCOUNTRY&lt;/Q&gt;&lt;R&gt;1&lt;/R&gt;&lt;C&gt;1&lt;/C&gt;&lt;D xsi:type="xsd:string"&gt;GERMANY&lt;/D&gt;&lt;/FQL&gt;&lt;FQL&gt;&lt;Q&gt;SAP-DE^FR_RBICS_NAME_CURR("IND")&lt;/Q&gt;&lt;R&gt;1&lt;/R&gt;&lt;C&gt;1&lt;/C&gt;&lt;D xsi:type="xsd:string"&gt;General Enterprise Management Software&lt;/D&gt;&lt;/FQL&gt;&lt;FQL&gt;&lt;Q&gt;DSY-FR^FE_RATING(MEAN,TEXTONLY,0,NOW,,,'')&lt;/Q&gt;&lt;R&gt;1&lt;/R&gt;&lt;C&gt;1&lt;/C&gt;&lt;D xsi:type="xsd:string"&gt;Overweight&lt;/D&gt;&lt;/FQL&gt;&lt;FQL&gt;&lt;Q&gt;DSY-FR^FG_PRICE(0,,,USD)/FG_PRICE_MAVG(0,,,USD,200)&lt;/Q&gt;&lt;R&gt;1&lt;/R&gt;&lt;C&gt;1&lt;/C&gt;&lt;D xsi:type="xsd:double"&gt;0.656598752491256&lt;/D&gt;&lt;/FQL&gt;&lt;FQL&gt;&lt;Q&gt;DSY-FR^FG_PRICE(0,,,USD)/FG_PRICE_MAVG(0,,,USD,100)&lt;/Q&gt;&lt;R&gt;1&lt;/R&gt;&lt;C&gt;1&lt;/C&gt;&lt;D xsi:type="xsd:double"&gt;0.73542590740266&lt;/D&gt;&lt;/FQL&gt;&lt;FQL&gt;&lt;Q&gt;DSY-FR^FG_PRICE(0,,,USD)/FG_PRICE_MAVG(0,,,USD,50)&lt;/Q&gt;&lt;R&gt;1&lt;/R&gt;&lt;C&gt;1&lt;/C&gt;&lt;D xsi:type="xsd:double"&gt;0.780674472037298&lt;/D&gt;&lt;/FQL&gt;&lt;FQL&gt;&lt;Q&gt;DSY-FR^RTP_PRICE_TARGET(USD)/FG_PRICE(0,,,USD)&lt;/Q&gt;&lt;R&gt;1&lt;/R&gt;&lt;C&gt;1&lt;/C&gt;&lt;D xsi:type="xsd:double"&gt;1.426046863119&lt;/D&gt;&lt;/FQL&gt;&lt;FQL&gt;&lt;Q&gt;DSY-FR^FG_PRICE(0,,,USD)/P_PRICE_HIGH(-1AY,0,USD,,,"PRICE","INTRA")&lt;/Q&gt;&lt;R&gt;1&lt;/R&gt;&lt;C&gt;1&lt;/C&gt;&lt;D xsi:type="xsd:double"&gt;0.465203928528494&lt;/D&gt;&lt;/FQL&gt;&lt;FQL&gt;&lt;Q&gt;DSY-FR^PERCENT_CHANGE(FE_VALUATION(FFEV_EBITDA,MEAN,NTMA,,0,,,''),MAX(FE_VALUATION(FFEV_EBITDA,MEAN,NTMA,,-1AY,0,,'')))&lt;/Q&gt;&lt;R&gt;1&lt;/R&gt;&lt;C&gt;1&lt;/C&gt;&lt;D xsi:type="xsd:double"&gt;-55.1009068365681&lt;/D&gt;&lt;/FQL&gt;&lt;FQL&gt;&lt;Q&gt;DSY-FR^PERCENT_CHANGE(FE_VALUATION(PE,MEAN,NTMA,,0,,,''),MAX(FE_VALUATION(PE,MEAN,NTMA,,-1AY,0,,'')))&lt;/Q&gt;&lt;R&gt;1&lt;/R&gt;&lt;C&gt;1&lt;/C&gt;&lt;D xsi:type="xsd:double"&gt;-54.7186720279329&lt;/D&gt;&lt;/FQL&gt;&lt;FQL&gt;&lt;Q&gt;DSY-FR^FE_VALUATION(FFEV_EBITDA,MEAN,NTMA,,0,,,'')&lt;/Q&gt;&lt;R&gt;1&lt;/R&gt;&lt;C&gt;1&lt;/C&gt;&lt;D xsi:type="xsd:double"&gt;9.534137&lt;/D&gt;&lt;/FQL&gt;&lt;FQL&gt;&lt;Q&gt;DSY-FR^FE_VALUATION(FFEV_SALES,MEAN,NTMA,,0,,,'')&lt;/Q&gt;&lt;R&gt;1&lt;/R&gt;&lt;C&gt;1&lt;/C&gt;&lt;D xsi:type="xsd:double"&gt;3.372436&lt;/D&gt;&lt;/FQL&gt;&lt;FQL&gt;&lt;Q&gt;DSY-FR^FE_VALUATION(P_SALESPS,MEAN,NTMA,,0,,,'')&lt;/Q&gt;&lt;R&gt;1&lt;/R&gt;&lt;C&gt;1&lt;/C&gt;&lt;D xsi:type="xsd:double"&gt;3.6453555&lt;/D&gt;&lt;/FQL&gt;&lt;FQL&gt;&lt;Q&gt;DSY-FR^FE_VALUATION(PE,MEAN,NTMA,,0,,,'')&lt;/Q&gt;&lt;R&gt;1&lt;/R&gt;&lt;C&gt;1&lt;/C&gt;&lt;D xsi:type="xsd:double"&gt;12.929946&lt;/D&gt;&lt;/FQL&gt;&lt;FQL&gt;&lt;Q&gt;DSY-FR^FE_ACTUAL(ACTUAL,SALES,ANN_ROLL,0,,,,'CURRENCY=USD')&lt;/Q&gt;&lt;R&gt;1&lt;/R&gt;&lt;C&gt;1&lt;/C&gt;&lt;D xsi:type="xsd:double"&gt;7399.8535&lt;/D&gt;&lt;/FQL&gt;&lt;FQL&gt;&lt;Q&gt;DSY-FR^FE_ACTUAL(ACTUAL,SALES,ANN_ROLL,-1,,,,'CURRENCY=USD')&lt;/Q&gt;&lt;R&gt;1&lt;/R&gt;&lt;C&gt;1&lt;/C&gt;&lt;D xsi:type="xsd:double"&gt;6450.027&lt;/D&gt;&lt;/FQL&gt;&lt;FQL&gt;&lt;Q&gt;DSY-FR^FE_VALUATION(EBITDA_MARGIN,MEAN,ANN_ROLL,0,NOW,,,'')&lt;/Q&gt;&lt;R&gt;1&lt;/R&gt;&lt;C&gt;1&lt;/C&gt;&lt;D xsi:type="xsd:double"&gt;34.361717&lt;/D&gt;&lt;/FQL&gt;&lt;FQL&gt;&lt;Q&gt;DSY-FR^FE_VALUATION(ROIC,MEAN,NTMA,,0,,,'')&lt;/Q&gt;&lt;R&gt;1&lt;/R&gt;&lt;C&gt;1&lt;/C&gt;&lt;D xsi:type="xsd:double"&gt;13.975629&lt;/D&gt;&lt;/FQL&gt;&lt;FQL&gt;&lt;Q&gt;DSY-FR^FE_VALUATION(ROE,MEAN,NTMA,,0,,,'')&lt;/Q&gt;&lt;R&gt;1&lt;/R&gt;&lt;C&gt;1&lt;/C&gt;&lt;D xsi:type="xsd:double"&gt;17.428587&lt;/D&gt;&lt;/FQL&gt;&lt;FQL&gt;&lt;Q&gt;DSY-FR^FE_VALUATION(DIV_YLD,MEAN,NTMA,,NOW,,,'')&lt;/Q&gt;&lt;R&gt;1&lt;/R&gt;&lt;C&gt;1&lt;/C&gt;&lt;D xsi:type="xsd:double"&gt;1.5994823&lt;/D&gt;&lt;/FQL&gt;&lt;FQL&gt;&lt;Q&gt;DSY-FR^FE_VALUATION(MCAP_FCF,MEAN,NTMA,,NOW,,,'')&lt;/Q&gt;&lt;R&gt;1&lt;/R&gt;&lt;C&gt;1&lt;/C&gt;&lt;D xsi:type="xsd:double"&gt;6.4636774&lt;/D&gt;&lt;/FQL&gt;&lt;FQL&gt;&lt;Q&gt;DSY-FR^FE_VALUATION(NETDEBT_EBITDA,MEAN,NTMA,,NOW,,,'')&lt;/Q&gt;&lt;R&gt;1&lt;/R&gt;&lt;C&gt;1&lt;/C&gt;&lt;D xsi:type="xsd:double"&gt;-1.2156&lt;/D&gt;&lt;/FQL&gt;&lt;FQL&gt;&lt;Q&gt;DSY-FR^FF_NET_MGN(LTM_R,0)&lt;/Q&gt;&lt;R&gt;1&lt;/R&gt;&lt;C&gt;1&lt;/C&gt;&lt;D xsi:type="xsd:double"&gt;19.1782799044213&lt;/D&gt;&lt;/FQL&gt;&lt;FQL&gt;&lt;Q&gt;DSY-FR^FF_EBITDA_OPER_MGN(LTM_R,0)&lt;/Q&gt;&lt;R&gt;1&lt;/R&gt;&lt;C&gt;1&lt;/C&gt;&lt;D xsi:type="xsd:double"&gt;31.1400484308097&lt;/D&gt;&lt;/FQL&gt;&lt;FQL&gt;&lt;Q&gt;DSY-FR^FF_GROSS_MGN(LTM_R,0)&lt;/Q&gt;&lt;R&gt;1&lt;/R&gt;&lt;C&gt;1&lt;/C&gt;&lt;D xsi:type="xsd:double"&gt;78.3135814744135&lt;/D&gt;&lt;/FQL&gt;&lt;FQL&gt;&lt;Q&gt;DSY-FR^POW(FE_ESTIMATE(EPS,MEAN,STMA,,NOW,,,'CURRENCY=USD')/FE_ESTIMATE(EPS,MEAN,LTMA,,NOW,,,'CURRENCY=USD'),0.5)-1&lt;/Q&gt;&lt;R&gt;1&lt;/R&gt;&lt;C&gt;1&lt;/C&gt;&lt;D xsi:type="xsd:double"&gt;0.0426011701508875&lt;/D&gt;&lt;/FQL&gt;&lt;FQL&gt;&lt;Q&gt;DSY-FR^POW(FE_ESTIMATE(SALES,MEAN,STMA,,NOW,,,'CURRENCY=USD')/FE_ESTIMATE(SALES,MEAN,LTMA,,NOW,,,'CURRENCY=USD'),0.5)-1&lt;/Q&gt;&lt;R&gt;1&lt;/R&gt;&lt;C&gt;1&lt;/C&gt;&lt;D xsi:type="xsd:double"&gt;0.037831007438109&lt;/D&gt;&lt;/FQL&gt;&lt;FQL&gt;&lt;Q&gt;DSY-FR^FE_ACTUAL(ACTUAL,EPS,ANN_ROLL,0,,,,'CURRENCY=USD')&lt;/Q&gt;&lt;R&gt;1&lt;/R&gt;&lt;C&gt;1&lt;/C&gt;&lt;D xsi:type="xsd:double"&gt;1.5535945&lt;/D&gt;&lt;/FQL&gt;&lt;FQL&gt;&lt;Q&gt;DSY-FR^OS_SEC_FLT_PCT(0D,,MTD,SEC)&lt;/Q&gt;&lt;R&gt;1&lt;/R&gt;&lt;C&gt;1&lt;/C&gt;&lt;D xsi:type="xsd:double"&gt;49.186&lt;/D&gt;&lt;/FQL&gt;&lt;FQL&gt;&lt;Q&gt;DSY-FR^AVG(P_VOLUME_FRQ(-1AM,NOW,D,,6))*P_PRICE_AVG(-1AM,NOW,,USD)&lt;/Q&gt;&lt;R&gt;1&lt;/R&gt;&lt;C&gt;1&lt;/C&gt;&lt;D xsi:type="xsd:double"&gt;96.0601076082613&lt;/D&gt;&lt;/FQL&gt;&lt;FQL&gt;&lt;Q&gt;DSY-FR^FCS_EV_DAILY(MV,NOW,,,USD,M)&lt;/Q&gt;&lt;R&gt;1&lt;/R&gt;&lt;C&gt;1&lt;/C&gt;&lt;D xsi:type="xsd:double"&gt;27833.5775195779&lt;/D&gt;&lt;/FQL&gt;&lt;FQL&gt;&lt;Q&gt;DSY-FR^P_DCOUNTRY&lt;/Q&gt;&lt;R&gt;1&lt;/R&gt;&lt;C&gt;1&lt;/C&gt;&lt;D xsi:type="xsd:string"&gt;FRANCE&lt;/D&gt;&lt;/FQL&gt;&lt;FQL&gt;&lt;Q&gt;DSY-FR^FR_RBICS_NAME_CURR("IND")&lt;/Q&gt;&lt;R&gt;1&lt;/R&gt;&lt;C&gt;1&lt;/C&gt;&lt;D xsi:type="xsd:string"&gt;Computer Aided Design Software&lt;/D&gt;&lt;/FQL&gt;&lt;FQL&gt;&lt;Q&gt;PTC-US^FE_RATING(MEAN,TEXTONLY,0,NOW,,,'')&lt;/Q&gt;&lt;R&gt;1&lt;/R&gt;&lt;C&gt;1&lt;/C&gt;&lt;D xsi:type="xsd:string"&gt;Overweight&lt;/D&gt;&lt;/FQL&gt;&lt;FQL&gt;&lt;Q&gt;PTC-US^FG_PRICE(0,,,USD)/FG_PRICE_MAVG(0,,,USD,200)&lt;/Q&gt;&lt;R&gt;1&lt;/R&gt;&lt;C&gt;1&lt;/C&gt;&lt;D xsi:type="xsd:double"&gt;0.833588678783385&lt;/D&gt;&lt;/FQL&gt;&lt;FQL&gt;&lt;Q&gt;PTC-US^FG_PRICE(0,,,USD)/FG_PRICE_MAVG(0,,,USD,100)&lt;/Q&gt;&lt;R&gt;1&lt;/R&gt;&lt;C&gt;1&lt;/C&gt;&lt;D xsi:type="xsd:double"&gt;0.867707320292429&lt;/D&gt;&lt;/FQL&gt;&lt;FQL&gt;&lt;Q&gt;PTC-US^FG_PRICE(0,,,USD)/FG_PRICE_MAVG(0,,,USD,50)&lt;/Q&gt;&lt;R&gt;1&lt;/R&gt;&lt;C&gt;1&lt;/C&gt;&lt;D xsi:type="xsd:double"&gt;0.928308606847976&lt;/D&gt;&lt;/FQL&gt;&lt;FQL&gt;&lt;Q&gt;PTC-US^RTP_PRICE_TARGET(USD)/FG_PRICE(0,,,USD)&lt;/Q&gt;&lt;R&gt;1&lt;/R&gt;&lt;C&gt;1&lt;/C&gt;&lt;D xsi:type="xsd:double"&gt;1.28395174838836&lt;/D&gt;&lt;/FQL&gt;&lt;FQL&gt;&lt;Q&gt;PTC-US^FG_PRICE(0,,,USD)/P_PRICE_HIGH(-1AY,0,USD,,,"PRICE","INTRA")&lt;/Q&gt;&lt;R&gt;1&lt;/R&gt;&lt;C&gt;1&lt;/C&gt;&lt;D xsi:type="xsd:double"&gt;0.699030452000546&lt;/D&gt;&lt;/FQL&gt;&lt;FQL&gt;&lt;Q&gt;PTC-US^PERCENT_CHANGE(FE_VALUATION(FFEV_EBITDA,MEAN,NTMA,,0,,,''),MAX(FE_VALUATION(FFEV_EBITDA,MEAN,NTMA,,-1AY,0,,'')))&lt;/Q&gt;&lt;R&gt;1&lt;/R&gt;&lt;C&gt;1&lt;/C&gt;&lt;D xsi:type="xsd:double"&gt;-37.7857597787737&lt;/D&gt;&lt;/FQL&gt;&lt;FQL&gt;&lt;Q&gt;PTC-US^PERCENT_CHANGE(FE_VALUATION(PE,MEAN,NTMA,,0,,,''),MAX(FE_VALUATION(PE,MEAN,NTMA,,-1AY,0,,'')))&lt;/Q&gt;&lt;R&gt;1&lt;/R&gt;&lt;C&gt;1&lt;/C&gt;&lt;D xsi:type="xsd:double"&gt;-41.1289909498137&lt;/D&gt;&lt;/FQL&gt;&lt;FQL&gt;&lt;Q&gt;PTC-US^FE_VALUATION(FFEV_EBITDA,MEAN,NTMA,,0,,,'')&lt;/Q&gt;&lt;R&gt;1&lt;/R&gt;&lt;C&gt;1&lt;/C&gt;&lt;D xsi:type="xsd:double"&gt;13.973477&lt;/D&gt;&lt;/FQL&gt;&lt;FQL&gt;&lt;Q&gt;PTC-US^FE_VALUATION(FFEV_SALES,MEAN,NTMA,,0,,,'')&lt;/Q&gt;&lt;R&gt;1&lt;/R&gt;&lt;C&gt;1&lt;/C&gt;&lt;D xsi:type="xsd:double"&gt;6.758926&lt;/D&gt;&lt;/FQL&gt;&lt;FQL&gt;&lt;Q&gt;PTC-US^FE_VALUATION(P_SALESPS,MEAN,NTMA,,0,,,'')&lt;/Q&gt;&lt;R&gt;1&lt;/R&gt;&lt;C&gt;1&lt;/C&gt;&lt;D xsi:type="xsd:double"&gt;6.3025694&lt;/D&gt;&lt;/FQL&gt;&lt;FQL&gt;&lt;Q&gt;PTC-US^FE_VALUATION(PE,MEAN,NTMA,,0,,,'')&lt;/Q&gt;&lt;R&gt;1&lt;/R&gt;&lt;C&gt;1&lt;/C&gt;&lt;D xsi:type="xsd:double"&gt;18.446672&lt;/D&gt;&lt;/FQL&gt;&lt;FQL&gt;&lt;Q&gt;PTC-US^FE_ACTUAL(ACTUAL,SALES,ANN_ROLL,0,,,,'CURRENCY=USD')&lt;/Q&gt;&lt;R&gt;1&lt;/R&gt;&lt;C&gt;1&lt;/C&gt;&lt;D xsi:type="xsd:double"&gt;2739.226</t>
        </r>
      </text>
    </comment>
    <comment ref="A8" authorId="0" shapeId="0" xr:uid="{AF4C4D3F-0E5F-4C55-9427-BCC90A574A44}">
      <text>
        <r>
          <rPr>
            <b/>
            <sz val="9"/>
            <color indexed="81"/>
            <rFont val="Tahoma"/>
            <charset val="1"/>
          </rPr>
          <t>&lt;/D&gt;&lt;/FQL&gt;&lt;FQL&gt;&lt;Q&gt;PTC-US^FE_ACTUAL(ACTUAL,SALES,ANN_ROLL,-1,,,,'CURRENCY=USD')&lt;/Q&gt;&lt;R&gt;1&lt;/R&gt;&lt;C&gt;1&lt;/C&gt;&lt;D xsi:type="xsd:double"&gt;2298.472&lt;/D&gt;&lt;/FQL&gt;&lt;FQL&gt;&lt;Q&gt;PTC-US^FE_VALUATION(EBITDA_MARGIN,MEAN,ANN_ROLL,0,NOW,,,'')&lt;/Q&gt;&lt;R&gt;1&lt;/R&gt;&lt;C&gt;1&lt;/C&gt;&lt;D xsi:type="xsd:double"&gt;49.331882&lt;/D&gt;&lt;/FQL&gt;&lt;FQL&gt;&lt;Q&gt;PTC-US^FE_VALUATION(ROIC,MEAN,NTMA,,0,,,'')&lt;/Q&gt;&lt;R&gt;1&lt;/R&gt;&lt;C&gt;1&lt;/C&gt;&lt;D xsi:type="xsd:double"&gt;17.188856&lt;/D&gt;&lt;/FQL&gt;&lt;FQL&gt;&lt;Q&gt;PTC-US^FE_VALUATION(ROE,MEAN,NTMA,,0,,,'')&lt;/Q&gt;&lt;R&gt;1&lt;/R&gt;&lt;C&gt;1&lt;/C&gt;&lt;D xsi:type="xsd:double"&gt;25.468735&lt;/D&gt;&lt;/FQL&gt;&lt;FQL&gt;&lt;Q&gt;PTC-US^FE_VALUATION(DIV_YLD,MEAN,NTMA,,NOW,,,'')&lt;/Q&gt;&lt;R&gt;1&lt;/R&gt;&lt;C&gt;1&lt;/C&gt;&lt;D xsi:type="xsd:double"&gt;0&lt;/D&gt;&lt;/FQL&gt;&lt;FQL&gt;&lt;Q&gt;PTC-US^FE_VALUATION(MCAP_FCF,MEAN,NTMA,,NOW,,,'')&lt;/Q&gt;&lt;R&gt;1&lt;/R&gt;&lt;C&gt;1&lt;/C&gt;&lt;D xsi:type="xsd:double"&gt;5.7557173&lt;/D&gt;&lt;/FQL&gt;&lt;FQL&gt;&lt;Q&gt;PTC-US^FE_VALUATION(NETDEBT_EBITDA,MEAN,NTMA,,NOW,,,'')&lt;/Q&gt;&lt;R&gt;1&lt;/R&gt;&lt;C&gt;1&lt;/C&gt;&lt;D xsi:type="xsd:double"&gt;0.45521173&lt;/D&gt;&lt;/FQL&gt;&lt;FQL&gt;&lt;Q&gt;PTC-US^FF_NET_MGN(LTM_R,0)&lt;/Q&gt;&lt;R&gt;1&lt;/R&gt;&lt;C&gt;1&lt;/C&gt;&lt;D xsi:type="xsd:double"&gt;28.858049674764&lt;/D&gt;&lt;/FQL&gt;&lt;FQL&gt;&lt;Q&gt;PTC-US^FF_EBITDA_OPER_MGN(LTM_R,0)&lt;/Q&gt;&lt;R&gt;1&lt;/R&gt;&lt;C&gt;1&lt;/C&gt;&lt;D xsi:type="xsd:double"&gt;44.0229334845728&lt;/D&gt;&lt;/FQL&gt;&lt;FQL&gt;&lt;Q&gt;PTC-US^FF_GROSS_MGN(LTM_R,0)&lt;/Q&gt;&lt;R&gt;1&lt;/R&gt;&lt;C&gt;1&lt;/C&gt;&lt;D xsi:type="xsd:double"&gt;82.6040071708224&lt;/D&gt;&lt;/FQL&gt;&lt;FQL&gt;&lt;Q&gt;PTC-US^POW(FE_ESTIMATE(EPS,MEAN,STMA,,NOW,,,'CURRENCY=USD')/FE_ESTIMATE(EPS,MEAN,LTMA,,NOW,,,'CURRENCY=USD'),0.5)-1&lt;/Q&gt;&lt;R&gt;1&lt;/R&gt;&lt;C&gt;1&lt;/C&gt;&lt;D xsi:type="xsd:double"&gt;0.0661268217243201&lt;/D&gt;&lt;/FQL&gt;&lt;FQL&gt;&lt;Q&gt;PTC-US^POW(FE_ESTIMATE(SALES,MEAN,STMA,,NOW,,,'CURRENCY=USD')/FE_ESTIMATE(SALES,MEAN,LTMA,,NOW,,,'CURRENCY=USD'),0.5)-1&lt;/Q&gt;&lt;R&gt;1&lt;/R&gt;&lt;C&gt;1&lt;/C&gt;&lt;D xsi:type="xsd:double"&gt;0.0599498573045802&lt;/D&gt;&lt;/FQL&gt;&lt;FQL&gt;&lt;Q&gt;PTC-US^FE_ACTUAL(ACTUAL,EPS,ANN_ROLL,0,,,,'CURRENCY=USD')&lt;/Q&gt;&lt;R&gt;1&lt;/R&gt;&lt;C&gt;1&lt;/C&gt;&lt;D xsi:type="xsd:double"&gt;8&lt;/D&gt;&lt;/FQL&gt;&lt;FQL&gt;&lt;Q&gt;PTC-US^OS_SEC_FLT_PCT(0D,,MTD,SEC)&lt;/Q&gt;&lt;R&gt;1&lt;/R&gt;&lt;C&gt;1&lt;/C&gt;&lt;D xsi:type="xsd:double"&gt;99.6713&lt;/D&gt;&lt;/FQL&gt;&lt;FQL&gt;&lt;Q&gt;PTC-US^AVG(P_VOLUME_FRQ(-1AM,NOW,D,,6))*P_PRICE_AVG(-1AM,NOW,,USD)&lt;/Q&gt;&lt;R&gt;1&lt;/R&gt;&lt;C&gt;1&lt;/C&gt;&lt;D xsi:type="xsd:double"&gt;203.209820531301&lt;/D&gt;&lt;/FQL&gt;&lt;FQL&gt;&lt;Q&gt;PTC-US^FCS_EV_DAILY(MV,NOW,,,USD,M)&lt;/Q&gt;&lt;R&gt;1&lt;/R&gt;&lt;C&gt;1&lt;/C&gt;&lt;D xsi:type="xsd:double"&gt;18445.46408412&lt;/D&gt;&lt;/FQL&gt;&lt;FQL&gt;&lt;Q&gt;PTC-US^P_DCOUNTRY&lt;/Q&gt;&lt;R&gt;1&lt;/R&gt;&lt;C&gt;1&lt;/C&gt;&lt;D xsi:type="xsd:string"&gt;UNITED STATES&lt;/D&gt;&lt;/FQL&gt;&lt;FQL&gt;&lt;Q&gt;PTC-US^FR_RBICS_NAME_CURR("IND")&lt;/Q&gt;&lt;R&gt;1&lt;/R&gt;&lt;C&gt;1&lt;/C&gt;&lt;D xsi:type="xsd:string"&gt;Manufacturing Industry Software&lt;/D&gt;&lt;/FQL&gt;&lt;FQL&gt;&lt;Q&gt;S-US^FE_RATING(MEAN,TEXTONLY,0,NOW,,,'')&lt;/Q&gt;&lt;R&gt;1&lt;/R&gt;&lt;C&gt;1&lt;/C&gt;&lt;D xsi:type="xsd:string"&gt;Overweight&lt;/D&gt;&lt;/FQL&gt;&lt;FQL&gt;&lt;Q&gt;S-US^FG_PRICE(0,,,USD)/FG_PRICE_MAVG(0,,,USD,200)&lt;/Q&gt;&lt;R&gt;1&lt;/R&gt;&lt;C&gt;1&lt;/C&gt;&lt;D xsi:type="xsd:double"&gt;0.757141967085686&lt;/D&gt;&lt;/FQL&gt;&lt;FQL&gt;&lt;Q&gt;S-US^FG_PRICE(0,,,USD)/FG_PRICE_MAVG(0,,,USD,100)&lt;/Q&gt;&lt;R&gt;1&lt;/R&gt;&lt;C&gt;1&lt;/C&gt;&lt;D xsi:type="xsd:double"&gt;0.821931926515678&lt;/D&gt;&lt;/FQL&gt;&lt;FQL&gt;&lt;Q&gt;S-US^FG_PRICE(0,,,USD)/FG_PRICE_MAVG(0,,,USD,50)&lt;/Q&gt;&lt;R&gt;1&lt;/R&gt;&lt;C&gt;1&lt;/C&gt;&lt;D xsi:type="xsd:double"&gt;0.895137076633836&lt;/D&gt;&lt;/FQL&gt;&lt;FQL&gt;&lt;Q&gt;S-US^RTP_PRICE_TARGET(USD)/FG_PRICE(0,,,USD)&lt;/Q&gt;&lt;R&gt;1&lt;/R&gt;&lt;C&gt;1&lt;/C&gt;&lt;D xsi:type="xsd:double"&gt;1.62984913793103&lt;/D&gt;&lt;/FQL&gt;&lt;FQL&gt;&lt;Q&gt;S-US^FG_PRICE(0,,,USD)/P_PRICE_HIGH(-1AY,0,USD,,,"PRICE","INTRA")&lt;/Q&gt;&lt;R&gt;1&lt;/R&gt;&lt;C&gt;1&lt;/C&gt;&lt;D xsi:type="xsd:double"&gt;0.575682382133995&lt;/D&gt;&lt;/FQL&gt;&lt;FQL&gt;&lt;Q&gt;S-US^PERCENT_CHANGE(FE_VALUATION(FFEV_EBITDA,MEAN,NTMA,,0,,,''),MAX(FE_VALUATION(FFEV_EBITDA,MEAN,NTMA,,-1AY,0,,'')))&lt;/Q&gt;&lt;R&gt;1&lt;/R&gt;&lt;C&gt;1&lt;/C&gt;&lt;D xsi:type="xsd:double"&gt;-71.2340589170142&lt;/D&gt;&lt;/FQL&gt;&lt;FQL&gt;&lt;Q&gt;S-US^PERCENT_CHANGE(FE_VALUATION(PE,MEAN,NTMA,,0,,,''),MAX(FE_VALUATION(PE,MEAN,NTMA,,-1AY,0,,'')))&lt;/Q&gt;&lt;R&gt;1&lt;/R&gt;&lt;C&gt;1&lt;/C&gt;&lt;D xsi:type="xsd:double"&gt;-60.4765471786482&lt;/D&gt;&lt;/FQL&gt;&lt;FQL&gt;&lt;Q&gt;S-US^FE_VALUATION(FFEV_EBITDA,MEAN,NTMA,,0,,,'')&lt;/Q&gt;&lt;R&gt;1&lt;/R&gt;&lt;C&gt;1&lt;/C&gt;&lt;D xsi:type="xsd:double"&gt;26.600372&lt;/D&gt;&lt;/FQL&gt;&lt;FQL&gt;&lt;Q&gt;S-US^FE_VALUATION(FFEV_SALES,MEAN,NTMA,,0,,,'')&lt;/Q&gt;&lt;R&gt;1&lt;/R&gt;&lt;C&gt;1&lt;/C&gt;&lt;D xsi:type="xsd:double"&gt;2.9719036&lt;/D&gt;&lt;/FQL&gt;&lt;FQL&gt;&lt;Q&gt;S-US^FE_VALUATION(P_SALESPS,MEAN,NTMA,,0,,,'')&lt;/Q&gt;&lt;R&gt;1&lt;/R&gt;&lt;C&gt;1&lt;/C&gt;&lt;D xsi:type="xsd:double"&gt;3.5757177&lt;/D&gt;&lt;/FQL&gt;&lt;FQL&gt;&lt;Q&gt;S-US^FE_VALUATION(PE,MEAN,NTMA,,0,,,'')&lt;/Q&gt;&lt;R&gt;1&lt;/R&gt;&lt;C&gt;1&lt;/C&gt;&lt;D xsi:type="xsd:double"&gt;41.223732&lt;/D&gt;&lt;/FQL&gt;&lt;FQL&gt;&lt;Q&gt;S-US^FE_ACTUAL(ACTUAL,SALES,ANN_ROLL,0,,,,'CURRENCY=USD')&lt;/Q&gt;&lt;R&gt;1&lt;/R&gt;&lt;C&gt;1&lt;/C&gt;&lt;D xsi:type="xsd:double"&gt;821.461&lt;/D&gt;&lt;/FQL&gt;&lt;FQL&gt;&lt;Q&gt;S-US^FE_ACTUAL(ACTUAL,SALES,ANN_ROLL,-1,,,,'CURRENCY=USD')&lt;/Q&gt;&lt;R&gt;1&lt;/R&gt;&lt;C&gt;1&lt;/C&gt;&lt;D xsi:type="xsd:double"&gt;621.154&lt;/D&gt;&lt;/FQL&gt;&lt;FQL&gt;&lt;Q&gt;S-US^FE_VALUATION(EBITDA_MARGIN,MEAN,ANN_ROLL,0,NOW,,,'')&lt;/Q&gt;&lt;R&gt;1&lt;/R&gt;&lt;C&gt;1&lt;/C&gt;&lt;D xsi:type="xsd:double"&gt;1.377013&lt;/D&gt;&lt;/FQL&gt;&lt;FQL&gt;&lt;Q&gt;S-US^FE_VALUATION(ROIC,MEAN,NTMA,,0,,,'')&lt;/Q&gt;&lt;R&gt;1&lt;/R&gt;&lt;C&gt;1&lt;/C&gt;&lt;D xsi:type="xsd:double"&gt;6.584389&lt;/D&gt;&lt;/FQL&gt;&lt;FQL&gt;&lt;Q&gt;S-US^FE_VALUATION(ROE,MEAN,NTMA,,0,,,'')&lt;/Q&gt;&lt;R&gt;1&lt;/R&gt;&lt;C&gt;1&lt;/C&gt;&lt;D xsi:type="xsd:double"&gt;6.5612545&lt;/D&gt;&lt;/FQL&gt;&lt;FQL&gt;&lt;Q&gt;S-US^FE_VALUATION(DIV_YLD,MEAN,NTMA,,NOW,,,'')&lt;/Q&gt;&lt;R&gt;1&lt;/R&gt;&lt;C&gt;1&lt;/C&gt;&lt;D xsi:type="xsd:double"&gt;0&lt;/D&gt;&lt;/FQL&gt;&lt;FQL&gt;&lt;Q&gt;S-US^FE_VALUATION(MCAP_FCF,MEAN,NTMA,,NOW,,,'')&lt;/Q&gt;&lt;R&gt;1&lt;/R&gt;&lt;C&gt;1&lt;/C&gt;&lt;D xsi:type="xsd:double"&gt;3.1149848&lt;/D&gt;&lt;/FQL&gt;&lt;FQL&gt;&lt;Q&gt;S-US^FE_VALUATION(NETDEBT_EBITDA,MEAN,NTMA,,NOW,,,'')&lt;/Q&gt;&lt;R&gt;1&lt;/R&gt;&lt;C&gt;1&lt;/C&gt;&lt;D xsi:type="xsd:double"&gt;-5.5412135&lt;/D&gt;&lt;/FQL&gt;&lt;FQL&gt;&lt;Q&gt;S-US^FF_NET_MGN(LTM_R,0)&lt;/Q&gt;&lt;R&gt;1&lt;/R&gt;&lt;C&gt;1&lt;/C&gt;&lt;D xsi:type="xsd:double"&gt;-43.0380077978666&lt;/D&gt;&lt;/FQL&gt;&lt;FQL&gt;&lt;Q&gt;S-US^FF_EBITDA_OPER_MGN(LTM_R,0)&lt;/Q&gt;&lt;R&gt;1&lt;/R&gt;&lt;C&gt;1&lt;/C&gt;&lt;D xsi:type="xsd:double"&gt;-27.3174376285779&lt;/D&gt;&lt;/FQL&gt;&lt;FQL&gt;&lt;Q&gt;S-US^FF_GROSS_MGN(LTM_R,0)&lt;/Q&gt;&lt;R&gt;1&lt;/R&gt;&lt;C&gt;1&lt;/C&gt;&lt;D xsi:type="xsd:double"&gt;74.4549760057594&lt;/D&gt;&lt;/FQL&gt;&lt;FQL&gt;&lt;Q&gt;S-US^POW(FE_ESTIMATE(EPS,MEAN,STMA,,NOW,,,'CURRENCY=USD')/FE_ESTIMATE(EPS,MEAN,LTMA,,NOW,,,'CURRENCY=USD'),0.5)-1&lt;/Q&gt;&lt;R&gt;1&lt;/R&gt;&lt;C&gt;1&lt;/C&gt;&lt;D xsi:type="xsd:double"&gt;0.47965823756704&lt;/D&gt;&lt;/FQL&gt;&lt;FQL&gt;&lt;Q&gt;S-US^POW(FE_ESTIMATE(SALES,MEAN,STMA,,NOW,,,'CURRENCY=USD')/FE_ESTIMATE(SALES,MEAN,LTMA,,NOW,,,'CURRENCY=USD'),0.5)-1&lt;/Q&gt;&lt;R&gt;1&lt;/R&gt;&lt;C&gt;1&lt;/C&gt;&lt;D xsi:type="xsd:double"&gt;0.177915022401871&lt;/D&gt;&lt;/FQL&gt;&lt;FQL&gt;&lt;Q&gt;S-US^FE_ACTUAL(ACTUAL,EPS,ANN_ROLL,0,,,,'CURRENCY=USD')&lt;/Q&gt;&lt;R&gt;1&lt;/R&gt;&lt;C&gt;1&lt;/C&gt;&lt;D xsi:type="xsd:double"&gt;0.05&lt;/D&gt;&lt;/FQL&gt;&lt;FQL&gt;&lt;Q&gt;S-US^OS_SEC_FLT_PCT(0D,,MTD,SEC)&lt;/Q&gt;&lt;R&gt;1&lt;/R&gt;&lt;C&gt;1&lt;/C&gt;&lt;D xsi:type="xsd:double"&gt;95.6085&lt;/D&gt;&lt;/FQL&gt;&lt;FQL&gt;&lt;Q&gt;S-US^AVG(P_VOLUME_FRQ(-1AM,NOW,D,,6))*P_PRICE_AVG(-1AM,NOW,,USD)&lt;/Q&gt;&lt;R&gt;1&lt;/R&gt;&lt;C&gt;1&lt;/C&gt;&lt;D xsi:type="xsd:double"&gt;113.912380326877&lt;/D&gt;&lt;/FQL&gt;&lt;FQL&gt;&lt;Q&gt;S-US^FCS_EV_DAILY(MV,NOW,,,USD,M)&lt;/Q&gt;&lt;R&gt;1&lt;/R&gt;&lt;C&gt;1&lt;/C&gt;&lt;D xsi:type="xsd:double"&gt;4855.97159164&lt;/D&gt;&lt;/FQL&gt;&lt;FQL&gt;&lt;Q&gt;S-US^P_DCOUNTRY&lt;/Q&gt;&lt;R&gt;1&lt;/R&gt;&lt;C&gt;1&lt;/C&gt;&lt;D xsi:type="xsd:string"&gt;UNITED STATES&lt;/D&gt;&lt;/FQL&gt;&lt;FQL&gt;&lt;Q&gt;S-US^FR_RBICS_NAME_CURR("IND")&lt;/Q&gt;&lt;R&gt;1&lt;/R&gt;&lt;C&gt;1&lt;/C&gt;&lt;D xsi:type="xsd:string"&gt;Network Infrastructure Software&lt;/D&gt;&lt;/FQL&gt;&lt;FQL&gt;&lt;Q&gt;IOT-US^FE_RATING(MEAN,TEXTONLY,0,NOW,,,'')&lt;/Q&gt;&lt;R&gt;1&lt;/R&gt;&lt;C&gt;1&lt;/C&gt;&lt;D xsi:type="xsd:string"&gt;Buy&lt;/D&gt;&lt;/FQL&gt;&lt;FQL&gt;&lt;Q&gt;IOT-US^FG_PRICE(0,,,USD)/FG_PRICE_MAVG(0,,,USD,200)&lt;/Q&gt;&lt;R&gt;1&lt;/R&gt;&lt;C&gt;1&lt;/C&gt;&lt;D xsi:type="xsd:double"&gt;0.695099905613592&lt;/D&gt;&lt;/FQL&gt;&lt;FQL&gt;&lt;Q&gt;IOT-US^FG_PRICE(0,,,USD)/FG_PRICE_MAVG(0,,,USD,100)&lt;/Q&gt;&lt;R&gt;1&lt;/R&gt;&lt;C&gt;1&lt;/C&gt;&lt;D xsi:type="xsd:double"&gt;0.73382461394689&lt;/D&gt;&lt;/FQL&gt;&lt;FQL&gt;&lt;Q&gt;IOT-US^FG_PRICE(0,,,USD)/FG_PRICE_MAVG(0,,,USD,50)&lt;/Q&gt;&lt;R&gt;1&lt;/R&gt;&lt;C&gt;1&lt;/C&gt;&lt;D xsi:type="xsd:double"&gt;0.809486548923169&lt;/D&gt;&lt;/FQL&gt;&lt;FQL&gt;&lt;Q&gt;IOT-US^RTP_PRICE_TARGET(USD)/FG_PRICE(0,,,USD)&lt;/Q&gt;&lt;R&gt;1&lt;/R&gt;&lt;C&gt;1&lt;/C&gt;&lt;D xsi:type="xsd:double"&gt;1.74731031837361&lt;/D&gt;&lt;/FQL&gt;&lt;FQL&gt;&lt;Q&gt;IOT-US^FG_PRICE(0,,,USD)/P_PRICE_HIGH(-1AY,0,USD,,,"PRICE","INTRA")&lt;/Q&gt;&lt;R&gt;1&lt;/R&gt;&lt;C&gt;1&lt;/C&gt;&lt;D xsi:type="xsd:double"&gt;0.49188679245283&lt;/D&gt;&lt;/FQL&gt;&lt;FQL&gt;&lt;Q&gt;IOT-US^PERCENT_CHANGE(FE_VALUATION(FFEV_EBITDA,MEAN,NTMA,,0,,,''),MAX(FE_VALUATION(FFEV_EBITDA,MEAN,NTMA,,-1AY,0,,'')))&lt;/Q&gt;&lt;R&gt;1&lt;/R&gt;&lt;C&gt;1&lt;/C&gt;&lt;D xsi:type="xsd:double"&gt;-75.3656285845395&lt;/D&gt;&lt;/FQL&gt;&lt;FQL&gt;&lt;Q&gt;IOT-US^PERCENT_CHANGE(FE_VALUATION(PE,MEAN,NTMA,,0,,,''),MAX(FE_VALUATION(PE,MEAN,NTMA,,-1AY,0,,'')))&lt;/Q&gt;&lt;R&gt;1&lt;/R&gt;&lt;C&gt;1&lt;/C&gt;&lt;D xsi:type="xsd:double"&gt;-75.2999613235848&lt;/D&gt;&lt;/FQL&gt;&lt;FQL&gt;&lt;Q&gt;IOT-US^FE_VALUATION(FFEV_EBITDA,MEAN,NTMA,,0,,,'')&lt;/Q&gt;&lt;R&gt;1&lt;/R&gt;&lt;C&gt;1&lt;/C&gt;&lt;D xsi:type="xsd:double"&gt;41.5243&lt;/D&gt;&lt;/FQL&gt;&lt;FQL&gt;&lt;Q&gt;IOT-US^FE_VALUATION(FFEV_SALES,MEAN,NTMA,,0,,,'')&lt;/Q&gt;&lt;R&gt;1&lt;/R&gt;&lt;C&gt;1&lt;/C&gt;&lt;D xsi:type="xsd:double"&gt;7.504007&lt;/D&gt;&lt;/FQL&gt;&lt;FQL&gt;&lt;Q&gt;IOT-US^FE_VALUATION(P_SALESPS,MEAN,NTMA,,0,,,'')&lt;/Q&gt;&lt;R&gt;1&lt;/R&gt;&lt;C&gt;1&lt;/C&gt;&lt;D xsi:type="xsd:double"&gt;7.7412996&lt;/D&gt;&lt;/FQL&gt;&lt;FQL&gt;&lt;Q&gt;IOT-US^FE_VALUATION(PE,MEAN,NTMA,,0,,,'')&lt;/Q&gt;&lt;R&gt;1&lt;/R&gt;&lt;C&gt;1&lt;/C&gt;&lt;D xsi:type="xsd:double"&gt;43.401505&lt;/D&gt;&lt;/FQL&gt;&lt;FQL&gt;&lt;Q&gt;IOT-US^FE_ACTUAL(ACTUAL,SALES,ANN_ROLL,0,,,,'CURRENCY=USD')&lt;/Q&gt;&lt;R&gt;1&lt;/R&gt;&lt;C&gt;1&lt;/C&gt;&lt;D xsi:type="xsd:double"&gt;1249.199&lt;/D&gt;&lt;/FQL&gt;&lt;FQL&gt;&lt;Q&gt;IOT-US^FE_ACTUAL(ACTUAL,SALES,ANN_ROLL,-1,,,,'CURRENCY=USD')&lt;/Q&gt;&lt;R&gt;1&lt;/R&gt;&lt;C&gt;1&lt;/C&gt;&lt;D xsi:type="xsd:double"&gt;937.385&lt;/D&gt;&lt;/FQL&gt;&lt;FQL&gt;&lt;Q&gt;IOT-US^FE_VALUATION(EBITDA_MARGIN,MEAN,ANN_ROLL,0,NOW,,,'')&lt;/Q&gt;&lt;R&gt;1&lt;/R&gt;&lt;C&gt;1&lt;/C&gt;&lt;D xsi:type="xsd:double"&gt;10.738344&lt;/D&gt;&lt;/FQL&gt;&lt;FQL&gt;&lt;Q&gt;IOT-US^FE_VALUATION(ROIC,MEAN,NTMA,,0,,,'')&lt;/Q&gt;&lt;R&gt;1&lt;/R&gt;&lt;C&gt;1&lt;/C&gt;&lt;D xsi:type="xsd:double"&gt;19.362839&lt;/D&gt;&lt;/FQL&gt;&lt;FQL&gt;&lt;Q&gt;IOT-US^FE_VALUATION(ROE,MEAN,NTMA,,0,,,'')&lt;/Q&gt;&lt;R&gt;1&lt;/R&gt;&lt;C&gt;1&lt;/C&gt;&lt;D xsi:type="xsd:double"&gt;20.34162&lt;/D&gt;&lt;/FQL&gt;&lt;FQL&gt;&lt;Q&gt;IOT-US^FE_VALUATION(DIV_YLD,MEAN,NTMA,,NOW,,,'')&lt;/Q&gt;&lt;R&gt;1&lt;/R&gt;&lt;C&gt;1&lt;/C&gt;&lt;D xsi:type="xsd:double"&gt;0&lt;/D&gt;&lt;/FQL&gt;&lt;FQL&gt;&lt;Q&gt;IOT-US^FE_VALUATION(MCAP_FCF,MEAN,NTMA,,NOW,,,'')&lt;/Q&gt;&lt;R&gt;1&lt;/R&gt;&lt;C&gt;1&lt;/C&gt;&lt;D xsi:type="xsd:double"&gt;1.7803563&lt;/D&gt;&lt;/FQL&gt;&lt;FQL&gt;&lt;Q&gt;IOT-US^FE_VALUATION(NETDEBT_EBITDA,MEAN,NTMA,,NOW,,,'')&lt;/Q&gt;&lt;R&gt;1&lt;/R&gt;&lt;C&gt;1&lt;/C&gt;&lt;D xsi:type="xsd:double"&gt;-3.132902&lt;/D&gt;&lt;/FQL&gt;&lt;FQL&gt;&lt;Q&gt;IOT-US^FF_NET_MGN(LTM_R,0)&lt;/Q&gt;&lt;R&gt;1&lt;/R&gt;&lt;C&gt;1&lt;/C&gt;&lt;D xsi:type="xsd:double"&gt;-2.78549205624778&lt;/D&gt;&lt;/FQL&gt;&lt;FQL&gt;&lt;Q&gt;IOT-US^FF_EBITDA_OPER_MGN(LTM_R,0)&lt;/Q&gt;&lt;R&gt;1&lt;/R&gt;&lt;C&gt;1&lt;/C&gt;&lt;D xsi:type="xsd:double"&gt;4.94341486319148&lt;/D&gt;&lt;/FQL&gt;&lt;FQL&gt;&lt;Q&gt;IOT-US^FF_GROSS_MGN(LTM_R,0)&lt;/Q&gt;&lt;R&gt;1&lt;/R&gt;&lt;C&gt;1&lt;/C&gt;&lt;D xsi:type="xsd:double"&gt;76.9215239220086&lt;/D&gt;&lt;/FQL&gt;&lt;FQL&gt;&lt;Q&gt;IOT-US^POW(FE_ESTIMATE(EPS,MEAN,STMA,,NOW,,,'CURRENCY=USD')/FE_ESTIMATE(EPS,MEAN,LTMA,,NOW,,,'CURRENCY=USD'),0.5)-1&lt;/Q&gt;&lt;R&gt;1&lt;/R&gt;&lt;C&gt;1&lt;/C&gt;&lt;D xsi:type="xsd:double"&gt;0.201705746012725&lt;/D&gt;&lt;/FQL&gt;&lt;FQL&gt;&lt;Q&gt;IOT-US^POW(FE_ESTIMATE(SALES,MEAN,STMA,,NOW,,,'CURRENCY=USD')/FE_ESTIMATE(SALES,MEAN,LTMA,,NOW,,,'CURRENCY=USD'),0.5)-1&lt;/Q&gt;&lt;R&gt;1&lt;/R&gt;&lt;C&gt;1&lt;/C&gt;&lt;D xsi:type="xsd:double"&gt;0.203301292278871&lt;/D&gt;&lt;/FQL&gt;&lt;FQL&gt;&lt;Q&gt;IOT-US^FE_ACTUAL(ACTUAL,EPS,ANN_ROLL,0,,,,'CURRENCY=USD')&lt;/Q&gt;&lt;R&gt;1&lt;/R&gt;&lt;C&gt;1&lt;/C&gt;&lt;D xsi:type="xsd:double"&gt;0.26&lt;/D&gt;&lt;/FQL&gt;&lt;FQL&gt;&lt;Q&gt;IOT-US^OS_SEC_FLT_PCT(0D,,MTD,SEC)&lt;/Q&gt;&lt;R&gt;1&lt;/R&gt;&lt;C&gt;1&lt;/C&gt;&lt;D xsi:type="xsd:double"&gt;96.9658&lt;/D&gt;&lt;/FQL&gt;&lt;FQL&gt;&lt;Q&gt;IOT-US^AVG(P_VOLUME_FRQ(-1AM,NOW,D,,6))*P_PRICE_AVG(-1AM,NOW,,USD)&lt;/Q&gt;&lt;R&gt;1&lt;/R&gt;&lt;C&gt;1&lt;/C&gt;&lt;D xsi:type="xsd:double"&gt;243.49440929359&lt;/D&gt;&lt;/FQL&gt;&lt;FQL&gt;&lt;Q&gt;IOT-US^FCS_EV_DAILY(MV,NOW,,,USD,M)&lt;/Q&gt;&lt;R&gt;1&lt;/R&gt;&lt;C&gt;1&lt;/C&gt;&lt;D xsi:type="xsd:double"&gt;15619.34803323&lt;/D&gt;&lt;/FQL&gt;&lt;FQL&gt;&lt;Q&gt;IOT-US^P_DCOUNTRY&lt;/Q&gt;&lt;R&gt;1&lt;/R&gt;&lt;C&gt;1&lt;/C&gt;&lt;D xsi:type="xsd:string"&gt;UNITED STATES&lt;/D&gt;&lt;/FQL&gt;&lt;FQL&gt;&lt;Q&gt;IOT-US^FR_RBICS_NAME_CURR("IND")&lt;/Q&gt;&lt;R&gt;1&lt;/R&gt;&lt;C&gt;1&lt;/C&gt;&lt;D xsi:type="xsd:string"&gt;Asset Management Software&lt;/D&gt;&lt;/FQL&gt;&lt;FQL&gt;&lt;Q&gt;CDNS-US^FE_RATING(MEAN,TEXTONLY,0,NOW,,,'')&lt;/Q&gt;&lt;R&gt;1&lt;/R&gt;&lt;C&gt;1&lt;/C&gt;&lt;D xsi:type="xsd:string"&gt;Buy&lt;/D&gt;&lt;/FQL&gt;&lt;FQL&gt;&lt;Q&gt;CDNS-US^FG_PRICE(0,,,USD)/FG_PRICE_MAVG(0,,,USD,200)&lt;/Q&gt;&lt;R&gt;1&lt;/R&gt;&lt;C&gt;1&lt;/C&gt;&lt;D xsi:type="xsd:double"&gt;0.89710369133336&lt;/D&gt;&lt;/FQL&gt;&lt;FQL&gt;&lt;Q&gt;CDNS-US^FG_PRICE(0,,,USD)/FG_PRICE_MAVG(0,,,USD,100)&lt;/Q&gt;&lt;R&gt;1&lt;/R&gt;&lt;C&gt;1&lt;/C&gt;&lt;D xsi:type="xsd:double"&gt;0.913794897802937&lt;/D&gt;&lt;/FQL&gt;&lt;FQL&gt;&lt;Q&gt;CDNS-US^FG_PRICE(0,,,USD)/FG_PRICE_MAVG(0,,,USD,50)&lt;/Q&gt;&lt;R&gt;1&lt;/R&gt;&lt;C&gt;1&lt;/C&gt;&lt;D xsi:type="xsd:double"&gt;0.944983326310094&lt;/D&gt;&lt;/FQL&gt;&lt;FQL&gt;&lt;Q&gt;CDNS-US^RTP_PRICE_TARGET(USD)/FG_PRICE(0,,,USD)&lt;/Q&gt;&lt;R&gt;1&lt;/R&gt;&lt;C&gt;1&lt;/C&gt;&lt;D xsi:type="xsd:double"&gt;1.28685958091044&lt;/D&gt;&lt;/FQL&gt;&lt;FQL&gt;&lt;Q&gt;CDNS-US^FG_PRICE(0,,,USD)/P_PRICE_HIGH(-1AY,0,USD,,,"PRICE","INTRA")&lt;/Q&gt;&lt;R&gt;1&lt;/R&gt;&lt;C&gt;1&lt;/C&gt;&lt;D xsi:type="xsd:double"&gt;0.772038411985815&lt;/D&gt;&lt;/FQL&gt;&lt;FQL&gt;&lt;Q&gt;CDNS-US^PERCENT_CHANGE(FE_VALUATION(FFEV_EBITDA,MEAN,NTMA,,0,,,''),MAX(FE_VALUATION(FFEV_EBITDA,MEAN,NTMA,,-1AY,0,,'')))&lt;/Q&gt;&lt;R&gt;1&lt;/R&gt;&lt;C&gt;1&lt;/C&gt;&lt;D xsi:type="xsd:double"&gt;-28.4090788028186&lt;/D&gt;&lt;/FQL&gt;&lt;FQL&gt;&lt;Q&gt;CDNS-US^PERCENT_CHANGE(FE_VALUATION(PE,MEAN,NTMA,,0,,,''),MAX(FE_VALUATION(PE,MEAN,NTMA,,-1AY,0,,'')))&lt;/Q&gt;&lt;R&gt;1&lt;/R&gt;&lt;C&gt;1&lt;/C&gt;&lt;D xsi:type="xsd:double"&gt;-28.8102795222919&lt;/D&gt;&lt;/FQL&gt;&lt;FQL&gt;&lt;Q&gt;CDNS-US^FE_VALUATION(FFEV_EBITDA,MEAN,NTMA,,0,,,'')&lt;/Q&gt;&lt;R&gt;1&lt;/R&gt;&lt;C&gt;1&lt;/C&gt;&lt;D xsi:type="xsd:double"&gt;27.148523&lt;/D&gt;&lt;/FQL&gt;&lt;FQL&gt;&lt;Q&gt;CDNS-US^FE_VALUATION(FFEV_SALES,MEAN,NTMA,,0,,,'')&lt;/Q&gt;&lt;R&gt;1&lt;/R&gt;&lt;C&gt;1&lt;/C&gt;&lt;D xsi:type="xsd:double"&gt;12.880657&lt;/D&gt;&lt;/FQL&gt;&lt;FQL&gt;&lt;Q&gt;CDNS-US^FE_VALUATION(P_SALESPS,MEAN,NTMA,,0,,,'')&lt;/Q&gt;&lt;R&gt;1&lt;/R&gt;&lt;C&gt;1&lt;/C&gt;&lt;D xsi:type="xsd:double"&gt;12.929132&lt;/D&gt;&lt;/FQL&gt;&lt;FQL&gt;&lt;Q&gt;CDNS-US^FE_VALUATION(PE,MEAN,NTMA,,0,,,'')&lt;/Q&gt;&lt;R&gt;1&lt;/R&gt;&lt;C&gt;1&lt;/C&gt;&lt;D xsi:type="xsd:double"&gt;35.207806&lt;/D&gt;&lt;/FQL&gt;&lt;FQL&gt;&lt;Q&gt;CDNS-US^FE_ACTUAL(ACTUAL,SALES,ANN_ROLL,0,,,,'CURRENCY=USD')&lt;/Q&gt;&lt;R&gt;1&lt;/R&gt;&lt;C&gt;1&lt;/C&gt;&lt;D xsi:type="xsd:double"&gt;5297&lt;/D&gt;&lt;/FQL&gt;&lt;FQL&gt;&lt;Q&gt;CDNS-US^FE_ACTUAL(ACTUAL,SALES,ANN_ROLL,-1,,,,'CURRENCY=USD')&lt;/Q&gt;&lt;R&gt;1&lt;/R&gt;&lt;C&gt;1&lt;/C&gt;&lt;D xsi:type="xsd:double"&gt;4641.264&lt;/D&gt;&lt;/FQL&gt;&lt;FQL&gt;&lt;Q&gt;CDNS-US^FE_VALUATION(EBITDA_MARGIN,MEAN,ANN_ROLL,0,NOW,,,'')&lt;/Q&gt;&lt;R&gt;1&lt;/R&gt;&lt;C&gt;1&lt;/C&gt;&lt;D xsi:type="xsd:double"&gt;47.72775&lt;/D&gt;&lt;/FQL&gt;&lt;FQL&gt;&lt;Q&gt;CDNS-US^FE_VALUATION(ROIC,MEAN,NTMA,,0,,,'')&lt;/Q&gt;&lt;R&gt;1&lt;/R&gt;&lt;C&gt;1&lt;/C&gt;&lt;D xsi:type="xsd:double"&gt;23.698595&lt;/D&gt;&lt;/FQL&gt;&lt;FQL&gt;&lt;Q&gt;CDNS-US^FE_VALUATION(ROE,MEAN,NTMA,,0,,,'')&lt;/Q&gt;&lt;R&gt;1&lt;/R&gt;&lt;C&gt;1&lt;/C&gt;&lt;D xsi:type="xsd:double"&gt;33.952053&lt;/D&gt;&lt;/FQL&gt;&lt;FQL&gt;&lt;Q&gt;CDNS-US^FE_VALUATION(DIV_YLD,MEAN,NTMA,,NOW,,,'')&lt;/Q&gt;&lt;R&gt;1&lt;/R&gt;&lt;C&gt;1&lt;/C&gt;&lt;D xsi:type="xsd:double"&gt;0&lt;/D&gt;&lt;/FQL&gt;&lt;FQL&gt;&lt;Q&gt;CDNS-US^FE_VALUATION(MCAP_FCF,MEAN,NTMA,,NOW,,,'')&lt;/Q&gt;&lt;R&gt;1&lt;/R&gt;&lt;C&gt;1&lt;/C&gt;&lt;D xsi:type="xsd:double"&gt;2.3396225&lt;/D&gt;&lt;/FQL&gt;&lt;FQL&gt;&lt;Q&gt;CDNS-US^FE_VALUATION(NETDEBT_EBITDA,MEAN,NTMA,,NOW,,,'')&lt;/Q&gt;&lt;R&gt;1&lt;/R&gt;&lt;C&gt;1&lt;/C&gt;&lt;D xsi:type="xsd:double"&gt;-0.48486942&lt;/D&gt;&lt;/FQL&gt;&lt;FQL&gt;&lt;Q&gt;CDNS-US^FF_NET_MGN(LTM_R,0)&lt;/Q&gt;&lt;R&gt;1&lt;/R&gt;&lt;C&gt;1&lt;/C&gt;&lt;D xsi:type="xsd:double"&gt;20.9352171771455&lt;/D&gt;&lt;/FQL&gt;&lt;FQL&gt;&lt;Q&gt;CDNS-US^FF_EBITDA_OPER_MGN(LTM_R,0)&lt;/Q&gt;&lt;R&gt;1&lt;/R&gt;&lt;C&gt;1&lt;/C&gt;&lt;D xsi:type="xsd:double"&gt;35.9863267330079&lt;/D&gt;&lt;/FQL&gt;&lt;FQL&gt;&lt;Q&gt;CDNS-US^FF_GROSS_MGN(LTM_R,0)&lt;/Q&gt;&lt;R&gt;1&lt;/R&gt;&lt;C&gt;1&lt;/C&gt;&lt;D xsi:type="xsd:double"&gt;85.6103326581406&lt;/D&gt;&lt;/FQL&gt;&lt;FQL&gt;&lt;Q&gt;CDNS-US^POW(FE_ESTIMATE(EPS,MEAN,STMA,,NOW,,,'CURRENCY=USD')/FE_ESTIMATE(EPS,MEAN,LTMA,,NOW,,,'CURRENCY=USD'),0.5)-1&lt;/Q&gt;&lt;R&gt;1&lt;/R&gt;&lt;C&gt;1&lt;/C&gt;&lt;D xsi:type="xsd:double"&gt;0.140402735878865&lt;/D&gt;&lt;/FQL&gt;&lt;FQL&gt;&lt;Q&gt;CDNS-US^POW(FE_ESTIMATE(SALES,MEAN,STMA,,NOW,,,'CURRENCY=USD')/FE_ESTIMATE(SALES,MEAN,LTMA,,NOW,,,'CURRENCY=USD'),0.5)-1&lt;/Q&gt;&lt;R&gt;1&lt;/R&gt;&lt;C&gt;1&lt;/C&gt;&lt;D xsi:type="xsd:double"&gt;0.126090316093696&lt;/D&gt;&lt;/FQL&gt;&lt;FQL&gt;&lt;Q&gt;CDNS-US^FE_ACTUAL(ACTUAL,EPS,ANN_ROLL,0,,,,'CURRENCY=USD')&lt;/Q&gt;&lt;R&gt;1&lt;/R&gt;&lt;C&gt;1&lt;/C&gt;&lt;D xsi:type="xsd:double"&gt;7.14&lt;/D&gt;&lt;/FQL&gt;&lt;FQL&gt;&lt;Q&gt;CDNS-US^OS_SEC_FLT_PCT(0D,,MTD,SEC)&lt;/Q&gt;&lt;R&gt;1&lt;/R&gt;&lt;C&gt;1&lt;/C&gt;&lt;D xsi:type="xsd:double"&gt;99.5944&lt;/D&gt;&lt;/FQL&gt;&lt;FQL&gt;&lt;Q&gt;CDNS-US^AVG(P_VOLUME_FRQ(-1AM,NOW,D,,6))*P_PRICE_AVG(-1AM,NOW,,USD)&lt;/Q&gt;&lt;R&gt;1&lt;/R&gt;&lt;C&gt;1&lt;/C&gt;&lt;D xsi:type="xsd:double"&gt;866.111806999512&lt;/D&gt;&lt;/FQL&gt;&lt;FQL&gt;&lt;Q&gt;CDNS-US^FCS_EV_DAILY(MV,NOW,,,USD,M)&lt;/Q&gt;&lt;R&gt;1&lt;/R&gt;&lt;C&gt;1&lt;/C&gt;&lt;D xsi:type="xsd:double"&gt;80690.39927&lt;/D&gt;&lt;/FQL&gt;&lt;FQL&gt;&lt;Q&gt;CDNS-US^P_DCOUNTRY&lt;/Q&gt;&lt;R&gt;1&lt;/R&gt;&lt;C&gt;1&lt;/C&gt;&lt;D xsi:type="xsd:string"&gt;UNITED STATES&lt;/D&gt;&lt;/FQL&gt;&lt;FQL&gt;&lt;Q&gt;CDNS-US^FR_RBICS_NAME_CURR("IND")&lt;/Q&gt;&lt;R&gt;1&lt;/R&gt;&lt;C&gt;1&lt;/C&gt;&lt;D xsi:type="xsd:string"&gt;Electronic Design Automation Software&lt;/D&gt;&lt;/FQL&gt;&lt;FQL&gt;&lt;Q&gt;PCTY-US^FE_RATING(MEAN,TEXTONLY,0,NOW,,,'')&lt;/Q&gt;&lt;R&gt;1&lt;/R&gt;&lt;C&gt;1&lt;/C&gt;&lt;D xsi:type="xsd:string"&gt;Buy&lt;/D&gt;&lt;/FQL&gt;&lt;FQL&gt;&lt;Q&gt;PCTY-US^FG_PRICE(0,,,USD)/FG_PRICE_MAVG(0,,,USD,200)&lt;/Q&gt;&lt;R&gt;1&lt;/R&gt;&lt;C&gt;1&lt;/C&gt;&lt;D xsi:type="xsd:double"&gt;0.637236560696999&lt;/D&gt;&lt;/FQL&gt;&lt;FQL&gt;&lt;Q&gt;PCTY-US^FG_PRICE(0,,,USD)/FG_PRICE_MAVG(0,,,USD,100)&lt;/Q&gt;&lt;R&gt;1&lt;/R&gt;&lt;C&gt;1&lt;/C&gt;&lt;D xsi:type="xsd:double"&gt;0.724980221901305&lt;/D&gt;&lt;/FQL&gt;&lt;FQL&gt;&lt;Q&gt;PCTY-US^FG_PRICE(0,,,USD)/FG_PRICE_MAVG(0,,,USD,50)&lt;/Q&gt;&lt;R&gt;1&lt;/R&gt;&lt;C&gt;1&lt;/C&gt;&lt;D xsi:type="xsd:double"&gt;0.755134165537943&lt;/D&gt;&lt;/FQL&gt;&lt;FQL&gt;&lt;Q&gt;PCTY-US^RTP_PRICE_TARGET(USD)/FG_PRICE(0,,,USD)&lt;/Q&gt;&lt;R&gt;1&lt;/R&gt;&lt;C&gt;1&lt;/C&gt;&lt;D xsi:type="xsd:double"&gt;1.64620389761489&lt;/D&gt;&lt;/FQL&gt;&lt;FQL&gt;&lt;Q&gt;PCTY-US^FG_PRICE(0,,,USD)/P_PRICE_HIGH(-1AY,0,USD,,,"PRICE","INTRA")&lt;/Q&gt;&lt;R&gt;1&lt;/R&gt;&lt;C&gt;1&lt;/C&gt;&lt;D xsi:type="xsd:double"&gt;0.490325647729974&lt;/D&gt;&lt;/FQL&gt;&lt;FQL&gt;&lt;Q&gt;PCTY-US^PERCENT_CHANGE(FE_VALUATION(FFEV_EBITDA,MEAN,NTMA,,0,,,''),MAX(FE_VALUATION(FFEV_EBITDA,MEAN,NTMA,,-1AY,0,,'')))&lt;/Q&gt;&lt;R&gt;1&lt;/R&gt;&lt;C&gt;1&lt;/C&gt;&lt;D xsi:type="xsd:double"&gt;-57.0610244652107&lt;/D&gt;&lt;/FQL&gt;&lt;FQL&gt;&lt;Q&gt;PCTY-US^PERCENT_CHANGE(FE_VALUATION(PE,MEAN,NTMA,,0,,,''),MAX(FE_VALUATION(PE,MEAN,NTMA,,-1AY,0,,'')))&lt;/Q&gt;&lt;R&gt;1&lt;/R&gt;&lt;C&gt;1&lt;/C&gt;&lt;D xsi:type="xsd:double"&gt;-57.2327995146081&lt;/D&gt;&lt;/FQL&gt;&lt;FQL&gt;&lt;Q&gt;PCTY-US^FE_VALUATION(FFEV_EBITDA,MEAN,NTMA,,0,,,'')&lt;/Q&gt;&lt;R&gt;1&lt;/R&gt;&lt;C&gt;1&lt;/C&gt;&lt;D xsi:type="xsd:double"&gt;8.508057&lt;/D&gt;&lt;/FQL&gt;&lt;FQL&gt;&lt;Q&gt;PCTY-US^FE_VALUATION(FFEV_SALES,MEAN,NTMA,,0,,,'')&lt;/Q&gt;&lt;R&gt;1&lt;/R&gt;&lt;C&gt;1&lt;/C&gt;&lt;D xsi:type="xsd:double"&gt;3.071789&lt;/D&gt;&lt;/FQL&gt;&lt;FQL&gt;&lt;Q&gt;PCTY-US^FE_VALUATION(P_SALESPS,MEAN,NTMA,,0,,,'')&lt;/Q&gt;&lt;R&gt;1&lt;/R&gt;&lt;C&gt;1&lt;/C&gt;&lt;D xsi:type="xsd:double"&gt;3.0371227&lt;/D&gt;&lt;/FQL&gt;&lt;FQL&gt;&lt;Q&gt;PCTY-US^FE_VALUATION(PE,MEAN,NTMA,,0,,,'')&lt;/Q&gt;&lt;R&gt;1&lt;/R&gt;&lt;C&gt;1&lt;/C&gt;&lt;D xsi:type="xsd:double"&gt;12.641118&lt;/D&gt;&lt;/FQL&gt;&lt;FQL&gt;&lt;Q&gt;PCTY-US^FE_ACTUAL(ACTUAL,SALES,ANN_ROLL,0,,,,'CURRENCY=USD')&lt;/Q&gt;&lt;R&gt;1&lt;/R&gt;&lt;C&gt;1&lt;/C&gt;&lt;D xsi:type="xsd:double"&gt;1595.221&lt;/D&gt;&lt;/FQL&gt;&lt;FQL&gt;&lt;Q&gt;PCTY-US^FE_ACTUAL(ACTUAL,SALES,ANN_ROLL,-1,,,,'CURRENCY=USD')&lt;/Q&gt;&lt;R&gt;1&lt;/R&gt;&lt;C&gt;1&lt;/C&gt;&lt;D xsi:type="xsd:double"&gt;1402.515&lt;/D&gt;&lt;/FQL&gt;&lt;FQL&gt;&lt;Q&gt;PCTY-US^FE_VALUATION(EBITDA_MARGIN,MEAN,ANN_ROLL,0,NOW,,,'')&lt;/Q&gt;&lt;R&gt;1&lt;/R&gt;&lt;C&gt;1&lt;/C&gt;&lt;D xsi:type="xsd:double"&gt;36.546474&lt;/D&gt;&lt;/FQL&gt;&lt;FQL&gt;&lt;Q&gt;PCTY-US^FE_VALUATION(ROIC,MEAN,NTMA,,0,,,'')&lt;/Q&gt;&lt;R&gt;1&lt;/R&gt;&lt;C&gt;1&lt;/C&gt;&lt;D xsi:type="xsd:double"&gt;30.691536&lt;/D&gt;&lt;/FQL&gt;&lt;FQL&gt;&lt;Q&gt;PCTY-US^FE_VALUATION(ROE,MEAN,NTMA,,0,,,'')&lt;/Q&gt;&lt;R&gt;1&lt;/R&gt;&lt;C&gt;1&lt;/C&gt;&lt;D xsi:type="xsd:double"&gt;27.471308&lt;/D&gt;&lt;/FQL&gt;&lt;FQL&gt;&lt;Q&gt;PCTY-US^FE_VALUATION(DIV_YLD,MEAN,NTMA,,NOW,,,'')&lt;/Q&gt;&lt;R&gt;1&lt;/R&gt;&lt;C&gt;1&lt;/C&gt;&lt;D xsi:type="xsd:double"&gt;0&lt;/D&gt;&lt;/FQL&gt;&lt;FQL&gt;&lt;Q&gt;PCTY-US^FE_VALUATION(MCAP_FCF,MEAN,NTMA,,NOW,,,'')&lt;/Q&gt;&lt;R&gt;1&lt;/R&gt;&lt;C&gt;1&lt;/C&gt;&lt;D xsi:type="xsd:double"&gt;7.964447&lt;/D&gt;&lt;/FQL&gt;&lt;FQL&gt;&lt;Q&gt;PCTY-US^FE_VALUATION(NETDEBT_EBITDA,MEAN,NTMA,,NOW,,,'')&lt;/Q&gt;&lt;R&gt;1&lt;/R&gt;&lt;C&gt;1&lt;/C&gt;&lt;D xsi:type="xsd:double"&gt;-0.9447937&lt;/D&gt;&lt;/FQL&gt;&lt;FQL&gt;&lt;Q&gt;PCTY-US^FF_NET_MGN(LTM_R,0)&lt;/Q&gt;&lt;R&gt;1&lt;/R&gt;&lt;C&gt;1&lt;/C&gt;&lt;D xsi:type="xsd:double"&gt;14.1866085255279&lt;/D&gt;&lt;/FQL&gt;&lt;FQL&gt;&lt;Q&gt;PCTY-US^FF_EBITDA_OPER_MGN(LTM_R,0)&lt;/Q&gt;&lt;R&gt;1&lt;/R&gt;&lt;C&gt;1&lt;/C&gt;&lt;D xsi:type="xsd:double"&gt;26.9915711622651&lt;/D&gt;&lt;/FQL&gt;&lt;FQL&gt;&lt;Q&gt;PCTY-US^FF_GROSS_MGN(LTM_R,0)&lt;/Q&gt;&lt;R&gt;1&lt;/R&gt;&lt;C&gt;1&lt;/C&gt;&lt;D xsi:type="xsd:double"&gt;68.0724652608879&lt;/D&gt;&lt;/FQL&gt;&lt;FQL&gt;&lt;Q&gt;PCTY-US^POW(FE_ESTIMATE(EPS,MEAN,STMA,,NOW,,,'CURRENCY=USD')/FE_ESTIMATE(EPS,MEAN,LTMA,,NOW,,,'CURRENCY=USD'),0.5)-1&lt;/Q&gt;&lt;R&gt;1&lt;/R&gt;&lt;C&gt;1&lt;/C&gt;&lt;D xsi:type="xsd:double"&gt;0.0932490109759989&lt;/D&gt;&lt;/FQL&gt;&lt;FQL&gt;&lt;Q&gt;PCTY-US^POW(FE_ESTIMATE(SALES,MEAN,STMA,,NOW,,,'CURRENCY=USD')/FE_ESTIMATE(SALES,MEAN,LTMA,,NOW,,,'CURRENCY=USD'),0.5)-1&lt;/Q&gt;&lt;R&gt;1&lt;/R&gt;&lt;C&gt;1&lt;/C&gt;&lt;D xsi:type="xsd:double"&gt;0.0882690384275389&lt;/D&gt;&lt;/FQL&gt;&lt;FQL&gt;&lt;Q&gt;PCTY-US^FE_ACTUAL(ACTUAL,EPS,ANN_ROLL,0,,,,'CURRENCY=USD')&lt;/Q&gt;&lt;R&gt;1&lt;/R&gt;&lt;C&gt;1&lt;/C&gt;&lt;D xsi:type="xsd:double"&gt;7.17&lt;/D&gt;&lt;/FQL&gt;&lt;FQL&gt;&lt;Q&gt;PCTY-US^OS_SEC_FLT_PCT(0D,,MTD,SEC)&lt;/Q&gt;&lt;R&gt;1&lt;/R&gt;&lt;C&gt;1&lt;/C&gt;&lt;D xsi:type="xsd:double"&gt;79.9721&lt;/D&gt;&lt;/FQL&gt;&lt;FQL&gt;&lt;Q&gt;PCTY-US^AVG(P_VOLUME_FRQ(-1AM,NOW,D,,6))*P_PRICE_AVG(-1AM,NOW,,USD)&lt;/Q&gt;&lt;R&gt;1&lt;/R&gt;&lt;C&gt;1&lt;/C&gt;&lt;D xsi:type="xsd:double"&gt;125.502521546242&lt;/D&gt;&lt;/FQL&gt;&lt;FQL&gt;&lt;Q&gt;PCTY-US^FCS_EV_DAILY(MV,NOW,,,USD,M)&lt;/Q&gt;&lt;R&gt;1&lt;/R&gt;&lt;C&gt;1&lt;/C&gt;&lt;D xsi:type="xsd:double"&gt;5753.52999288&lt;/D&gt;&lt;/FQL&gt;&lt;FQL&gt;&lt;Q&gt;PCTY-US^P_DCOUNTRY&lt;/Q&gt;&lt;R&gt;1&lt;/R&gt;&lt;C&gt;1&lt;/C&gt;&lt;D xsi:type="xsd:string"&gt;UNITED STATES&lt;/D&gt;&lt;/FQL&gt;&lt;FQL&gt;&lt;Q&gt;PCTY-US^FR_RBICS_NAME_CURR("IND")&lt;/Q&gt;&lt;R&gt;1&lt;/R&gt;&lt;C&gt;1&lt;/C&gt;&lt;D xsi:type="xsd:string"&gt;Enterprise Resource Planning Software&lt;/D&gt;&lt;/FQL&gt;&lt;FQL&gt;&lt;Q&gt;PEGA-US^FE_RATING(MEAN,TEXTONLY,0,NOW,,,'')&lt;/Q&gt;&lt;R&gt;1&lt;/R&gt;&lt;C&gt;1&lt;/C&gt;&lt;D xsi:type="xsd:string"&gt;Buy&lt;/D&gt;&lt;/FQL&gt;&lt;FQL&gt;&lt;Q&gt;PEGA-US^FG_PRICE(0,,,USD)/FG_PRICE_MAVG(0,,,USD,200)&lt;/Q&gt;&lt;R&gt;1&lt;/R&gt;&lt;C&gt;1&lt;/C&gt;&lt;D xsi:type="xsd:double"&gt;0.800575496877515&lt;/D&gt;&lt;/FQL&gt;&lt;FQL&gt;&lt;Q&gt;PEGA-US^FG_PRICE(0,,,USD)/FG_PRICE_MAVG(0,,,USD,100)&lt;/Q&gt;&lt;R&gt;1&lt;/R&gt;&lt;C&gt;1&lt;/C&gt;&lt;D xsi:type="xsd:double"&gt;0.788443689034749&lt;/D&gt;&lt;/FQL&gt;&lt;FQL&gt;&lt;Q&gt;PEGA-US^FG_PRICE(0,,,USD)/FG_PRICE_MAVG(0,,,USD,50)&lt;/Q&gt;&lt;R&gt;1&lt;/R&gt;&lt;C&gt;1&lt;/C&gt;&lt;D xsi:type="xsd:double"&gt;0.835895613479396&lt;/D&gt;&lt;/FQL&gt;&lt;FQL&gt;&lt;Q&gt;PEGA-US^RTP_PRICE_TARGET(USD)/FG_PRICE(0,,,USD)&lt;/Q&gt;&lt;R&gt;1&lt;/R&gt;&lt;C&gt;1&lt;/C&gt;&lt;D xsi:type="xsd:double"&gt;1.38863216266174&lt;/D&gt;&lt;/FQL&gt;&lt;FQL&gt;&lt;Q&gt;PEGA-US^FG_PRICE(0,,,USD)/P_PRICE_HIGH(-1AY,0,USD,,,"PRICE","INTRA")&lt;/Q&gt;&lt;R&gt;1&lt;/R&gt;&lt;C&gt;1&lt;/C&gt;&lt;D xsi:type="xsd:double"&gt;0.63553597650514&lt;/D&gt;&lt;/FQL&gt;&lt;FQL&gt;&lt;Q&gt;PEGA-US^PERCENT_CHANGE(FE_VALUATION(FFEV_EBITDA,MEAN,NTMA,,0,,,''),MAX(FE_VALUATION(FFEV_EBITDA,MEAN,NTMA,,-1AY,0,,'')))&lt;/Q&gt;&lt;R&gt;1&lt;/R&gt;&lt;C&gt;1&lt;/C&gt;&lt;D xsi:type="xsd:double"&gt;-49.1614911027011&lt;/D&gt;&lt;/FQL&gt;&lt;FQL&gt;&lt;Q&gt;PEGA-US^PERCENT_CHANGE(FE_VALUATION(PE,MEAN,NTMA,,0,,,''),MAX(FE_VALUATION(PE,MEAN,NTMA,,-1AY,0,,'')))&lt;/Q&gt;&lt;R&gt;1&lt;/R&gt;&lt;C&gt;1&lt;/C&gt;&lt;D xsi:type="xsd:double"&gt;-47.7391340075068&lt;/D&gt;&lt;/FQL&gt;&lt;FQL&gt;&lt;Q&gt;PEGA-US^FE_VALUATION(FFEV_EBITDA,MEAN,NTMA,,0,,,'')&lt;/Q&gt;&lt;R&gt;1&lt;/R&gt;&lt;C&gt;1&lt;/C&gt;&lt;D xsi:type="xsd:double"&gt;12.044385&lt;/D&gt;&lt;/FQL&gt;&lt;FQL&gt;&lt;Q&gt;PEGA-US^FE_VALUATION(FFEV_SALES,MEAN,NTMA,,0,,,'')&lt;/Q&gt;&lt;R&gt;1&lt;/R&gt;&lt;C&gt;1&lt;/C&gt;&lt;D xsi:type="xsd:double"&gt;3.7742023&lt;/D&gt;&lt;/FQL&gt;&lt;FQL&gt;&lt;Q&gt;PEGA-US^FE_VALUATION(P_SALESPS,MEAN,NTMA,,0,,,'')&lt;/Q&gt;&lt;R&gt;1&lt;/R&gt;&lt;C&gt;1&lt;/C&gt;&lt;D xsi:type="xsd:double"&gt;3.61127&lt;/D&gt;&lt;/FQL&gt;&lt;FQL&gt;&lt;Q&gt;PEGA-US^FE_VALUATION(PE,MEAN,NTMA,,0,,,'')&lt;/Q&gt;&lt;R&gt;1&lt;/R&gt;&lt;C&gt;1&lt;/C&gt;&lt;D xsi:type="xsd:double"&gt;15.683477&lt;/D&gt;&lt;/FQL&gt;&lt;FQL&gt;&lt;Q&gt;PEGA-US^FE_ACTUAL(ACTUAL,SALES,ANN_ROLL,0,,,,'CURRENCY=USD')&lt;/Q&gt;&lt;R&gt;1&lt;/R&gt;&lt;C&gt;1&lt;/C&gt;&lt;D xsi:type="xsd:double"&gt;1745.812&lt;/D&gt;&lt;/FQL&gt;&lt;FQL&gt;&lt;Q&gt;PEGA-US^FE_ACTUAL(ACTUAL,SALES,ANN_ROLL,-1,,,,'CURRENCY=USD')&lt;/Q&gt;&lt;R&gt;1&lt;/R&gt;&lt;C&gt;1&lt;/C&gt;&lt;D xsi:type="xsd:double"&gt;1497.18&lt;/D&gt;&lt;/FQL&gt;&lt;FQL&gt;&lt;Q&gt;PEGA-US^FE_VALUATION(EBITDA_MARGIN,MEAN,ANN_ROLL,0,NOW,,,'')&lt;/Q&gt;&lt;R&gt;1&lt;/R&gt;&lt;C&gt;1&lt;/C&gt;&lt;D xsi:type="xsd:double"&gt;27.39696&lt;/D&gt;&lt;/FQL&gt;&lt;FQL&gt;&lt;Q&gt;PEGA-US^FE_VALUATION(ROIC,MEAN,NTMA,,0,,,'')&lt;/Q&gt;&lt;R&gt;0&lt;/R&gt;&lt;C&gt;0&lt;/C&gt;&lt;/FQL&gt;&lt;FQL&gt;&lt;Q&gt;PEGA-US^FE_VALUATION(ROE,MEAN,NTMA,,0,,,'')&lt;/Q&gt;&lt;R&gt;1&lt;/R&gt;&lt;C&gt;1&lt;/C&gt;&lt;D xsi:type="xsd:double"&gt;75.46083&lt;/D&gt;&lt;/FQL&gt;&lt;FQL&gt;&lt;Q&gt;PEGA-US^FE_VALUATION(DIV_YLD,MEAN,NTMA,,NOW,,,'')&lt;/Q&gt;&lt;R&gt;1&lt;/R&gt;&lt;C&gt;1&lt;/C&gt;&lt;D xsi:type="xsd:double"&gt;0.25732142&lt;/D&gt;&lt;/FQL&gt;&lt;FQL&gt;&lt;Q&gt;PEGA-US^FE_VALUATION(MCAP_FCF,MEAN,NTMA,,NOW,,,'')&lt;/Q&gt;&lt;R&gt;1&lt;/R&gt;&lt;C&gt;1&lt;/C&gt;&lt;D xsi:type="xsd:double"&gt;8.099814&lt;/D&gt;&lt;/FQL&gt;&lt;FQL&gt;&lt;Q&gt;PEGA-US^FE_VALUATION(NETDEBT_EBITDA,MEAN,NTMA,,NOW,,,'')&lt;/Q&gt;&lt;R&gt;1&lt;/R&gt;&lt;C&gt;1&lt;/C&gt;&lt;D xsi:type="xsd:double"&gt;-0.69515806&lt;/D&gt;&lt;/FQL&gt;&lt;FQL&gt;&lt;Q&gt;PEGA-US^FF_NET_MGN(LTM_R,0)&lt;/Q&gt;&lt;R&gt;1&lt;/R&gt;&lt;C&gt;1&lt;/C&gt;&lt;D xsi:type="xsd:double"&gt;22.5360462638589&lt;/D&gt;&lt;/FQL&gt;&lt;FQL&gt;&lt;Q&gt;PEGA-US^FF_EBITDA_OPER_MGN(LTM_R,0)&lt;/Q&gt;&lt;R&gt;1&lt;/R&gt;&lt;C&gt;1&lt;/C&gt;&lt;D xsi:type="xsd:double"&gt;17.6122056670478&lt;/D&gt;&lt;/FQL&gt;&lt;FQL&gt;&lt;Q&gt;PEGA-US^FF_GROSS_MGN(LTM_R,0)&lt;/Q&gt;&lt;R&gt;1&lt;/R&gt;&lt;C&gt;1&lt;/C&gt;&lt;D xsi:type="xsd:double"&gt;75.7289444682474&lt;/D&gt;&lt;/FQL&gt;&lt;FQL&gt;&lt;Q&gt;PEGA-US^POW(FE_ESTIMATE(EPS,MEAN,STMA,,NOW,,,'CURRENCY=USD')/FE_ESTIMATE(EPS,MEAN,LTMA,,NOW,,,'CURRENCY=USD'),0.5)-1&lt;/Q&gt;&lt;R&gt;1&lt;/R&gt;&lt;C&gt;1&lt;/C&gt;&lt;D xsi:type="xsd:double"&gt;0.191144113867&lt;/D&gt;&lt;/FQL&gt;&lt;FQL&gt;&lt;Q&gt;PEGA-US^POW(FE_ESTIMATE(SALES,MEAN,STMA,,NOW,,,'CURRENCY=USD')/FE_ESTIMATE(SALES,MEAN,LTMA,,NOW,,,'CURRENCY=USD'),0.5)-1&lt;/Q&gt;&lt;R&gt;1&lt;/R&gt;&lt;C&gt;1&lt;/C&gt;&lt;D xsi:type="xsd:double"&gt;0.129484528446494&lt;/D&gt;&lt;/FQL&gt;&lt;FQL&gt;&lt;Q&gt;PEGA-US^FE_ACTUAL(ACTUAL,EPS,ANN_ROLL,0,,,,'CURRENCY=USD')&lt;/Q&gt;&lt;R&gt;1&lt;/R&gt;&lt;C&gt;1&lt;/C&gt;&lt;D xsi:type="xsd:double"&gt;2.1&lt;/D&gt;&lt;/FQL&gt;&lt;FQL&gt;&lt;Q&gt;PEGA-US^OS_SEC_FLT_PCT(0D,,MTD,SEC)&lt;/Q&gt;&lt;R&gt;1&lt;/R&gt;&lt;C&gt;1&lt;/C&gt;&lt;D xsi:type="xsd:double"&gt;54.1906&lt;/D&gt;&lt;/FQL&gt;&lt;FQL&gt;&lt;Q&gt;PEGA-US^AVG(P_VOLUME_FRQ(-1AM,NOW,D,,6))*P_PRICE_AVG(-1AM,NOW,,USD)&lt;/Q&gt;&lt;R&gt;1&lt;/R&gt;&lt;C&gt;1&lt;/C&gt;&lt;D xsi:type="xsd:double"&gt;124.819493574062&lt;/D&gt;&lt;/FQL&gt;&lt;FQL&gt;&lt;Q&gt;PEGA-US^FCS_EV_DAILY(MV,NOW,,,USD,M)&lt;/Q&gt;&lt;R&gt;1&lt;/R&gt;&lt;C&gt;1&lt;/C&gt;&lt;D xsi:type="xsd:double"&gt;7518.24306848&lt;/D&gt;&lt;/FQL&gt;&lt;FQL&gt;&lt;Q&gt;PEGA-US^P_DCOUNTRY&lt;/Q&gt;&lt;R&gt;1&lt;/R&gt;&lt;C&gt;1&lt;/C&gt;&lt;D xsi:type="xsd:string"&gt;UNITED STATES&lt;/D&gt;&lt;/FQL&gt;&lt;FQL&gt;&lt;Q&gt;PEGA-US^FR_RBICS_NAME_CURR("IND")&lt;/Q&gt;&lt;R&gt;1&lt;/R&gt;&lt;C&gt;1&lt;/C&gt;&lt;D xsi:type="xsd:string"&gt;Customer Relationship Management Software&lt;/D&gt;&lt;/FQL&gt;&lt;FQL&gt;&lt;Q&gt;VEEV-US^FE_RATING(MEAN,TEXTONLY,0,NOW,,,'')&lt;/Q&gt;&lt;R&gt;1&lt;/R&gt;&lt;C&gt;1&lt;/C&gt;&lt;D xsi:type="xsd:string"&gt;Overweight&lt;/D&gt;&lt;/FQL&gt;&lt;FQL&gt;&lt;Q&gt;VEEV-US^FG_PRICE(0,,,USD)/FG_PRICE_MAVG(0,,,USD,200)&lt;/Q&gt;&lt;R&gt;1&lt;/R&gt;&lt;C&gt;1&lt;/C&gt;&lt;D xsi:type="xsd:double"&gt;0.676733684949461&lt;/D&gt;&lt;/FQL&gt;&lt;FQL&gt;&lt;Q&gt;VEEV-US^FG_PRICE(0,,,USD)/FG_PRICE_MAVG(0,,,USD,100)&lt;/Q&gt;&lt;R&gt;1&lt;/R&gt;&lt;C&gt;1&lt;/C&gt;&lt;D xsi:type="xsd:double"&gt;0.721138561242628&lt;/D&gt;&lt;/FQL&gt;&lt;FQL&gt;&lt;Q&gt;VEEV-US^FG_PRICE(0,,,USD)/FG_PRICE_MAVG(0,,,USD,50)&lt;/Q&gt;&lt;R&gt;1&lt;/R&gt;&lt;C&gt;1&lt;/C&gt;&lt;D xsi:type="xsd:double"&gt;0.836290010285335&lt;/D&gt;&lt;/FQL&gt;&lt;FQL&gt;&lt;Q&gt;VEEV-US^RTP_PRICE_TARGET(USD)/FG_PRICE(0,,,USD)&lt;/Q&gt;&lt;R&gt;1&lt;/R&gt;&lt;C&gt;1&lt;/C&gt;&lt;D xsi:type="xsd:double"&gt;1.71795892826668&lt;/D&gt;&lt;/FQL&gt;&lt;FQL&gt;&lt;Q&gt;VEEV-US^FG_PRICE(0,,,USD)/P_PRICE_HIGH(-1AY,0,USD,,,"PRICE","INTRA")&lt;/Q&gt;&lt;R&gt;1&lt;/R&gt;&lt;C&gt;1&lt;/C&gt;&lt;D xsi:type="xsd:double"&gt;0.566151368760064&lt;/D&gt;&lt;/FQL&gt;&lt;FQL&gt;&lt;Q&gt;VEEV-US^PERCENT_CHANGE(FE_VALUATION(FFEV_EBITDA,MEAN,NTMA,,0,,,''),MAX(FE_VALUATION(FFEV_EBITDA,MEAN,NTMA,,-1AY,0,,'')))&lt;/Q&gt;&lt;R&gt;1&lt;/R&gt;&lt;C&gt;1&lt;/C&gt;&lt;D xsi:type="xsd:double"&gt;-51.8898706768487&lt;/D&gt;&lt;/FQL&gt;&lt;FQL&gt;&lt;Q&gt;VEEV-US^PERCENT_CHANGE(FE_VALUATION(PE,MEAN,NTMA,,0,,,''),MAX(FE_VALUATION(PE,MEAN,NTMA,,-1AY,0,,'')))&lt;/Q&gt;&lt;R&gt;1&lt;/R&gt;&lt;C&gt;1&lt;/C&gt;&lt;D xsi:type="xsd:double"&gt;-45.3619642428333&lt;/D&gt;&lt;/FQL&gt;&lt;FQL&gt;&lt;Q&gt;VEEV-US^FE_VALUATION(FFEV_EBITDA,MEAN,NTMA,,0,,,'')&lt;/Q&gt;&lt;R&gt;1&lt;/R&gt;&lt;C&gt;1&lt;/C&gt;&lt;D xsi:type="xsd:double"&gt;14.144264&lt;/D&gt;&lt;/FQL&gt;&lt;FQL&gt;&lt;Q&gt;VEEV-US^FE_VALUATION(FFEV_SALES,MEAN,NTMA,,0,,,'')&lt;/Q&gt;&lt;R&gt;1&lt;/R&gt;&lt;C&gt;1&lt;/C&gt;&lt;D xsi:type="xsd:double"&gt;6.450282&lt;/D&gt;&lt;/FQL&gt;&lt;FQL&gt;&lt;Q&gt;VEEV-US^FE_VALUATION(P_SALESPS,MEAN,NTMA,,0,,,'')&lt;/Q&gt;&lt;R&gt;1&lt;/R&gt;&lt;C&gt;1&lt;/C&gt;&lt;D xsi:type="xsd:double"&gt;8.05163&lt;/D&gt;&lt;/FQL&gt;&lt;FQL&gt;&lt;Q&gt;VEEV-US^FE_VALUATION(PE,MEAN,NTMA,,0,,,'')&lt;/Q&gt;&lt;R&gt;1&lt;/R&gt;&lt;C&gt;1&lt;/C&gt;&lt;D xsi:type="xsd:double"&gt;20.28445&lt;/D&gt;&lt;/FQL&gt;&lt;FQL&gt;&lt;Q&gt;VEEV-US^FE_ACTUAL(ACTUAL,SALES,ANN_ROLL,0,,,,'CURRENCY=USD')&lt;/Q&gt;&lt;R&gt;1&lt;/R&gt;&lt;C&gt;1&lt;/C&gt;&lt;D xsi:type="xsd:double"&gt;2746.619&lt;/D&gt;&lt;/FQL&gt;&lt;FQL&gt;&lt;Q&gt;VEEV-US^FE_ACTUAL(ACTUAL,SALES,ANN_ROLL,-1,,,,'CURRENCY=USD')&lt;/Q&gt;&lt;R&gt;1&lt;/R&gt;&lt;C&gt;1&lt;/C&gt;&lt;D xsi:type="xsd:double"&gt;2363.673&lt;/D&gt;&lt;/FQL&gt;&lt;FQL&gt;&lt;Q&gt;VEEV-US^FE_VALUATION(EBITDA_MARGIN,MEAN,ANN_ROLL,0,NOW,,,'')&lt;/Q&gt;&lt;R&gt;1&lt;/R&gt;&lt;C&gt;1&lt;/C&gt;&lt;D xsi:type="xsd:double"&gt;42.722927&lt;/D&gt;&lt;/FQL&gt;&lt;FQL&gt;&lt;Q&gt;VEEV-US^FE_VALUATION(ROIC,MEAN,NTMA,,0,,,'')&lt;/Q&gt;&lt;R&gt;1&lt;/R&gt;&lt;C&gt;1&lt;/C&gt;&lt;D xsi:type="xsd:double"&gt;15.3183&lt;/D&gt;&lt;/FQL&gt;&lt;FQL&gt;&lt;Q&gt;VEEV-US^FE_VALUATION(ROE,MEAN,NTMA,,0,,,'')&lt;/Q&gt;&lt;R&gt;1&lt;/R&gt;&lt;C&gt;1&lt;/C&gt;&lt;D xsi:type="xsd:double"&gt;16.29274&lt;/D&gt;&lt;/FQL&gt;&lt;FQL&gt;&lt;Q&gt;VEEV-US^FE_VALUATION(DIV_YLD,MEAN,NTMA,,NOW,,,'')&lt;/Q&gt;&lt;R&gt;1&lt;/R&gt;&lt;C&gt;1&lt;/C&gt;&lt;D xsi:type="xsd:double"&gt;0&lt;/D&gt;&lt;/FQL&gt;&lt;FQL&gt;&lt;Q&gt;VEEV-US^FE_VALUATION(MCAP_FCF,MEAN,NTMA,,NOW,,,'')&lt;/Q&gt;&lt;R&gt;1&lt;/R&gt;&lt;C&gt;1&lt;/C&gt;&lt;D xsi:type="xsd:double"&gt;5.424948&lt;/D&gt;&lt;/FQL&gt;&lt;FQL&gt;&lt;Q&gt;VEEV-US^FE_VALUATION(NETDEBT_EBITDA,MEAN,NTMA,,NOW,,,'')&lt;/Q&gt;&lt;R&gt;1&lt;/R&gt;&lt;C&gt;1&lt;/C&gt;&lt;D xsi:type="xsd:double"&gt;-4.88372&lt;/D&gt;&lt;/FQL&gt;&lt;FQL&gt;&lt;Q&gt;VEEV-US^FF_NET_MGN(LTM_R,0)&lt;/Q&gt;&lt;R&gt;1&lt;/R&gt;&lt;C&gt;1&lt;/C&gt;&lt;D xsi:type="xsd:double"&gt;27.9304639954082&lt;/D&gt;&lt;/FQL&gt;&lt;FQL&gt;&lt;Q&gt;VEEV-US^FF_EBITDA_OPER_MGN(LTM_R,0)&lt;/Q&gt;&lt;R&gt;1&lt;/R&gt;&lt;C&gt;1&lt;/C&gt;&lt;D xsi:type="xsd:double"&gt;30.5733048594171&lt;/D&gt;&lt;/FQL&gt;&lt;FQL&gt;&lt;Q&gt;VEEV-US^FF_GROSS_MGN(LTM_R,0)&lt;/Q&gt;&lt;R&gt;1&lt;/R&gt;&lt;C&gt;1&lt;/C&gt;&lt;D xsi:type="xsd:double"&gt;75.3971598372338&lt;/D&gt;&lt;/FQL&gt;&lt;FQL&gt;&lt;Q&gt;VEEV-US^POW(FE_ESTIMATE(EPS,MEAN,STMA,,NOW,,,'CURRENCY=USD')/FE_ESTIMATE(EPS,MEAN,LTMA,,NOW,,,'CURRENCY=USD'),0.5)-1&lt;/Q&gt;&lt;R&gt;1&lt;/R&gt;&lt;C&gt;1&lt;/C&gt;&lt;D xsi:type="xsd:double"&gt;0.111989208580731&lt;/D&gt;&lt;/FQL&gt;&lt;FQL&gt;&lt;Q&gt;VEEV-US^POW(FE_ESTIMATE(SALES,MEAN,STMA,,NOW,,,'CURRENCY=USD')/FE_ESTIMATE(SALES,MEAN,LTMA,,NOW,,,'CURRENCY=USD'),0.5)-1&lt;/Q&gt;&lt;R&gt;1&lt;/R&gt;&lt;C&gt;1&lt;/C&gt;&lt;D xsi:type="xsd:double"&gt;0.125083996864234&lt;/D&gt;&lt;/FQL&gt;&lt;FQL&gt;&lt;Q&gt;VEEV-US^FE_ACTUAL(ACTUAL,EPS,ANN_ROLL,0,,,,'CURRENCY=USD')&lt;/Q&gt;&lt;R&gt;1&lt;/R&gt;&lt;C&gt;1&lt;/C&gt;&lt;D xsi:type="xsd:double"&gt;6.6&lt;/D&gt;&lt;/FQL&gt;&lt;FQL&gt;&lt;Q&gt;VEEV-US^OS_SEC_FLT_PCT(0D,,MTD,SEC)&lt;/Q&gt;&lt;R&gt;1&lt;/R&gt;&lt;C&gt;1&lt;/C&gt;&lt;D xsi:type="xsd:double"&gt;90.9193&lt;/D&gt;&lt;/FQL&gt;&lt;FQL&gt;&lt;Q&gt;VEEV-US^AVG(P_VOLUME_FRQ(-1AM,NOW,D,,6))*P_PRICE_AVG(-1AM,NOW,,USD)&lt;/Q&gt;&lt;R&gt;1&lt;/R&gt;&lt;C&gt;1&lt;/C&gt;&lt;D xsi:type="xsd:double"&gt;437.471857000957&lt;/D&gt;&lt;/FQL&gt;&lt;FQL&gt;&lt;Q&gt;VEEV-US^FCS_EV_DAILY(MV,NOW,,,USD,M)&lt;/Q&gt;&lt;R&gt;1&lt;/R&gt;&lt;C&gt;1&lt;/C&gt;&lt;D xsi:type="xsd:double"&gt;29096.57340786&lt;/D&gt;&lt;/FQL&gt;&lt;FQL&gt;&lt;Q&gt;VEEV-US^P_DCOUNTRY&lt;/Q&gt;&lt;R&gt;1&lt;/R&gt;&lt;C&gt;1&lt;/C&gt;&lt;D xsi:type="xsd:string"&gt;UNITED STATES&lt;/D&gt;&lt;/FQL&gt;&lt;FQL&gt;&lt;Q&gt;VEEV-US^FR_RBICS_NAME_CURR("IND")&lt;/Q&gt;&lt;R&gt;1&lt;/R&gt;&lt;C&gt;1&lt;/C&gt;&lt;D xsi:type="xsd:string"&gt;Healthcare and Pharma Industry Software&lt;/D&gt;&lt;/FQL&gt;&lt;FQL&gt;&lt;Q&gt;ZS-US^FE_RATING(MEAN,TEXTONLY,0,NOW,,,'')&lt;/Q&gt;&lt;R&gt;1&lt;/R&gt;&lt;C&gt;1&lt;/C&gt;&lt;D xsi:type="xsd:string"&gt;Buy&lt;/D&gt;&lt;/FQL&gt;&lt;FQL&gt;&lt;Q&gt;ZS-US^FG_PRICE(0,,,USD)/FG_PRICE_MAVG(0,,,USD,200)&lt;/Q&gt;&lt;R&gt;1&lt;/R&gt;&lt;C&gt;1&lt;/C&gt;&lt;D xsi:type="xsd:double"&gt;0.559217443031408&lt;/D&gt;&lt;/FQL&gt;&lt;FQL&gt;&lt;Q&gt;ZS-US^FG_PRICE(0,,,USD)/FG_PRICE_MAVG(0,,,USD,100)&lt;/Q&gt;&lt;R&gt;1&lt;/R&gt;&lt;C&gt;1&lt;/C&gt;&lt;D xsi:type="xsd:double"&gt;0.595222557882863&lt;/D&gt;&lt;/FQL&gt;&lt;FQL&gt;&lt;Q&gt;ZS-US^FG_PRICE(0,,,USD)/FG_PRICE_MAVG(0,,,USD,50)&lt;/Q&gt;&lt;R&gt;1&lt;/R&gt;&lt;C&gt;1&lt;/C&gt;&lt;D xsi:type="xsd:double"&gt;0.727706793018185&lt;/D&gt;&lt;/FQL&gt;&lt;FQL&gt;&lt;Q&gt;ZS-US^RTP_PRICE_TARGET(USD)/FG_PRICE(0,,,USD)&lt;/Q&gt;&lt;R&gt;1&lt;/R&gt;&lt;C&gt;1&lt;/C&gt;&lt;D xsi:type="xsd:double"&gt;1.95345112479914&lt;/D&gt;&lt;/FQL&gt;&lt;FQL&gt;&lt;Q&gt;ZS-US^FG_PRICE(0,,,USD)/P_PRICE_HIGH(-1AY,0,USD,,,"PRICE","INTRA")&lt;/Q&gt;&lt;R&gt;1&lt;/R&gt;&lt;C&gt;1&lt;/C&gt;&lt;D xsi:type="xsd:double"&gt;0.443217899640939&lt;/D&gt;&lt;/FQL&gt;&lt;FQL&gt;&lt;Q&gt;ZS-US^PERCENT_CHANGE(FE_VALUATION(FFEV_EBITDA,MEAN,NTMA,,0,,,''),MAX(FE_VALUATION(FFEV_EBITDA,MEAN,NTMA,,-1AY,0,,'')))&lt;/Q&gt;&lt;R&gt;1&lt;/R&gt;&lt;C&gt;1&lt;/C&gt;&lt;D xsi:type="xsd:double"&gt;-57.0476065663186&lt;/D&gt;&lt;/FQL&gt;&lt;FQL&gt;&lt;Q&gt;ZS-US^PERCENT_CHANGE(FE_VALUATION(PE,MEAN,NTMA,,0,,,''),MAX(FE_VALUATION(PE,MEAN,NTMA,,-1AY,0,,'')))&lt;/Q&gt;&lt;R&gt;1&lt;/R&gt;&lt;C&gt;1&lt;/C&gt;&lt;D xsi:type="xsd:double"&gt;-59.157045566839&lt;/D&gt;&lt;/FQL&gt;&lt;FQL&gt;&lt;Q&gt;ZS-US^FE_VALUATION(FFEV_EBITDA,MEAN,NTMA,,0,,,'')&lt;/Q&gt;&lt;R&gt;1&lt;/R&gt;&lt;C&gt;1&lt;/C&gt;&lt;D xsi:type="xsd:double"&gt;24.29258&lt;/D&gt;&lt;/FQL&gt;&lt;FQL&gt;&lt;Q&gt;ZS-US^FE_VALUATION(FFEV_SALES,MEAN,NTMA,,0,,,'')&lt;/Q&gt;&lt;R&gt;1&lt;/R&gt;&lt;C&gt;1&lt;/C&gt;&lt;D xsi:type="xsd:double"&gt;6.0586624&lt;/D&gt;&lt;/FQL&gt;&lt;FQL&gt;&lt;Q&gt;ZS-US^FE_VALUATION(P_SALESPS,MEAN,NTMA,,0,,,'')&lt;/Q&gt;&lt;R&gt;1&lt;/R&gt;&lt;C&gt;1&lt;/C&gt;&lt;D xsi:type="xsd:double"&gt;6.500209&lt;/D&gt;&lt;/FQL&gt;&lt;FQL&gt;&lt;Q&gt;ZS-US^FE_VALUATION(PE,MEAN,NTMA,,0,,,'')&lt;/Q&gt;&lt;R&gt;1&lt;/R&gt;&lt;C&gt;1&lt;/C&gt;&lt;D xsi:type="xsd:double"&gt;35.702015&lt;/D&gt;&lt;/FQL&gt;&lt;FQL&gt;&lt;Q&gt;ZS-US^FE_ACTUAL(ACTUAL,SALES,ANN_ROLL,0,,,,'CURRENCY=USD')&lt;/Q&gt;&lt;R&gt;1&lt;/R&gt;&lt;C&gt;1&lt;/C&gt;&lt;D xsi:type="xsd:double"&gt;2673.115&lt;/D&gt;&lt;/FQL&gt;&lt;FQL&gt;&lt;Q&gt;ZS-US^FE_ACTUAL(ACTUAL,SALES,ANN_ROLL,-1,,,,'CURRENCY=USD')&lt;/Q&gt;&lt;R&gt;1&lt;/R&gt;&lt;C&gt;1&lt;/C&gt;&lt;D xsi:type="xsd:double"&gt;2167.771&lt;/D&gt;&lt;/FQL&gt;&lt;FQL&gt;&lt;Q&gt;ZS-US^FE_VALUATION(EBITDA_MARGIN,MEAN,ANN_ROLL,0,NOW,,,'')&lt;/Q&gt;&lt;R&gt;1&lt;/R&gt;&lt;C&gt;1&lt;/C&gt;&lt;D xsi:type="xsd:double"&gt;25.52776&lt;/D&gt;&lt;/FQL&gt;&lt;FQL&gt;&lt;Q&gt;ZS-US^FE_VALUATION(ROIC,MEAN,NTMA,,0,,,'')&lt;/Q&gt;&lt;R&gt;1&lt;/R&gt;&lt;C&gt;1&lt;/C&gt;&lt;D xsi:type="xsd:double"&gt;14.370843&lt;/D&gt;&lt;/FQL&gt;&lt;FQL&gt;&lt;Q&gt;ZS-US^FE_VALUATION(ROE,MEAN,NTMA,,0,,,'')&lt;/Q&gt;&lt;R&gt;1&lt;/R&gt;&lt;C&gt;1&lt;/C&gt;&lt;D xsi:type="xsd:double"&gt;21.661386&lt;/D&gt;&lt;/FQL&gt;&lt;FQL&gt;&lt;Q&gt;ZS-US^FE_VALUATION(DIV_YLD,MEAN,NTMA,,NOW,,,'')&lt;/Q&gt;&lt;R&gt;1&lt;/R&gt;&lt;C&gt;1&lt;/C&gt;&lt;D xsi:type="xsd:double"&gt;0&lt;/D&gt;&lt;/FQL&gt;&lt;FQL&gt;&lt;Q&gt;ZS-US^FE_VALUATION(MCAP_FCF,MEAN,NTMA,,NOW,,,'')&lt;/Q&gt;&lt;R&gt;1&lt;/R&gt;&lt;C&gt;1&lt;/C&gt;&lt;D xsi:type="xsd:double"&gt;4.3493752&lt;/D&gt;&lt;/FQL&gt;&lt;FQL&gt;&lt;Q&gt;ZS-US^FE_VALUATION(NETDEBT_EBITDA,MEAN,NTMA,,NOW,,,'')&lt;/Q&gt;&lt;R&gt;1&lt;/R&gt;&lt;C&gt;1&lt;/C&gt;&lt;D xsi:type="xsd:double"&gt;-3.2682989&lt;/D&gt;&lt;/FQL&gt;&lt;FQL&gt;&lt;Q&gt;ZS-US^FF_NET_MGN(LTM_R,0)&lt;/Q&gt;&lt;R&gt;1&lt;/R&gt;&lt;C&gt;1&lt;/C&gt;&lt;D xsi:type="xsd:double"&gt;-1.44857253380544&lt;/D&gt;&lt;/FQL&gt;&lt;FQL&gt;&lt;Q&gt;ZS-US^FF_EBITDA_OPER_MGN(LTM_R,0)&lt;/Q&gt;&lt;R&gt;1&lt;/R&gt;&lt;C&gt;1&lt;/C&gt;&lt;D xsi:type="xsd:double"&gt;0.579365482735156&lt;/D&gt;&lt;/FQL&gt;&lt;FQL&gt;&lt;Q&gt;ZS-US^FF_GROSS_MGN(LTM_R,0)&lt;/Q&gt;&lt;R&gt;1&lt;/R&gt;&lt;C&gt;1&lt;/C&gt;&lt;D xsi:type="xsd:double"&gt;76.5472570229756&lt;/D&gt;&lt;/FQL&gt;&lt;FQL&gt;&lt;Q&gt;ZS-US^POW(FE_ESTIMATE(EPS,MEAN,STMA,,NOW,,,'CURRENCY=USD')/FE_ESTIMATE(EPS,MEAN,LTMA,,NOW,,,'CURRENCY=USD'),0.5)-1&lt;/Q&gt;&lt;R&gt;1&lt;/R&gt;&lt;C&gt;1&lt;/C&gt;&lt;D xsi:type="xsd:double"&gt;0.183890324312181&lt;/D&gt;&lt;/FQL&gt;&lt;FQL&gt;&lt;Q&gt;ZS-US^POW(FE_ESTIMATE(SALES,MEAN,STMA,,NOW,,,'CURRENCY=USD')/FE_ESTIMATE(SALES,MEAN,LTMA,,NOW,,,'CURRENCY=USD'),0.5)-1&lt;/Q&gt;&lt;R&gt;1&lt;/R&gt;&lt;C&gt;1&lt;/C&gt;&lt;D xsi:type="xsd:double"&gt;0.201608255630761&lt;/D&gt;&lt;/FQL&gt;&lt;FQL&gt;&lt;Q&gt;ZS-US^FE_ACTUAL(ACTUAL,EPS,ANN_ROLL,0,,,,'CURRENCY=USD')&lt;/Q&gt;&lt;R&gt;1&lt;/R&gt;&lt;C&gt;1&lt;/C&gt;&lt;D xsi:type="xsd:double"&gt;3.28&lt;/D&gt;&lt;/FQL&gt;&lt;FQL&gt;&lt;Q&gt;ZS-US^OS_SEC_FLT_PCT(0D,,MTD,SEC)&lt;/Q&gt;&lt;R&gt;1&lt;/R&gt;&lt;C&gt;1&lt;/C&gt;&lt;D xsi:type="xsd:double"&gt;64.3126&lt;/D&gt;&lt;/FQL&gt;&lt;FQL&gt;&lt;Q&gt;ZS-US^AVG(P_VOLUME_FRQ(-1AM,NOW,D,,6))*P_PRICE_AVG(-1AM,NOW,,USD)&lt;/Q&gt;&lt;R&gt;1&lt;/R&gt;&lt;C&gt;1&lt;/C&gt;&lt;D xsi:type="xsd:double"&gt;481.732682812174&lt;/D&gt;&lt;/FQL&gt;&lt;FQL&gt;&lt;Q&gt;ZS-US^FCS_EV_DAILY(MV,NOW,,,USD,M)&lt;/Q&gt;&lt;R&gt;1&lt;/R&gt;&lt;C&gt;1&lt;/C&gt;&lt;D xsi:type="xsd:double"&gt;25422.14858688&lt;/D&gt;&lt;/FQL&gt;&lt;FQL&gt;&lt;Q&gt;ZS-US^P_DCOUNTRY&lt;/Q&gt;&lt;R&gt;1&lt;/R&gt;&lt;C&gt;1&lt;/C&gt;&lt;D xsi:type="xsd:string"&gt;UNITED STATES&lt;/D&gt;&lt;/FQL&gt;&lt;FQL&gt;&lt;Q&gt;ZS-US^FR_RBICS_NAME_CURR("IND")&lt;/Q&gt;&lt;R&gt;1&lt;/R&gt;&lt;C&gt;1&lt;/C&gt;&lt;D xsi:type="xsd:string"&gt;Network Infrastructure Software&lt;/D&gt;&lt;/FQL&gt;&lt;FQL&gt;&lt;Q&gt;INTA-US^FE_RATING(MEAN,TEXTONLY,0,NOW,,,'')&lt;/Q&gt;&lt;R&gt;1&lt;/R&gt;&lt;C&gt;1&lt;/C&gt;&lt;D xsi:type="xsd:string"&gt;Overweight&lt;/D&gt;&lt;/FQL&gt;&lt;FQL&gt;&lt;Q&gt;INTA-US^FG_PRICE(0,,,USD)/FG_PRICE_MAVG(0,,,USD,200)&lt;/Q&gt;&lt;R&gt;1&lt;/R&gt;&lt;C&gt;1&lt;/C&gt;&lt;D xsi:type="xsd:double"&gt;0.496190134846418&lt;/D&gt;&lt;/FQL&gt;&lt;FQL&gt;&lt;Q&gt;INTA-US^FG_PRICE(0,,,USD)/FG_PRICE_MAVG(0,,,USD,100)&lt;/Q&gt;&lt;R&gt;1&lt;/R&gt;&lt;C&gt;1&lt;/C&gt;&lt;D xsi:type="xsd:double"&gt;0.554796570253848&lt;/D&gt;&lt;/FQL&gt;&lt;FQL&gt;&lt;Q&gt;INTA-US^FG_PRICE(0,,,USD)/FG_PRICE_MAVG(0,,,USD,50)&lt;/Q&gt;&lt;R&gt;1&lt;/R&gt;&lt;C&gt;1&lt;/C&gt;&lt;D xsi:type="xsd:double"&gt;0.582793911826452&lt;/D&gt;&lt;/FQL&gt;&lt;FQL&gt;&lt;Q&gt;INTA-US^RTP_PRICE_TARGET(USD)/FG_PRICE(0,,,USD)&lt;/Q&gt;&lt;R&gt;1&lt;/R&gt;&lt;C&gt;1&lt;/C&gt;&lt;D xsi:type="xsd:double"&gt;1.99929643527205&lt;/D&gt;&lt;/FQL&gt;&lt;FQL&gt;&lt;Q&gt;INTA-US^FG_PRICE(0,,,USD)/P_PRICE_HIGH(-1AY,0,USD,,,"PRICE","INTRA")&lt;/Q&gt;&lt;R&gt;1&lt;/R&gt;&lt;C&gt;1&lt;/C&gt;&lt;D xsi:type="xsd:double"&gt;0.314640369894289&lt;/D&gt;&lt;/FQL&gt;&lt;FQL&gt;&lt;Q&gt;INTA-US^PERCENT_CHANGE(FE_VALUATION(FFEV_EBITDA,MEAN,NTMA,,0,,,''),MAX(FE_VALUATION(FFEV_EBITDA,MEAN,NTMA,,-1AY,0,,'')))&lt;/Q&gt;&lt;R&gt;1&lt;/R&gt;&lt;C&gt;1&lt;/C&gt;&lt;D xsi:type="xsd:double"&gt;-75.5088025974669&lt;/D&gt;&lt;/FQL&gt;&lt;FQL&gt;&lt;Q&gt;INTA-US^PERCENT_CHANGE(FE_VALUATION(PE,MEAN,NTMA,,0,,,''),MAX(FE_VALUATION(PE,MEAN,NTMA,,-1AY,0,,'')))&lt;/Q&gt;&lt;R&gt;1&lt;/R&gt;&lt;C&gt;1&lt;/C&gt;&lt;D xsi:type="xsd:double"&gt;-77.6038127825626&lt;/D&gt;&lt;/FQL&gt;&lt;FQL&gt;&lt;Q&gt;INTA-US^FE_VALUATION(FFEV_EBITDA,MEAN,NTMA,,0,,,'')&lt;/Q&gt;&lt;R&gt;1&lt;/R&gt;&lt;C&gt;1&lt;/C&gt;&lt;D xsi:type="xsd:double"&gt;11.803597&lt;/D&gt;&lt;/FQL&gt;&lt;FQL&gt;&lt;Q&gt;INTA-US^FE_VALUATION(FFEV_SALES,MEAN,NTMA,,0,,,'')&lt;/Q&gt;&lt;R&gt;1&lt;/R&gt;&lt;C&gt;1&lt;/C&gt;&lt;D xsi:type="xsd:double"&gt;2.5037434&lt;/D&gt;&lt;/FQL&gt;&lt;FQL&gt;&lt;Q&gt;INTA-US^FE_VALUATION(P_SALESPS,MEAN,NTMA,,0,,,'')&lt;/Q&gt;&lt;R&gt;1&lt;/R&gt;&lt;C&gt;1&lt;/C&gt;&lt;D xsi:type="xsd:double"&gt;2.7535684&lt;/D&gt;&lt;/FQL&gt;&lt;FQL&gt;&lt;Q&gt;INTA-US^FE_VALUATION(PE,MEAN,NTMA,,0,,,'')&lt;/Q&gt;&lt;R&gt;1&lt;/R&gt;&lt;C&gt;1&lt;/C&gt;&lt;D xsi:type="xsd:double"&gt;15.418243&lt;/D&gt;&lt;/FQL&gt;&lt;FQL&gt;&lt;Q&gt;INTA-US^FE_ACTUAL(ACTUAL,SALES,ANN_ROLL,0,,,,'CURRENCY=USD')&lt;/Q&gt;&lt;R&gt;1&lt;/R&gt;&lt;C&gt;1&lt;/C&gt;&lt;D xsi:type="xsd:double"&gt;504.12&lt;/D&gt;&lt;/FQL&gt;&lt;FQL&gt;&lt;Q&gt;INTA-US^FE_ACTUAL(ACTUAL,SALES,ANN_ROLL,-1,,,,'CURRENCY=USD')&lt;/Q&gt;&lt;R&gt;1&lt;/R&gt;&lt;C&gt;1&lt;/C&gt;&lt;D xsi:type="xsd:double"&gt;430.523&lt;/D&gt;&lt;/FQL&gt;&lt;FQL&gt;&lt;Q&gt;INTA-US^FE_VALUATION(EBITDA_MARGIN,MEAN,ANN_ROLL,0,NOW,,,'')&lt;/Q&gt;&lt;R&gt;1&lt;/R&gt;&lt;C&gt;1&lt;/C&gt;&lt;D xsi:type="xsd:double"&gt;17.596657&lt;/D&gt;&lt;/FQL&gt;&lt;FQL&gt;&lt;Q&gt;INTA-US^FE_VALUATION(ROIC,MEAN,NTMA,,0,,,'')&lt;/Q&gt;&lt;R&gt;0&lt;/R&gt;&lt;C&gt;0&lt;/C&gt;&lt;/FQL&gt;&lt;FQL&gt;&lt;Q&gt;INTA-US^FE_VALUATION(ROE,MEAN,NTMA,,0,,,'')&lt;/Q&gt;&lt;R&gt;1&lt;/R&gt;&lt;C&gt;1&lt;/C&gt;&lt;D xsi:type="xsd:double"&gt;21.655949&lt;/D&gt;&lt;/FQL&gt;&lt;FQL&gt;&lt;Q&gt;INTA-US^FE_VALUATI</t>
        </r>
      </text>
    </comment>
    <comment ref="A9" authorId="0" shapeId="0" xr:uid="{2C660178-72B0-48D4-ADBE-A61F38BF2285}">
      <text>
        <r>
          <rPr>
            <b/>
            <sz val="9"/>
            <color indexed="81"/>
            <rFont val="Tahoma"/>
            <charset val="1"/>
          </rPr>
          <t>ON(DIV_YLD,MEAN,NTMA,,NOW,,,'')&lt;/Q&gt;&lt;R&gt;1&lt;/R&gt;&lt;C&gt;1&lt;/C&gt;&lt;D xsi:type="xsd:double"&gt;0&lt;/D&gt;&lt;/FQL&gt;&lt;FQL&gt;&lt;Q&gt;INTA-US^FE_VALUATION(MCAP_FCF,MEAN,NTMA,,NOW,,,'')&lt;/Q&gt;&lt;R&gt;1&lt;/R&gt;&lt;C&gt;1&lt;/C&gt;&lt;D xsi:type="xsd:double"&gt;8.086181&lt;/D&gt;&lt;/FQL&gt;&lt;FQL&gt;&lt;Q&gt;INTA-US^FE_VALUATION(NETDEBT_EBITDA,MEAN,NTMA,,NOW,,,'')&lt;/Q&gt;&lt;R&gt;1&lt;/R&gt;&lt;C&gt;1&lt;/C&gt;&lt;D xsi:type="xsd:double"&gt;-2.1536295&lt;/D&gt;&lt;/FQL&gt;&lt;FQL&gt;&lt;Q&gt;INTA-US^FF_NET_MGN(LTM_R,0)&lt;/Q&gt;&lt;R&gt;1&lt;/R&gt;&lt;C&gt;1&lt;/C&gt;&lt;D xsi:type="xsd:double"&gt;-4.37423275622491&lt;/D&gt;&lt;/FQL&gt;&lt;FQL&gt;&lt;Q&gt;INTA-US^FF_EBITDA_OPER_MGN(LTM_R,0)&lt;/Q&gt;&lt;R&gt;1&lt;/R&gt;&lt;C&gt;1&lt;/C&gt;&lt;D xsi:type="xsd:double"&gt;-0.952072455419341&lt;/D&gt;&lt;/FQL&gt;&lt;FQL&gt;&lt;Q&gt;INTA-US^FF_GROSS_MGN(LTM_R,0)&lt;/Q&gt;&lt;R&gt;1&lt;/R&gt;&lt;C&gt;1&lt;/C&gt;&lt;D xsi:type="xsd:double"&gt;73.9068099039093&lt;/D&gt;&lt;/FQL&gt;&lt;FQL&gt;&lt;Q&gt;INTA-US^POW(FE_ESTIMATE(EPS,MEAN,STMA,,NOW,,,'CURRENCY=USD')/FE_ESTIMATE(EPS,MEAN,LTMA,,NOW,,,'CURRENCY=USD'),0.5)-1&lt;/Q&gt;&lt;R&gt;1&lt;/R&gt;&lt;C&gt;1&lt;/C&gt;&lt;D xsi:type="xsd:double"&gt;0.197385318099399&lt;/D&gt;&lt;/FQL&gt;&lt;FQL&gt;&lt;Q&gt;INTA-US^POW(FE_ESTIMATE(SALES,MEAN,STMA,,NOW,,,'CURRENCY=USD')/FE_ESTIMATE(SALES,MEAN,LTMA,,NOW,,,'CURRENCY=USD'),0.5)-1&lt;/Q&gt;&lt;R&gt;1&lt;/R&gt;&lt;C&gt;1&lt;/C&gt;&lt;D xsi:type="xsd:double"&gt;0.130896635418109&lt;/D&gt;&lt;/FQL&gt;&lt;FQL&gt;&lt;Q&gt;INTA-US^FE_ACTUAL(ACTUAL,EPS,ANN_ROLL,0,,,,'CURRENCY=USD')&lt;/Q&gt;&lt;R&gt;1&lt;/R&gt;&lt;C&gt;1&lt;/C&gt;&lt;D xsi:type="xsd:double"&gt;0.94&lt;/D&gt;&lt;/FQL&gt;&lt;FQL&gt;&lt;Q&gt;INTA-US^OS_SEC_FLT_PCT(0D,,MTD,SEC)&lt;/Q&gt;&lt;R&gt;1&lt;/R&gt;&lt;C&gt;1&lt;/C&gt;&lt;D xsi:type="xsd:double"&gt;89.6678&lt;/D&gt;&lt;/FQL&gt;&lt;FQL&gt;&lt;Q&gt;INTA-US^AVG(P_VOLUME_FRQ(-1AM,NOW,D,,6))*P_PRICE_AVG(-1AM,NOW,,USD)&lt;/Q&gt;&lt;R&gt;1&lt;/R&gt;&lt;C&gt;1&lt;/C&gt;&lt;D xsi:type="xsd:double"&gt;50.8117950132174&lt;/D&gt;&lt;/FQL&gt;&lt;FQL&gt;&lt;Q&gt;INTA-US^FCS_EV_DAILY(MV,NOW,,,USD,M)&lt;/Q&gt;&lt;R&gt;1&lt;/R&gt;&lt;C&gt;1&lt;/C&gt;&lt;D xsi:type="xsd:double"&gt;1864.95695148&lt;/D&gt;&lt;/FQL&gt;&lt;FQL&gt;&lt;Q&gt;INTA-US^P_DCOUNTRY&lt;/Q&gt;&lt;R&gt;1&lt;/R&gt;&lt;C&gt;1&lt;/C&gt;&lt;D xsi:type="xsd:string"&gt;UNITED STATES&lt;/D&gt;&lt;/FQL&gt;&lt;FQL&gt;&lt;Q&gt;INTA-US^FR_RBICS_NAME_CURR("IND")&lt;/Q&gt;&lt;R&gt;1&lt;/R&gt;&lt;C&gt;1&lt;/C&gt;&lt;D xsi:type="xsd:string"&gt;Finance Industry Software&lt;/D&gt;&lt;/FQL&gt;&lt;FQL&gt;&lt;Q&gt;PCOR-US^FE_RATING(MEAN,TEXTONLY,0,NOW,,,'')&lt;/Q&gt;&lt;R&gt;1&lt;/R&gt;&lt;C&gt;1&lt;/C&gt;&lt;D xsi:type="xsd:string"&gt;Overweight&lt;/D&gt;&lt;/FQL&gt;&lt;FQL&gt;&lt;Q&gt;PCOR-US^FG_PRICE(0,,,USD)/FG_PRICE_MAVG(0,,,USD,200)&lt;/Q&gt;&lt;R&gt;1&lt;/R&gt;&lt;C&gt;1&lt;/C&gt;&lt;D xsi:type="xsd:double"&gt;0.736140765042499&lt;/D&gt;&lt;/FQL&gt;&lt;FQL&gt;&lt;Q&gt;PCOR-US^FG_PRICE(0,,,USD)/FG_PRICE_MAVG(0,,,USD,100)&lt;/Q&gt;&lt;R&gt;1&lt;/R&gt;&lt;C&gt;1&lt;/C&gt;&lt;D xsi:type="xsd:double"&gt;0.735724643233545&lt;/D&gt;&lt;/FQL&gt;&lt;FQL&gt;&lt;Q&gt;PCOR-US^FG_PRICE(0,,,USD)/FG_PRICE_MAVG(0,,,USD,50)&lt;/Q&gt;&lt;R&gt;1&lt;/R&gt;&lt;C&gt;1&lt;/C&gt;&lt;D xsi:type="xsd:double"&gt;0.790234570316746&lt;/D&gt;&lt;/FQL&gt;&lt;FQL&gt;&lt;Q&gt;PCOR-US^RTP_PRICE_TARGET(USD)/FG_PRICE(0,,,USD)&lt;/Q&gt;&lt;R&gt;1&lt;/R&gt;&lt;C&gt;1&lt;/C&gt;&lt;D xsi:type="xsd:double"&gt;1.42573314993122&lt;/D&gt;&lt;/FQL&gt;&lt;FQL&gt;&lt;Q&gt;PCOR-US^FG_PRICE(0,,,USD)/P_PRICE_HIGH(-1AY,0,USD,,,"PRICE","INTRA")&lt;/Q&gt;&lt;R&gt;1&lt;/R&gt;&lt;C&gt;1&lt;/C&gt;&lt;D xsi:type="xsd:double"&gt;0.617484681186677&lt;/D&gt;&lt;/FQL&gt;&lt;FQL&gt;&lt;Q&gt;PCOR-US^PERCENT_CHANGE(FE_VALUATION(FFEV_EBITDA,MEAN,NTMA,,0,,,''),MAX(FE_VALUATION(FFEV_EBITDA,MEAN,NTMA,,-1AY,0,,'')))&lt;/Q&gt;&lt;R&gt;1&lt;/R&gt;&lt;C&gt;1&lt;/C&gt;&lt;D xsi:type="xsd:double"&gt;-57.4322333713446&lt;/D&gt;&lt;/FQL&gt;&lt;FQL&gt;&lt;Q&gt;PCOR-US^PERCENT_CHANGE(FE_VALUATION(PE,MEAN,NTMA,,0,,,''),MAX(FE_VALUATION(PE,MEAN,NTMA,,-1AY,0,,'')))&lt;/Q&gt;&lt;R&gt;1&lt;/R&gt;&lt;C&gt;1&lt;/C&gt;&lt;D xsi:type="xsd:double"&gt;-56.2793289552875&lt;/D&gt;&lt;/FQL&gt;&lt;FQL&gt;&lt;Q&gt;PCOR-US^FE_VALUATION(FFEV_EBITDA,MEAN,NTMA,,0,,,'')&lt;/Q&gt;&lt;R&gt;1&lt;/R&gt;&lt;C&gt;1&lt;/C&gt;&lt;D xsi:type="xsd:double"&gt;18.26477&lt;/D&gt;&lt;/FQL&gt;&lt;FQL&gt;&lt;Q&gt;PCOR-US^FE_VALUATION(FFEV_SALES,MEAN,NTMA,,0,,,'')&lt;/Q&gt;&lt;R&gt;1&lt;/R&gt;&lt;C&gt;1&lt;/C&gt;&lt;D xsi:type="xsd:double"&gt;4.5630727&lt;/D&gt;&lt;/FQL&gt;&lt;FQL&gt;&lt;Q&gt;PCOR-US^FE_VALUATION(P_SALESPS,MEAN,NTMA,,0,,,'')&lt;/Q&gt;&lt;R&gt;1&lt;/R&gt;&lt;C&gt;1&lt;/C&gt;&lt;D xsi:type="xsd:double"&gt;5.194592&lt;/D&gt;&lt;/FQL&gt;&lt;FQL&gt;&lt;Q&gt;PCOR-US^FE_VALUATION(PE,MEAN,NTMA,,0,,,'')&lt;/Q&gt;&lt;R&gt;1&lt;/R&gt;&lt;C&gt;1&lt;/C&gt;&lt;D xsi:type="xsd:double"&gt;27.195677&lt;/D&gt;&lt;/FQL&gt;&lt;FQL&gt;&lt;Q&gt;PCOR-US^FE_ACTUAL(ACTUAL,SALES,ANN_ROLL,0,,,,'CURRENCY=USD')&lt;/Q&gt;&lt;R&gt;1&lt;/R&gt;&lt;C&gt;1&lt;/C&gt;&lt;D xsi:type="xsd:double"&gt;1322.509&lt;/D&gt;&lt;/FQL&gt;&lt;FQL&gt;&lt;Q&gt;PCOR-US^FE_ACTUAL(ACTUAL,SALES,ANN_ROLL,-1,,,,'CURRENCY=USD')&lt;/Q&gt;&lt;R&gt;1&lt;/R&gt;&lt;C&gt;1&lt;/C&gt;&lt;D xsi:type="xsd:double"&gt;1151.708&lt;/D&gt;&lt;/FQL&gt;&lt;FQL&gt;&lt;Q&gt;PCOR-US^FE_VALUATION(EBITDA_MARGIN,MEAN,ANN_ROLL,0,NOW,,,'')&lt;/Q&gt;&lt;R&gt;1&lt;/R&gt;&lt;C&gt;1&lt;/C&gt;&lt;D xsi:type="xsd:double"&gt;21.153782&lt;/D&gt;&lt;/FQL&gt;&lt;FQL&gt;&lt;Q&gt;PCOR-US^FE_VALUATION(ROIC,MEAN,NTMA,,0,,,'')&lt;/Q&gt;&lt;R&gt;1&lt;/R&gt;&lt;C&gt;1&lt;/C&gt;&lt;D xsi:type="xsd:double"&gt;19.590345&lt;/D&gt;&lt;/FQL&gt;&lt;FQL&gt;&lt;Q&gt;PCOR-US^FE_VALUATION(ROE,MEAN,NTMA,,0,,,'')&lt;/Q&gt;&lt;R&gt;1&lt;/R&gt;&lt;C&gt;1&lt;/C&gt;&lt;D xsi:type="xsd:double"&gt;19.207016&lt;/D&gt;&lt;/FQL&gt;&lt;FQL&gt;&lt;Q&gt;PCOR-US^FE_VALUATION(DIV_YLD,MEAN,NTMA,,NOW,,,'')&lt;/Q&gt;&lt;R&gt;1&lt;/R&gt;&lt;C&gt;1&lt;/C&gt;&lt;D xsi:type="xsd:double"&gt;0&lt;/D&gt;&lt;/FQL&gt;&lt;FQL&gt;&lt;Q&gt;PCOR-US^FE_VALUATION(MCAP_FCF,MEAN,NTMA,,NOW,,,'')&lt;/Q&gt;&lt;R&gt;1&lt;/R&gt;&lt;C&gt;1&lt;/C&gt;&lt;D xsi:type="xsd:double"&gt;3.717819&lt;/D&gt;&lt;/FQL&gt;&lt;FQL&gt;&lt;Q&gt;PCOR-US^FE_VALUATION(NETDEBT_EBITDA,MEAN,NTMA,,NOW,,,'')&lt;/Q&gt;&lt;R&gt;1&lt;/R&gt;&lt;C&gt;1&lt;/C&gt;&lt;D xsi:type="xsd:double"&gt;-2.4706285&lt;/D&gt;&lt;/FQL&gt;&lt;FQL&gt;&lt;Q&gt;PCOR-US^FF_NET_MGN(LTM_R,0)&lt;/Q&gt;&lt;R&gt;1&lt;/R&gt;&lt;C&gt;1&lt;/C&gt;&lt;D xsi:type="xsd:double"&gt;-7.62059086176351&lt;/D&gt;&lt;/FQL&gt;&lt;FQL&gt;&lt;Q&gt;PCOR-US^FF_EBITDA_OPER_MGN(LTM_R,0)&lt;/Q&gt;&lt;R&gt;1&lt;/R&gt;&lt;C&gt;1&lt;/C&gt;&lt;D xsi:type="xsd:double"&gt;-0.543663596996315&lt;/D&gt;&lt;/FQL&gt;&lt;FQL&gt;&lt;Q&gt;PCOR-US^FF_GROSS_MGN(LTM_R,0)&lt;/Q&gt;&lt;R&gt;1&lt;/R&gt;&lt;C&gt;1&lt;/C&gt;&lt;D xsi:type="xsd:double"&gt;78.4378783055541&lt;/D&gt;&lt;/FQL&gt;&lt;FQL&gt;&lt;Q&gt;PCOR-US^POW(FE_ESTIMATE(EPS,MEAN,STMA,,NOW,,,'CURRENCY=USD')/FE_ESTIMATE(EPS,MEAN,LTMA,,NOW,,,'CURRENCY=USD'),0.5)-1&lt;/Q&gt;&lt;R&gt;1&lt;/R&gt;&lt;C&gt;1&lt;/C&gt;&lt;D xsi:type="xsd:double"&gt;0.280792801353911&lt;/D&gt;&lt;/FQL&gt;&lt;FQL&gt;&lt;Q&gt;PCOR-US^POW(FE_ESTIMATE(SALES,MEAN,STMA,,NOW,,,'CURRENCY=USD')/FE_ESTIMATE(SALES,MEAN,LTMA,,NOW,,,'CURRENCY=USD'),0.5)-1&lt;/Q&gt;&lt;R&gt;1&lt;/R&gt;&lt;C&gt;1&lt;/C&gt;&lt;D xsi:type="xsd:double"&gt;0.131437139217199&lt;/D&gt;&lt;/FQL&gt;&lt;FQL&gt;&lt;Q&gt;PCOR-US^FE_ACTUAL(ACTUAL,EPS,ANN_ROLL,0,,,,'CURRENCY=USD')&lt;/Q&gt;&lt;R&gt;1&lt;/R&gt;&lt;C&gt;1&lt;/C&gt;&lt;D xsi:type="xsd:double"&gt;1.36&lt;/D&gt;&lt;/FQL&gt;&lt;FQL&gt;&lt;Q&gt;PCOR-US^OS_SEC_FLT_PCT(0D,,MTD,SEC)&lt;/Q&gt;&lt;R&gt;1&lt;/R&gt;&lt;C&gt;1&lt;/C&gt;&lt;D xsi:type="xsd:double"&gt;80.4174&lt;/D&gt;&lt;/FQL&gt;&lt;FQL&gt;&lt;Q&gt;PCOR-US^AVG(P_VOLUME_FRQ(-1AM,NOW,D,,6))*P_PRICE_AVG(-1AM,NOW,,USD)&lt;/Q&gt;&lt;R&gt;1&lt;/R&gt;&lt;C&gt;1&lt;/C&gt;&lt;D xsi:type="xsd:double"&gt;176.849295034213&lt;/D&gt;&lt;/FQL&gt;&lt;FQL&gt;&lt;Q&gt;PCOR-US^FCS_EV_DAILY(MV,NOW,,,USD,M)&lt;/Q&gt;&lt;R&gt;1&lt;/R&gt;&lt;C&gt;1&lt;/C&gt;&lt;D xsi:type="xsd:double"&gt;8415.60433891&lt;/D&gt;&lt;/FQL&gt;&lt;FQL&gt;&lt;Q&gt;PCOR-US^P_DCOUNTRY&lt;/Q&gt;&lt;R&gt;1&lt;/R&gt;&lt;C&gt;1&lt;/C&gt;&lt;D xsi:type="xsd:string"&gt;UNITED STATES&lt;/D&gt;&lt;/FQL&gt;&lt;FQL&gt;&lt;Q&gt;PCOR-US^FR_RBICS_NAME_CURR("IND")&lt;/Q&gt;&lt;R&gt;1&lt;/R&gt;&lt;C&gt;1&lt;/C&gt;&lt;D xsi:type="xsd:string"&gt;Other Real Estate Investment and Services&lt;/D&gt;&lt;/FQL&gt;&lt;FQL&gt;&lt;Q&gt;BL-US^FE_RATING(MEAN,TEXTONLY,0,NOW,,,'')&lt;/Q&gt;&lt;R&gt;1&lt;/R&gt;&lt;C&gt;1&lt;/C&gt;&lt;D xsi:type="xsd:string"&gt;Overweight&lt;/D&gt;&lt;/FQL&gt;&lt;FQL&gt;&lt;Q&gt;BL-US^FG_PRICE(0,,,USD)/FG_PRICE_MAVG(0,,,USD,200)&lt;/Q&gt;&lt;R&gt;1&lt;/R&gt;&lt;C&gt;1&lt;/C&gt;&lt;D xsi:type="xsd:double"&gt;0.608371005441965&lt;/D&gt;&lt;/FQL&gt;&lt;FQL&gt;&lt;Q&gt;BL-US^FG_PRICE(0,,,USD)/FG_PRICE_MAVG(0,,,USD,100)&lt;/Q&gt;&lt;R&gt;1&lt;/R&gt;&lt;C&gt;1&lt;/C&gt;&lt;D xsi:type="xsd:double"&gt;0.621655875622946&lt;/D&gt;&lt;/FQL&gt;&lt;FQL&gt;&lt;Q&gt;BL-US^FG_PRICE(0,,,USD)/FG_PRICE_MAVG(0,,,USD,50)&lt;/Q&gt;&lt;R&gt;1&lt;/R&gt;&lt;C&gt;1&lt;/C&gt;&lt;D xsi:type="xsd:double"&gt;0.647089490168299&lt;/D&gt;&lt;/FQL&gt;&lt;FQL&gt;&lt;Q&gt;BL-US^RTP_PRICE_TARGET(USD)/FG_PRICE(0,,,USD)&lt;/Q&gt;&lt;R&gt;1&lt;/R&gt;&lt;C&gt;1&lt;/C&gt;&lt;D xsi:type="xsd:double"&gt;1.71728637761378&lt;/D&gt;&lt;/FQL&gt;&lt;FQL&gt;&lt;Q&gt;BL-US^FG_PRICE(0,,,USD)/P_PRICE_HIGH(-1AY,0,USD,,,"PRICE","INTRA")&lt;/Q&gt;&lt;R&gt;1&lt;/R&gt;&lt;C&gt;1&lt;/C&gt;&lt;D xsi:type="xsd:double"&gt;0.545912371999329&lt;/D&gt;&lt;/FQL&gt;&lt;FQL&gt;&lt;Q&gt;BL-US^PERCENT_CHANGE(FE_VALUATION(FFEV_EBITDA,MEAN,NTMA,,0,,,''),MAX(FE_VALUATION(FFEV_EBITDA,MEAN,NTMA,,-1AY,0,,'')))&lt;/Q&gt;&lt;R&gt;1&lt;/R&gt;&lt;C&gt;1&lt;/C&gt;&lt;D xsi:type="xsd:double"&gt;-47.4219386621889&lt;/D&gt;&lt;/FQL&gt;&lt;FQL&gt;&lt;Q&gt;BL-US^PERCENT_CHANGE(FE_VALUATION(PE,MEAN,NTMA,,0,,,''),MAX(FE_VALUATION(PE,MEAN,NTMA,,-1AY,0,,'')))&lt;/Q&gt;&lt;R&gt;1&lt;/R&gt;&lt;C&gt;1&lt;/C&gt;&lt;D xsi:type="xsd:double"&gt;-49.8806884843862&lt;/D&gt;&lt;/FQL&gt;&lt;FQL&gt;&lt;Q&gt;BL-US^FE_VALUATION(FFEV_EBITDA,MEAN,NTMA,,0,,,'')&lt;/Q&gt;&lt;R&gt;1&lt;/R&gt;&lt;C&gt;1&lt;/C&gt;&lt;D xsi:type="xsd:double"&gt;10.363648&lt;/D&gt;&lt;/FQL&gt;&lt;FQL&gt;&lt;Q&gt;BL-US^FE_VALUATION(FFEV_SALES,MEAN,NTMA,,0,,,'')&lt;/Q&gt;&lt;R&gt;1&lt;/R&gt;&lt;C&gt;1&lt;/C&gt;&lt;D xsi:type="xsd:double"&gt;2.9868524&lt;/D&gt;&lt;/FQL&gt;&lt;FQL&gt;&lt;Q&gt;BL-US^FE_VALUATION(P_SALESPS,MEAN,NTMA,,0,,,'')&lt;/Q&gt;&lt;R&gt;1&lt;/R&gt;&lt;C&gt;1&lt;/C&gt;&lt;D xsi:type="xsd:double"&gt;2.4851265&lt;/D&gt;&lt;/FQL&gt;&lt;FQL&gt;&lt;Q&gt;BL-US^FE_VALUATION(PE,MEAN,NTMA,,0,,,'')&lt;/Q&gt;&lt;R&gt;1&lt;/R&gt;&lt;C&gt;1&lt;/C&gt;&lt;D xsi:type="xsd:double"&gt;13.24694&lt;/D&gt;&lt;/FQL&gt;&lt;FQL&gt;&lt;Q&gt;BL-US^FE_ACTUAL(ACTUAL,SALES,ANN_ROLL,0,,,,'CURRENCY=USD')&lt;/Q&gt;&lt;R&gt;1&lt;/R&gt;&lt;C&gt;1&lt;/C&gt;&lt;D xsi:type="xsd:double"&gt;700.427&lt;/D&gt;&lt;/FQL&gt;&lt;FQL&gt;&lt;Q&gt;BL-US^FE_ACTUAL(ACTUAL,SALES,ANN_ROLL,-1,,,,'CURRENCY=USD')&lt;/Q&gt;&lt;R&gt;1&lt;/R&gt;&lt;C&gt;1&lt;/C&gt;&lt;D xsi:type="xsd:double"&gt;653.336&lt;/D&gt;&lt;/FQL&gt;&lt;FQL&gt;&lt;Q&gt;BL-US^FE_VALUATION(EBITDA_MARGIN,MEAN,ANN_ROLL,0,NOW,,,'')&lt;/Q&gt;&lt;R&gt;1&lt;/R&gt;&lt;C&gt;1&lt;/C&gt;&lt;D xsi:type="xsd:double"&gt;27.521355&lt;/D&gt;&lt;/FQL&gt;&lt;FQL&gt;&lt;Q&gt;BL-US^FE_VALUATION(ROIC,MEAN,NTMA,,0,,,'')&lt;/Q&gt;&lt;R&gt;1&lt;/R&gt;&lt;C&gt;1&lt;/C&gt;&lt;D xsi:type="xsd:double"&gt;24.307358&lt;/D&gt;&lt;/FQL&gt;&lt;FQL&gt;&lt;Q&gt;BL-US^FE_VALUATION(ROE,MEAN,NTMA,,0,,,'')&lt;/Q&gt;&lt;R&gt;1&lt;/R&gt;&lt;C&gt;1&lt;/C&gt;&lt;D xsi:type="xsd:double"&gt;29.60113&lt;/D&gt;&lt;/FQL&gt;&lt;FQL&gt;&lt;Q&gt;BL-US^FE_VALUATION(DIV_YLD,MEAN,NTMA,,NOW,,,'')&lt;/Q&gt;&lt;R&gt;1&lt;/R&gt;&lt;C&gt;1&lt;/C&gt;&lt;D xsi:type="xsd:double"&gt;0&lt;/D&gt;&lt;/FQL&gt;&lt;FQL&gt;&lt;Q&gt;BL-US^FE_VALUATION(MCAP_FCF,MEAN,NTMA,,NOW,,,'')&lt;/Q&gt;&lt;R&gt;1&lt;/R&gt;&lt;C&gt;1&lt;/C&gt;&lt;D xsi:type="xsd:double"&gt;8.857891&lt;/D&gt;&lt;/FQL&gt;&lt;FQL&gt;&lt;Q&gt;BL-US^FE_VALUATION(NETDEBT_EBITDA,MEAN,NTMA,,NOW,,,'')&lt;/Q&gt;&lt;R&gt;1&lt;/R&gt;&lt;C&gt;1&lt;/C&gt;&lt;D xsi:type="xsd:double"&gt;-0.3382443&lt;/D&gt;&lt;/FQL&gt;&lt;FQL&gt;&lt;Q&gt;BL-US^FF_NET_MGN(LTM_R,0)&lt;/Q&gt;&lt;R&gt;1&lt;/R&gt;&lt;C&gt;1&lt;/C&gt;&lt;D xsi:type="xsd:double"&gt;3.5004361625123&lt;/D&gt;&lt;/FQL&gt;&lt;FQL&gt;&lt;Q&gt;BL-US^FF_EBITDA_OPER_MGN(LTM_R,0)&lt;/Q&gt;&lt;R&gt;1&lt;/R&gt;&lt;C&gt;1&lt;/C&gt;&lt;D xsi:type="xsd:double"&gt;12.6395755731861&lt;/D&gt;&lt;/FQL&gt;&lt;FQL&gt;&lt;Q&gt;BL-US^FF_GROSS_MGN(LTM_R,0)&lt;/Q&gt;&lt;R&gt;1&lt;/R&gt;&lt;C&gt;1&lt;/C&gt;&lt;D xsi:type="xsd:double"&gt;75.2082658149957&lt;/D&gt;&lt;/FQL&gt;&lt;FQL&gt;&lt;Q&gt;BL-US^POW(FE_ESTIMATE(EPS,MEAN,STMA,,NOW,,,'CURRENCY=USD')/FE_ESTIMATE(EPS,MEAN,LTMA,,NOW,,,'CURRENCY=USD'),0.5)-1&lt;/Q&gt;&lt;R&gt;1&lt;/R&gt;&lt;C&gt;1&lt;/C&gt;&lt;D xsi:type="xsd:double"&gt;0.143338794933505&lt;/D&gt;&lt;/FQL&gt;&lt;FQL&gt;&lt;Q&gt;BL-US^POW(FE_ESTIMATE(SALES,MEAN,STMA,,NOW,,,'CURRENCY=USD')/FE_ESTIMATE(SALES,MEAN,LTMA,,NOW,,,'CURRENCY=USD'),0.5)-1&lt;/Q&gt;&lt;R&gt;1&lt;/R&gt;&lt;C&gt;1&lt;/C&gt;&lt;D xsi:type="xsd:double"&gt;0.10399130431358&lt;/D&gt;&lt;/FQL&gt;&lt;FQL&gt;&lt;Q&gt;BL-US^FE_ACTUAL(ACTUAL,EPS,ANN_ROLL,0,,,,'CURRENCY=USD')&lt;/Q&gt;&lt;R&gt;1&lt;/R&gt;&lt;C&gt;1&lt;/C&gt;&lt;D xsi:type="xsd:double"&gt;2.13&lt;/D&gt;&lt;/FQL&gt;&lt;FQL&gt;&lt;Q&gt;BL-US^OS_SEC_FLT_PCT(0D,,MTD,SEC)&lt;/Q&gt;&lt;R&gt;1&lt;/R&gt;&lt;C&gt;1&lt;/C&gt;&lt;D xsi:type="xsd:double"&gt;81.2979&lt;/D&gt;&lt;/FQL&gt;&lt;FQL&gt;&lt;Q&gt;BL-US^AVG(P_VOLUME_FRQ(-1AM,NOW,D,,6))*P_PRICE_AVG(-1AM,NOW,,USD)&lt;/Q&gt;&lt;R&gt;1&lt;/R&gt;&lt;C&gt;1&lt;/C&gt;&lt;D xsi:type="xsd:double"&gt;65.7054422972708&lt;/D&gt;&lt;/FQL&gt;&lt;FQL&gt;&lt;Q&gt;BL-US^FCS_EV_DAILY(MV,NOW,,,USD,M)&lt;/Q&gt;&lt;R&gt;1&lt;/R&gt;&lt;C&gt;1&lt;/C&gt;&lt;D xsi:type="xsd:double"&gt;2075.18796336&lt;/D&gt;&lt;/FQL&gt;&lt;FQL&gt;&lt;Q&gt;BL-US^P_DCOUNTRY&lt;/Q&gt;&lt;R&gt;1&lt;/R&gt;&lt;C&gt;1&lt;/C&gt;&lt;D xsi:type="xsd:string"&gt;UNITED STATES&lt;/D&gt;&lt;/FQL&gt;&lt;FQL&gt;&lt;Q&gt;BL-US^FR_RBICS_NAME_CURR("IND")&lt;/Q&gt;&lt;R&gt;1&lt;/R&gt;&lt;C&gt;1&lt;/C&gt;&lt;D xsi:type="xsd:string"&gt;Enterprise Resource Planning Software&lt;/D&gt;&lt;/FQL&gt;&lt;FQL&gt;&lt;Q&gt;CRM-US^FE_RATING(MEAN,TEXTONLY,0,NOW,,,'')&lt;/Q&gt;&lt;R&gt;1&lt;/R&gt;&lt;C&gt;1&lt;/C&gt;&lt;D xsi:type="xsd:string"&gt;Overweight&lt;/D&gt;&lt;/FQL&gt;&lt;FQL&gt;&lt;Q&gt;CRM-US^FG_PRICE(0,,,USD)/FG_PRICE_MAVG(0,,,USD,200)&lt;/Q&gt;&lt;R&gt;1&lt;/R&gt;&lt;C&gt;1&lt;/C&gt;&lt;D xsi:type="xsd:double"&gt;0.74627886890172&lt;/D&gt;&lt;/FQL&gt;&lt;FQL&gt;&lt;Q&gt;CRM-US^FG_PRICE(0,,,USD)/FG_PRICE_MAVG(0,,,USD,100)&lt;/Q&gt;&lt;R&gt;1&lt;/R&gt;&lt;C&gt;1&lt;/C&gt;&lt;D xsi:type="xsd:double"&gt;0.78182746583247&lt;/D&gt;&lt;/FQL&gt;&lt;FQL&gt;&lt;Q&gt;CRM-US^FG_PRICE(0,,,USD)/FG_PRICE_MAVG(0,,,USD,50)&lt;/Q&gt;&lt;R&gt;1&lt;/R&gt;&lt;C&gt;1&lt;/C&gt;&lt;D xsi:type="xsd:double"&gt;0.807704337174525&lt;/D&gt;&lt;/FQL&gt;&lt;FQL&gt;&lt;Q&gt;CRM-US^RTP_PRICE_TARGET(USD)/FG_PRICE(0,,,USD)&lt;/Q&gt;&lt;R&gt;1&lt;/R&gt;&lt;C&gt;1&lt;/C&gt;&lt;D xsi:type="xsd:double"&gt;1.64537320677381&lt;/D&gt;&lt;/FQL&gt;&lt;FQL&gt;&lt;Q&gt;CRM-US^FG_PRICE(0,,,USD)/P_PRICE_HIGH(-1AY,0,USD,,,"PRICE","INTRA")&lt;/Q&gt;&lt;R&gt;1&lt;/R&gt;&lt;C&gt;1&lt;/C&gt;&lt;D xsi:type="xsd:double"&gt;0.591074274784826&lt;/D&gt;&lt;/FQL&gt;&lt;FQL&gt;&lt;Q&gt;CRM-US^PERCENT_CHANGE(FE_VALUATION(FFEV_EBITDA,MEAN,NTMA,,0,,,''),MAX(FE_VALUATION(FFEV_EBITDA,MEAN,NTMA,,-1AY,0,,'')))&lt;/Q&gt;&lt;R&gt;1&lt;/R&gt;&lt;C&gt;1&lt;/C&gt;&lt;D xsi:type="xsd:double"&gt;-48.3249060621636&lt;/D&gt;&lt;/FQL&gt;&lt;FQL&gt;&lt;Q&gt;CRM-US^PERCENT_CHANGE(FE_VALUATION(PE,MEAN,NTMA,,0,,,''),MAX(FE_VALUATION(PE,MEAN,NTMA,,-1AY,0,,'')))&lt;/Q&gt;&lt;R&gt;1&lt;/R&gt;&lt;C&gt;1&lt;/C&gt;&lt;D xsi:type="xsd:double"&gt;-48.7669878467785&lt;/D&gt;&lt;/FQL&gt;&lt;FQL&gt;&lt;Q&gt;CRM-US^FE_VALUATION(FFEV_EBITDA,MEAN,NTMA,,0,,,'')&lt;/Q&gt;&lt;R&gt;1&lt;/R&gt;&lt;C&gt;1&lt;/C&gt;&lt;D xsi:type="xsd:double"&gt;9.217456&lt;/D&gt;&lt;/FQL&gt;&lt;FQL&gt;&lt;Q&gt;CRM-US^FE_VALUATION(FFEV_SALES,MEAN,NTMA,,0,,,'')&lt;/Q&gt;&lt;R&gt;1&lt;/R&gt;&lt;C&gt;1&lt;/C&gt;&lt;D xsi:type="xsd:double"&gt;3.8118722&lt;/D&gt;&lt;/FQL&gt;&lt;FQL&gt;&lt;Q&gt;CRM-US^FE_VALUATION(P_SALESPS,MEAN,NTMA,,0,,,'')&lt;/Q&gt;&lt;R&gt;1&lt;/R&gt;&lt;C&gt;1&lt;/C&gt;&lt;D xsi:type="xsd:double"&gt;3.7451916&lt;/D&gt;&lt;/FQL&gt;&lt;FQL&gt;&lt;Q&gt;CRM-US^FE_VALUATION(PE,MEAN,NTMA,,0,,,'')&lt;/Q&gt;&lt;R&gt;1&lt;/R&gt;&lt;C&gt;1&lt;/C&gt;&lt;D xsi:type="xsd:double"&gt;13.971059&lt;/D&gt;&lt;/FQL&gt;&lt;FQL&gt;&lt;Q&gt;CRM-US^FE_ACTUAL(ACTUAL,SALES,ANN_ROLL,0,,,,'CURRENCY=USD')&lt;/Q&gt;&lt;R&gt;1&lt;/R&gt;&lt;C&gt;1&lt;/C&gt;&lt;D xsi:type="xsd:double"&gt;37895&lt;/D&gt;&lt;/FQL&gt;&lt;FQL&gt;&lt;Q&gt;CRM-US^FE_ACTUAL(ACTUAL,SALES,ANN_ROLL,-1,,,,'CURRENCY=USD')&lt;/Q&gt;&lt;R&gt;1&lt;/R&gt;&lt;C&gt;1&lt;/C&gt;&lt;D xsi:type="xsd:double"&gt;34857&lt;/D&gt;&lt;/FQL&gt;&lt;FQL&gt;&lt;Q&gt;CRM-US^FE_VALUATION(EBITDA_MARGIN,MEAN,ANN_ROLL,0,NOW,,,'')&lt;/Q&gt;&lt;R&gt;1&lt;/R&gt;&lt;C&gt;1&lt;/C&gt;&lt;D xsi:type="xsd:double"&gt;40.513073&lt;/D&gt;&lt;/FQL&gt;&lt;FQL&gt;&lt;Q&gt;CRM-US^FE_VALUATION(ROIC,MEAN,NTMA,,0,,,'')&lt;/Q&gt;&lt;R&gt;1&lt;/R&gt;&lt;C&gt;1&lt;/C&gt;&lt;D xsi:type="xsd:double"&gt;16.227156&lt;/D&gt;&lt;/FQL&gt;&lt;FQL&gt;&lt;Q&gt;CRM-US^FE_VALUATION(ROE,MEAN,NTMA,,0,,,'')&lt;/Q&gt;&lt;R&gt;1&lt;/R&gt;&lt;C&gt;1&lt;/C&gt;&lt;D xsi:type="xsd:double"&gt;17.975779&lt;/D&gt;&lt;/FQL&gt;&lt;FQL&gt;&lt;Q&gt;CRM-US^FE_VALUATION(DIV_YLD,MEAN,NTMA,,NOW,,,'')&lt;/Q&gt;&lt;R&gt;1&lt;/R&gt;&lt;C&gt;1&lt;/C&gt;&lt;D xsi:type="xsd:double"&gt;0.5473147&lt;/D&gt;&lt;/FQL&gt;&lt;FQL&gt;&lt;Q&gt;CRM-US^FE_VALUATION(MCAP_FCF,MEAN,NTMA,,NOW,,,'')&lt;/Q&gt;&lt;R&gt;1&lt;/R&gt;&lt;C&gt;1&lt;/C&gt;&lt;D xsi:type="xsd:double"&gt;8.976283&lt;/D&gt;&lt;/FQL&gt;&lt;FQL&gt;&lt;Q&gt;CRM-US^FE_VALUATION(NETDEBT_EBITDA,MEAN,NTMA,,NOW,,,'')&lt;/Q&gt;&lt;R&gt;1&lt;/R&gt;&lt;C&gt;1&lt;/C&gt;&lt;D xsi:type="xsd:double"&gt;-0.85852844&lt;/D&gt;&lt;/FQL&gt;&lt;FQL&gt;&lt;Q&gt;CRM-US^FF_NET_MGN(LTM_R,0)&lt;/Q&gt;&lt;R&gt;1&lt;/R&gt;&lt;C&gt;1&lt;/C&gt;&lt;D xsi:type="xsd:double"&gt;17.9130391646204&lt;/D&gt;&lt;/FQL&gt;&lt;FQL&gt;&lt;Q&gt;CRM-US^FF_EBITDA_OPER_MGN(LTM_R,0)&lt;/Q&gt;&lt;R&gt;1&lt;/R&gt;&lt;C&gt;1&lt;/C&gt;&lt;D xsi:type="xsd:double"&gt;30.4288513530273&lt;/D&gt;&lt;/FQL&gt;&lt;FQL&gt;&lt;Q&gt;CRM-US^FF_GROSS_MGN(LTM_R,0)&lt;/Q&gt;&lt;R&gt;1&lt;/R&gt;&lt;C&gt;1&lt;/C&gt;&lt;D xsi:type="xsd:double"&gt;75.4346801597341&lt;/D&gt;&lt;/FQL&gt;&lt;FQL&gt;&lt;Q&gt;CRM-US^POW(FE_ESTIMATE(EPS,MEAN,STMA,,NOW,,,'CURRENCY=USD')/FE_ESTIMATE(EPS,MEAN,LTMA,,NOW,,,'CURRENCY=USD'),0.5)-1&lt;/Q&gt;&lt;R&gt;1&lt;/R&gt;&lt;C&gt;1&lt;/C&gt;&lt;D xsi:type="xsd:double"&gt;0.134051894756144&lt;/D&gt;&lt;/FQL&gt;&lt;FQL&gt;&lt;Q&gt;CRM-US^POW(FE_ESTIMATE(SALES,MEAN,STMA,,NOW,,,'CURRENCY=USD')/FE_ESTIMATE(SALES,MEAN,LTMA,,NOW,,,'CURRENCY=USD'),0.5)-1&lt;/Q&gt;&lt;R&gt;1&lt;/R&gt;&lt;C&gt;1&lt;/C&gt;&lt;D xsi:type="xsd:double"&gt;0.101865463656975&lt;/D&gt;&lt;/FQL&gt;&lt;FQL&gt;&lt;Q&gt;CRM-US^FE_ACTUAL(ACTUAL,EPS,ANN_ROLL,0,,,,'CURRENCY=USD')&lt;/Q&gt;&lt;R&gt;1&lt;/R&gt;&lt;C&gt;1&lt;/C&gt;&lt;D xsi:type="xsd:double"&gt;10.2&lt;/D&gt;&lt;/FQL&gt;&lt;FQL&gt;&lt;Q&gt;CRM-US^OS_SEC_FLT_PCT(0D,,MTD,SEC)&lt;/Q&gt;&lt;R&gt;1&lt;/R&gt;&lt;C&gt;1&lt;/C&gt;&lt;D xsi:type="xsd:double"&gt;97.3371&lt;/D&gt;&lt;/FQL&gt;&lt;FQL&gt;&lt;Q&gt;CRM-US^AVG(P_VOLUME_FRQ(-1AM,NOW,D,,6))*P_PRICE_AVG(-1AM,NOW,,USD)&lt;/Q&gt;&lt;R&gt;1&lt;/R&gt;&lt;C&gt;1&lt;/C&gt;&lt;D xsi:type="xsd:double"&gt;2589.93009513821&lt;/D&gt;&lt;/FQL&gt;&lt;FQL&gt;&lt;Q&gt;CRM-US^FCS_EV_DAILY(MV,NOW,,,USD,M)&lt;/Q&gt;&lt;R&gt;1&lt;/R&gt;&lt;C&gt;1&lt;/C&gt;&lt;D xsi:type="xsd:double"&gt;178559.46&lt;/D&gt;&lt;/FQL&gt;&lt;FQL&gt;&lt;Q&gt;CRM-US^P_DCOUNTRY&lt;/Q&gt;&lt;R&gt;1&lt;/R&gt;&lt;C&gt;1&lt;/C&gt;&lt;D xsi:type="xsd:string"&gt;UNITED STATES&lt;/D&gt;&lt;/FQL&gt;&lt;FQL&gt;&lt;Q&gt;CRM-US^FR_RBICS_NAME_CURR("IND")&lt;/Q&gt;&lt;R&gt;1&lt;/R&gt;&lt;C&gt;1&lt;/C&gt;&lt;D xsi:type="xsd:string"&gt;Customer Relationship Management Software&lt;/D&gt;&lt;/FQL&gt;&lt;FQL&gt;&lt;Q&gt;PAYC-US^FE_RATING(MEAN,TEXTONLY,0,NOW,,,'')&lt;/Q&gt;&lt;R&gt;1&lt;/R&gt;&lt;C&gt;1&lt;/C&gt;&lt;D xsi:type="xsd:string"&gt;Overweight&lt;/D&gt;&lt;/FQL&gt;&lt;FQL&gt;&lt;Q&gt;PAYC-US^FG_PRICE(0,,,USD)/FG_PRICE_MAVG(0,,,USD,200)&lt;/Q&gt;&lt;R&gt;1&lt;/R&gt;&lt;C&gt;1&lt;/C&gt;&lt;D xsi:type="xsd:double"&gt;0.60000226245197&lt;/D&gt;&lt;/FQL&gt;&lt;FQL&gt;&lt;Q&gt;PAYC-US^FG_PRICE(0,,,USD)/FG_PRICE_MAVG(0,,,USD,100)&lt;/Q&gt;&lt;R&gt;1&lt;/R&gt;&lt;C&gt;1&lt;/C&gt;&lt;D xsi:type="xsd:double"&gt;0.730828161686086&lt;/D&gt;&lt;/FQL&gt;&lt;FQL&gt;&lt;Q&gt;PAYC-US^FG_PRICE(0,,,USD)/FG_PRICE_MAVG(0,,,USD,50)&lt;/Q&gt;&lt;R&gt;1&lt;/R&gt;&lt;C&gt;1&lt;/C&gt;&lt;D xsi:type="xsd:double"&gt;0.820935153414578&lt;/D&gt;&lt;/FQL&gt;&lt;FQL&gt;&lt;Q&gt;PAYC-US^RTP_PRICE_TARGET(USD)/FG_PRICE(0,,,USD)&lt;/Q&gt;&lt;R&gt;1&lt;/R&gt;&lt;C&gt;1&lt;/C&gt;&lt;D xsi:type="xsd:double"&gt;1.22898164906988&lt;/D&gt;&lt;/FQL&gt;&lt;FQL&gt;&lt;Q&gt;PAYC-US^FG_PRICE(0,,,USD)/P_PRICE_HIGH(-1AY,0,USD,,,"PRICE","INTRA")&lt;/Q&gt;&lt;R&gt;1&lt;/R&gt;&lt;C&gt;1&lt;/C&gt;&lt;D xsi:type="xsd:double"&gt;0.445697639677323&lt;/D&gt;&lt;/FQL&gt;&lt;FQL&gt;&lt;Q&gt;PAYC-US^PERCENT_CHANGE(FE_VALUATION(FFEV_EBITDA,MEAN,NTMA,,0,,,''),MAX(FE_VALUATION(FFEV_EBITDA,MEAN,NTMA,,-1AY,0,,'')))&lt;/Q&gt;&lt;R&gt;1&lt;/R&gt;&lt;C&gt;1&lt;/C&gt;&lt;D xsi:type="xsd:double"&gt;-59.6108235013787&lt;/D&gt;&lt;/FQL&gt;&lt;FQL&gt;&lt;Q&gt;PAYC-US^PERCENT_CHANGE(FE_VALUATION(PE,MEAN,NTMA,,0,,,''),MAX(FE_VALUATION(PE,MEAN,NTMA,,-1AY,0,,'')))&lt;/Q&gt;&lt;R&gt;1&lt;/R&gt;&lt;C&gt;1&lt;/C&gt;&lt;D xsi:type="xsd:double"&gt;-59.467502027918&lt;/D&gt;&lt;/FQL&gt;&lt;FQL&gt;&lt;Q&gt;PAYC-US^FE_VALUATION(FFEV_EBITDA,MEAN,NTMA,,0,,,'')&lt;/Q&gt;&lt;R&gt;1&lt;/R&gt;&lt;C&gt;1&lt;/C&gt;&lt;D xsi:type="xsd:double"&gt;6.590247&lt;/D&gt;&lt;/FQL&gt;&lt;FQL&gt;&lt;Q&gt;PAYC-US^FE_VALUATION(FFEV_SALES,MEAN,NTMA,,0,,,'')&lt;/Q&gt;&lt;R&gt;1&lt;/R&gt;&lt;C&gt;1&lt;/C&gt;&lt;D xsi:type="xsd:double"&gt;2.9008596&lt;/D&gt;&lt;/FQL&gt;&lt;FQL&gt;&lt;Q&gt;PAYC-US^FE_VALUATION(P_SALESPS,MEAN,NTMA,,0,,,'')&lt;/Q&gt;&lt;R&gt;1&lt;/R&gt;&lt;C&gt;1&lt;/C&gt;&lt;D xsi:type="xsd:double"&gt;2.9279852&lt;/D&gt;&lt;/FQL&gt;&lt;FQL&gt;&lt;Q&gt;PAYC-US^FE_VALUATION(PE,MEAN,NTMA,,0,,,'')&lt;/Q&gt;&lt;R&gt;1&lt;/R&gt;&lt;C&gt;1&lt;/C&gt;&lt;D xsi:type="xsd:double"&gt;11.483673&lt;/D&gt;&lt;/FQL&gt;&lt;FQL&gt;&lt;Q&gt;PAYC-US^FE_ACTUAL(ACTUAL,SALES,ANN_ROLL,0,,,,'CURRENCY=USD')&lt;/Q&gt;&lt;R&gt;1&lt;/R&gt;&lt;C&gt;1&lt;/C&gt;&lt;D xsi:type="xsd:double"&gt;2051.7&lt;/D&gt;&lt;/FQL&gt;&lt;FQL&gt;&lt;Q&gt;PAYC-US^FE_ACTUAL(ACTUAL,SALES,ANN_ROLL,-1,,,,'CURRENCY=USD')&lt;/Q&gt;&lt;R&gt;1&lt;/R&gt;&lt;C&gt;1&lt;/C&gt;&lt;D xsi:type="xsd:double"&gt;1883.2&lt;/D&gt;&lt;/FQL&gt;&lt;FQL&gt;&lt;Q&gt;PAYC-US^FE_VALUATION(EBITDA_MARGIN,MEAN,ANN_ROLL,0,NOW,,,'')&lt;/Q&gt;&lt;R&gt;1&lt;/R&gt;&lt;C&gt;1&lt;/C&gt;&lt;D xsi:type="xsd:double"&gt;43.00336&lt;/D&gt;&lt;/FQL&gt;&lt;FQL&gt;&lt;Q&gt;PAYC-US^FE_VALUATION(ROIC,MEAN,NTMA,,0,,,'')&lt;/Q&gt;&lt;R&gt;1&lt;/R&gt;&lt;C&gt;1&lt;/C&gt;&lt;D xsi:type="xsd:double"&gt;26.904764&lt;/D&gt;&lt;/FQL&gt;&lt;FQL&gt;&lt;Q&gt;PAYC-US^FE_VALUATION(ROE,MEAN,NTMA,,0,,,'')&lt;/Q&gt;&lt;R&gt;1&lt;/R&gt;&lt;C&gt;1&lt;/C&gt;&lt;D xsi:type="xsd:double"&gt;24.74314&lt;/D&gt;&lt;/FQL&gt;&lt;FQL&gt;&lt;Q&gt;PAYC-US^FE_VALUATION(DIV_YLD,MEAN,NTMA,,NOW,,,'')&lt;/Q&gt;&lt;R&gt;1&lt;/R&gt;&lt;C&gt;1&lt;/C&gt;&lt;D xsi:type="xsd:double"&gt;0.62845653&lt;/D&gt;&lt;/FQL&gt;&lt;FQL&gt;&lt;Q&gt;PAYC-US^FE_VALUATION(MCAP_FCF,MEAN,NTMA,,NOW,,,'')&lt;/Q&gt;&lt;R&gt;1&lt;/R&gt;&lt;C&gt;1&lt;/C&gt;&lt;D xsi:type="xsd:double"&gt;7.702363&lt;/D&gt;&lt;/FQL&gt;&lt;FQL&gt;&lt;Q&gt;PAYC-US^FE_VALUATION(NETDEBT_EBITDA,MEAN,NTMA,,NOW,,,'')&lt;/Q&gt;&lt;R&gt;1&lt;/R&gt;&lt;C&gt;1&lt;/C&gt;&lt;D xsi:type="xsd:double"&gt;-0.7860109&lt;/D&gt;&lt;/FQL&gt;&lt;FQL&gt;&lt;Q&gt;PAYC-US^FF_NET_MGN(LTM_R,0)&lt;/Q&gt;&lt;R&gt;1&lt;/R&gt;&lt;C&gt;1&lt;/C&gt;&lt;D xsi:type="xsd:double"&gt;22.0987473802213&lt;/D&gt;&lt;/FQL&gt;&lt;FQL&gt;&lt;Q&gt;PAYC-US^FF_EBITDA_OPER_MGN(LTM_R,0)&lt;/Q&gt;&lt;R&gt;1&lt;/R&gt;&lt;C&gt;1&lt;/C&gt;&lt;D xsi:type="xsd:double"&gt;40.8100599502851&lt;/D&gt;&lt;/FQL&gt;&lt;FQL&gt;&lt;Q&gt;PAYC-US^FF_GROSS_MGN(LTM_R,0)&lt;/Q&gt;&lt;R&gt;1&lt;/R&gt;&lt;C&gt;1&lt;/C&gt;&lt;D xsi:type="xsd:double"&gt;74.0166691036701&lt;/D&gt;&lt;/FQL&gt;&lt;FQL&gt;&lt;Q&gt;PAYC-US^POW(FE_ESTIMATE(EPS,MEAN,STMA,,NOW,,,'CURRENCY=USD')/FE_ESTIMATE(EPS,MEAN,LTMA,,NOW,,,'CURRENCY=USD'),0.5)-1&lt;/Q&gt;&lt;R&gt;1&lt;/R&gt;&lt;C&gt;1&lt;/C&gt;&lt;D xsi:type="xsd:double"&gt;0.106061435906704&lt;/D&gt;&lt;/FQL&gt;&lt;FQL&gt;&lt;Q&gt;PAYC-US^POW(FE_ESTIMATE(SALES,MEAN,STMA,,NOW,,,'CURRENCY=USD')/FE_ESTIMATE(SALES,MEAN,LTMA,,NOW,,,'CURRENCY=USD'),0.5)-1&lt;/Q&gt;&lt;R&gt;1&lt;/R&gt;&lt;C&gt;1&lt;/C&gt;&lt;D xsi:type="xsd:double"&gt;0.072093186248285&lt;/D&gt;&lt;/FQL&gt;&lt;FQL&gt;&lt;Q&gt;PAYC-US^FE_ACTUAL(ACTUAL,EPS,ANN_ROLL,0,,,,'CURRENCY=USD')&lt;/Q&gt;&lt;R&gt;1&lt;/R&gt;&lt;C&gt;1&lt;/C&gt;&lt;D xsi:type="xsd:double"&gt;9.24&lt;/D&gt;&lt;/FQL&gt;&lt;FQL&gt;&lt;Q&gt;PAYC-US^OS_SEC_FLT_PCT(0D,,MTD,SEC)&lt;/Q&gt;&lt;R&gt;1&lt;/R&gt;&lt;C&gt;1&lt;/C&gt;&lt;D xsi:type="xsd:double"&gt;87.6616&lt;/D&gt;&lt;/FQL&gt;&lt;FQL&gt;&lt;Q&gt;PAYC-US^AVG(P_VOLUME_FRQ(-1AM,NOW,D,,6))*P_PRICE_AVG(-1AM,NOW,,USD)&lt;/Q&gt;&lt;R&gt;1&lt;/R&gt;&lt;C&gt;1&lt;/C&gt;&lt;D xsi:type="xsd:double"&gt;263.091811636955&lt;/D&gt;&lt;/FQL&gt;&lt;FQL&gt;&lt;Q&gt;PAYC-US^FCS_EV_DAILY(MV,NOW,,,USD,M)&lt;/Q&gt;&lt;R&gt;1&lt;/R&gt;&lt;C&gt;1&lt;/C&gt;&lt;D xsi:type="xsd:double"&gt;6650.99685198&lt;/D&gt;&lt;/FQL&gt;&lt;FQL&gt;&lt;Q&gt;PAYC-US^P_DCOUNTRY&lt;/Q&gt;&lt;R&gt;1&lt;/R&gt;&lt;C&gt;1&lt;/C&gt;&lt;D xsi:type="xsd:string"&gt;UNITED STATES&lt;/D&gt;&lt;/FQL&gt;&lt;FQL&gt;&lt;Q&gt;PAYC-US^FR_RBICS_NAME_CURR("IND")&lt;/Q&gt;&lt;R&gt;1&lt;/R&gt;&lt;C&gt;1&lt;/C&gt;&lt;D xsi:type="xsd:string"&gt;Enterprise Resource Planning Software&lt;/D&gt;&lt;/FQL&gt;&lt;FQL&gt;&lt;Q&gt;FTNT-US^FE_RATING(MEAN,TEXTONLY,0,NOW,,,'')&lt;/Q&gt;&lt;R&gt;1&lt;/R&gt;&lt;C&gt;1&lt;/C&gt;&lt;D xsi:type="xsd:string"&gt;Hold&lt;/D&gt;&lt;/FQL&gt;&lt;FQL&gt;&lt;Q&gt;FTNT-US^FG_PRICE(0,,,USD)/FG_PRICE_MAVG(0,,,USD,200)&lt;/Q&gt;&lt;R&gt;1&lt;/R&gt;&lt;C&gt;1&lt;/C&gt;&lt;D xsi:type="xsd:double"&gt;0.854835850608828&lt;/D&gt;&lt;/FQL&gt;&lt;FQL&gt;&lt;Q&gt;FTNT-US^FG_PRICE(0,,,USD)/FG_PRICE_MAVG(0,,,USD,100)&lt;/Q&gt;&lt;R&gt;1&lt;/R&gt;&lt;C&gt;1&lt;/C&gt;&lt;D xsi:type="xsd:double"&gt;0.918324311424611&lt;/D&gt;&lt;/FQL&gt;&lt;FQL&gt;&lt;Q&gt;FTNT-US^FG_PRICE(0,,,USD)/FG_PRICE_MAVG(0,,,USD,50)&lt;/Q&gt;&lt;R&gt;1&lt;/R&gt;&lt;C&gt;1&lt;/C&gt;&lt;D xsi:type="xsd:double"&gt;0.936199550006969&lt;/D&gt;&lt;/FQL&gt;&lt;FQL&gt;&lt;Q&gt;FTNT-US^RTP_PRICE_TARGET(USD)/FG_PRICE(0,,,USD)&lt;/Q&gt;&lt;R&gt;1&lt;/R&gt;&lt;C&gt;1&lt;/C&gt;&lt;D xsi:type="xsd:double"&gt;1.18835570915858&lt;/D&gt;&lt;/FQL&gt;&lt;FQL&gt;&lt;Q&gt;FTNT-US^FG_PRICE(0,,,USD)/P_PRICE_HIGH(-1AY,0,USD,,,"PRICE","INTRA")&lt;/Q&gt;&lt;R&gt;1&lt;/R&gt;&lt;C&gt;1&lt;/C&gt;&lt;D xsi:type="xsd:double"&gt;0.6758602102237&lt;/D&gt;&lt;/FQL&gt;&lt;FQL&gt;&lt;Q&gt;FTNT-US^PERCENT_CHANGE(FE_VALUATION(FFEV_EBITDA,MEAN,NTMA,,0,,,''),MAX(FE_VALUATION(FFEV_EBITDA,MEAN,NTMA,,-1AY,0,,'')))&lt;/Q&gt;&lt;R&gt;1&lt;/R&gt;&lt;C&gt;1&lt;/C&gt;&lt;D xsi:type="xsd:double"&gt;-42.8511829733809&lt;/D&gt;&lt;/FQL&gt;&lt;FQL&gt;&lt;Q&gt;FTNT-US^PERCENT_CHANGE(FE_VALUATION(PE,MEAN,NTMA,,0,,,''),MAX(FE_VALUATION(PE,MEAN,NTMA,,-1AY,0,,'')))&lt;/Q&gt;&lt;R&gt;1&lt;/R&gt;&lt;C&gt;1&lt;/C&gt;&lt;D xsi:type="xsd:double"&gt;-42.8647864437188&lt;/D&gt;&lt;/FQL&gt;&lt;FQL&gt;&lt;Q&gt;FTNT-US^FE_VALUATION(FFEV_EBITDA,MEAN,NTMA,,0,,,'')&lt;/Q&gt;&lt;R&gt;1&lt;/R&gt;&lt;C&gt;1&lt;/C&gt;&lt;D xsi:type="xsd:double"&gt;19.464127&lt;/D&gt;&lt;/FQL&gt;&lt;FQL&gt;&lt;Q&gt;FTNT-US^FE_VALUATION(FFEV_SALES,MEAN,NTMA,,0,,,'')&lt;/Q&gt;&lt;R&gt;1&lt;/R&gt;&lt;C&gt;1&lt;/C&gt;&lt;D xsi:type="xsd:double"&gt;7.1163616&lt;/D&gt;&lt;/FQL&gt;&lt;FQL&gt;&lt;Q&gt;FTNT-US^FE_VALUATION(P_SALESPS,MEAN,NTMA,,0,,,'')&lt;/Q&gt;&lt;R&gt;1&lt;/R&gt;&lt;C&gt;1&lt;/C&gt;&lt;D xsi:type="xsd:double"&gt;7.247199&lt;/D&gt;&lt;/FQL&gt;&lt;FQL&gt;&lt;Q&gt;FTNT-US^FE_VALUATION(PE,MEAN,NTMA,,0,,,'')&lt;/Q&gt;&lt;R&gt;1&lt;/R&gt;&lt;C&gt;1&lt;/C&gt;&lt;D xsi:type="xsd:double"&gt;24.865862&lt;/D&gt;&lt;/FQL&gt;&lt;FQL&gt;&lt;Q&gt;FTNT-US^FE_ACTUAL(ACTUAL,SALES,ANN_ROLL,0,,,,'CURRENCY=USD')&lt;/Q&gt;&lt;R&gt;1&lt;/R&gt;&lt;C&gt;1&lt;/C&gt;&lt;D xsi:type="xsd:double"&gt;6799.6&lt;/D&gt;&lt;/FQL&gt;&lt;FQL&gt;&lt;Q&gt;FTNT-US^FE_ACTUAL(ACTUAL,SALES,ANN_ROLL,-1,,,,'CURRENCY=USD')&lt;/Q&gt;&lt;R&gt;1&lt;/R&gt;&lt;C&gt;1&lt;/C&gt;&lt;D xsi:type="xsd:double"&gt;5955.8&lt;/D&gt;&lt;/FQL&gt;&lt;FQL&gt;&lt;Q&gt;FTNT-US^FE_VALUATION(EBITDA_MARGIN,MEAN,ANN_ROLL,0,NOW,,,'')&lt;/Q&gt;&lt;R&gt;1&lt;/R&gt;&lt;C&gt;1&lt;/C&gt;&lt;D xsi:type="xsd:double"&gt;37.371853&lt;/D&gt;&lt;/FQL&gt;&lt;FQL&gt;&lt;Q&gt;FTNT-US^FE_VALUATION(ROIC,MEAN,NTMA,,0,,,'')&lt;/Q&gt;&lt;R&gt;1&lt;/R&gt;&lt;C&gt;1&lt;/C&gt;&lt;D xsi:type="xsd:double"&gt;49.19408&lt;/D&gt;&lt;/FQL&gt;&lt;FQL&gt;&lt;Q&gt;FTNT-US^FE_VALUATION(ROE,MEAN,NTMA,,0,,,'')&lt;/Q&gt;&lt;R&gt;1&lt;/R&gt;&lt;C&gt;1&lt;/C&gt;&lt;D xsi:type="xsd:double"&gt;65.035736&lt;/D&gt;&lt;/FQL&gt;&lt;FQL&gt;&lt;Q&gt;FTNT-US^FE_VALUATION(DIV_YLD,MEAN,NTMA,,NOW,,,'')&lt;/Q&gt;&lt;R&gt;1&lt;/R&gt;&lt;C&gt;1&lt;/C&gt;&lt;D xsi:type="xsd:double"&gt;0&lt;/D&gt;&lt;/FQL&gt;&lt;FQL&gt;&lt;Q&gt;FTNT-US^FE_VALUATION(MCAP_FCF,MEAN,NTMA,,NOW,,,'')&lt;/Q&gt;&lt;R&gt;1&lt;/R&gt;&lt;C&gt;1&lt;/C&gt;&lt;D xsi:type="xsd:double"&gt;4.609079&lt;/D&gt;&lt;/FQL&gt;&lt;FQL&gt;&lt;Q&gt;FTNT-US^FE_VALUATION(NETDEBT_EBITDA,MEAN,NTMA,,NOW,,,'')&lt;/Q&gt;&lt;R&gt;1&lt;/R&gt;&lt;C&gt;1&lt;/C&gt;&lt;D xsi:type="xsd:double"&gt;-1.8245006&lt;/D&gt;&lt;/FQL&gt;&lt;FQL&gt;&lt;Q&gt;FTNT-US^FF_NET_MGN(LTM_R,0)&lt;/Q&gt;&lt;R&gt;1&lt;/R&gt;&lt;C&gt;1&lt;/C&gt;&lt;D xsi:type="xsd:double"&gt;27.257485734455&lt;/D&gt;&lt;/FQL&gt;&lt;FQL&gt;&lt;Q&gt;FTNT-US^FF_EBITDA_OPER_MGN(LTM_R,0)&lt;/Q&gt;&lt;R&gt;1&lt;/R&gt;&lt;C&gt;1&lt;/C&gt;&lt;D xsi:type="xsd:double"&gt;37.6875110300606&lt;/D&gt;&lt;/FQL&gt;&lt;FQL&gt;&lt;Q&gt;FTNT-US^FF_GROSS_MGN(LTM_R,0)&lt;/Q&gt;&lt;R&gt;1&lt;/R&gt;&lt;C&gt;1&lt;/C&gt;&lt;D xsi:type="xsd:double"&gt;82.296017412789&lt;/D&gt;&lt;/FQL&gt;&lt;FQL&gt;&lt;Q&gt;FTNT-US^POW(FE_ESTIMATE(EPS,MEAN,STMA,,NOW,,,'CURRENCY=USD')/FE_ESTIMATE(EPS,MEAN,LTMA,,NOW,,,'CURRENCY=USD'),0.5)-1&lt;/Q&gt;&lt;R&gt;1&lt;/R&gt;&lt;C&gt;1&lt;/C&gt;&lt;D xsi:type="xsd:double"&gt;0.0972368021534822&lt;/D&gt;&lt;/FQL&gt;&lt;FQL&gt;&lt;Q&gt;FTNT-US^POW(FE_ESTIMATE(SALES,MEAN,STMA,,NOW,,,'CURRENCY=USD')/FE_ESTIMATE(SALES,MEAN,LTMA,,NOW,,,'CURRENCY=USD'),0.5)-1&lt;/Q&gt;&lt;R&gt;1&lt;/R&gt;&lt;C&gt;1&lt;/C&gt;&lt;D xsi:type="xsd:double"&gt;0.108869694779328&lt;/D&gt;&lt;/FQL&gt;&lt;FQL&gt;&lt;Q&gt;FTNT-US^FE_ACTUAL(ACTUAL,EPS,ANN_ROLL,0,,,,'CURRENCY=USD')&lt;/Q&gt;&lt;R&gt;1&lt;/R&gt;&lt;C&gt;1&lt;/C&gt;&lt;D xsi:type="xsd:double"&gt;2.76&lt;/D&gt;&lt;/FQL&gt;&lt;FQL&gt;&lt;Q&gt;FTNT-US^OS_SEC_FLT_PCT(0D,,MTD,SEC)&lt;/Q&gt;&lt;R&gt;1&lt;/R&gt;&lt;C&gt;1&lt;/C&gt;&lt;D xsi:type="xsd:double"&gt;82.6272&lt;/D&gt;&lt;/FQL&gt;&lt;FQL&gt;&lt;Q&gt;FTNT-US^AVG(P_VOLUME_FRQ(-1AM,NOW,D,,6))*P_PRICE_AVG(-1AM,NOW,,USD)&lt;/Q&gt;&lt;R&gt;1&lt;/R&gt;&lt;C&gt;1&lt;/C&gt;&lt;D xsi:type="xsd:double"&gt;611.348537860256&lt;/D&gt;&lt;/FQL&gt;&lt;FQL&gt;&lt;Q&gt;FTNT-US^FCS_EV_DAILY(MV,NOW,,,USD,M)&lt;/Q&gt;&lt;R&gt;1&lt;/R&gt;&lt;C&gt;1&lt;/C&gt;&lt;D xsi:type="xsd:double"&gt;56752.21171346&lt;/D&gt;&lt;/FQL&gt;&lt;FQL&gt;&lt;Q&gt;FTNT-US^P_DCOUNTRY&lt;/Q&gt;&lt;R&gt;1&lt;/R&gt;&lt;C&gt;1&lt;/C&gt;&lt;D xsi:type="xsd:string"&gt;UNITED STATES&lt;/D&gt;&lt;/FQL&gt;&lt;FQL&gt;&lt;Q&gt;FTNT-US^FR_RBICS_NAME_CURR("IND")&lt;/Q&gt;&lt;R&gt;1&lt;/R&gt;&lt;C&gt;1&lt;/C&gt;&lt;D xsi:type="xsd:string"&gt;Network Infrastructure Software&lt;/D&gt;&lt;/FQL&gt;&lt;FQL&gt;&lt;Q&gt;ESTC-US^FE_RATING(MEAN,TEXTONLY,0,NOW,,,'')&lt;/Q&gt;&lt;R&gt;1&lt;/R&gt;&lt;C&gt;1&lt;/C&gt;&lt;D xsi:type="xsd:string"&gt;Overweight&lt;/D&gt;&lt;/FQL&gt;&lt;FQL&gt;&lt;Q&gt;ESTC-US^FG_PRICE(0,,,USD)/FG_PRICE_MAVG(0,,,USD,200)&lt;/Q&gt;&lt;R&gt;1&lt;/R&gt;&lt;C&gt;1&lt;/C&gt;&lt;D xsi:type="xsd:double"&gt;0.697840074809248&lt;/D&gt;&lt;/FQL&gt;&lt;FQL&gt;&lt;Q&gt;ESTC-US^FG_PRICE(0,,,USD)/FG_PRICE_MAVG(0,,,USD,100)&lt;/Q&gt;&lt;R&gt;1&lt;/R&gt;&lt;C&gt;1&lt;/C&gt;&lt;D xsi:type="xsd:double"&gt;0.737154385336407&lt;/D&gt;&lt;/FQL&gt;&lt;FQL&gt;&lt;Q&gt;ESTC-US^FG_PRICE(0,,,USD)/FG_PRICE_MAVG(0,,,USD,50)&lt;/Q&gt;&lt;R&gt;1&lt;/R&gt;&lt;C&gt;1&lt;/C&gt;&lt;D xsi:type="xsd:double"&gt;0.806294762373292&lt;/D&gt;&lt;/FQL&gt;&lt;FQL&gt;&lt;Q&gt;ESTC-US^RTP_PRICE_TARGET(USD)/FG_PRICE(0,,,USD)&lt;/Q&gt;&lt;R&gt;1&lt;/R&gt;&lt;C&gt;1&lt;/C&gt;&lt;D xsi:type="xsd:double"&gt;1.67048272437034&lt;/D&gt;&lt;/FQL&gt;&lt;FQL&gt;&lt;Q&gt;ESTC-US^FG_PRICE(0,,,USD)/P_PRICE_HIGH(-1AY,0,USD,,,"PRICE","INTRA")&lt;/Q&gt;&lt;R&gt;1&lt;/R&gt;&lt;C&gt;1&lt;/C&gt;&lt;D xsi:type="xsd:double"&gt;0.479870627287429&lt;/D&gt;&lt;/FQL&gt;&lt;FQL&gt;&lt;Q&gt;ESTC-US^PERCENT_CHANGE(FE_VALUATION(FFEV_EBITDA,MEAN,NTMA,,0,,,''),MAX(FE_VALUATION(FFEV_EBITDA,MEAN,NTMA,,-1AY,0,,'')))&lt;/Q&gt;&lt;R&gt;1&lt;/R&gt;&lt;C&gt;1&lt;/C&gt;&lt;D xsi:type="xsd:double"&gt;-64.7579075607484&lt;/D&gt;&lt;/FQL&gt;&lt;FQL&gt;&lt;Q&gt;ESTC-US^PERCENT_CHANGE(FE_VALUATION(PE,MEAN,NTMA,,0,,,''),MAX(FE_VALUATION(PE,MEAN,NTMA,,-1AY,0,,'')))&lt;/Q&gt;&lt;R&gt;1&lt;/R&gt;&lt;C&gt;1&lt;/C&gt;&lt;D xsi:type="xsd:double"&gt;-63.3168955709407&lt;/D&gt;&lt;/FQL&gt;&lt;FQL&gt;&lt;Q&gt;ESTC-US^FE_VALUATION(FFEV_EBITDA,MEAN,NTMA,,0,,,'')&lt;/Q&gt;&lt;R&gt;1&lt;/R&gt;&lt;C&gt;1&lt;/C&gt;&lt;D xsi:type="xsd:double"&gt;15.385044&lt;/D&gt;&lt;/FQL&gt;&lt;FQL&gt;&lt;Q&gt;ESTC-US^FE_VALUATION(FFEV_SALES,MEAN,NTMA,,0,,,'')&lt;/Q&gt;&lt;R&gt;1&lt;/R&gt;&lt;C&gt;1&lt;/C&gt;&lt;D xsi:type="xsd:double"&gt;2.7242231&lt;/D&gt;&lt;/FQL&gt;&lt;FQL&gt;&lt;Q&gt;ESTC-US^FE_VALUATION(P_SALESPS,MEAN,NTMA,,0,,,'')&lt;/Q&gt;&lt;R&gt;1&lt;/R&gt;&lt;C&gt;1&lt;/C&gt;&lt;D xsi:type="xsd:double"&gt;3.1120682&lt;/D&gt;&lt;/FQL&gt;&lt;FQL&gt;&lt;Q&gt;ESTC-US^FE_VALUATION(PE,MEAN,NTMA,,0,,,'')&lt;/Q&gt;&lt;R&gt;1&lt;/R&gt;&lt;C&gt;1&lt;/C&gt;&lt;D xsi:type="xsd:double"&gt;20.717394&lt;/D&gt;&lt;/FQL&gt;&lt;FQL&gt;&lt;Q&gt;ESTC-US^FE_ACTUAL(ACTUAL,SALES,ANN_ROLL,0,,,,'CURRENCY=USD')&lt;/Q&gt;&lt;R&gt;1&lt;/R&gt;&lt;C&gt;1&lt;/C&gt;&lt;D xsi:type="xsd:double"&gt;1483.296&lt;/D&gt;&lt;/FQL&gt;&lt;FQL&gt;&lt;Q&gt;ESTC-US^FE_ACTUAL(ACTUAL,SALES,ANN_ROLL,-1,,,,'CURRENCY=USD')&lt;/Q&gt;&lt;R&gt;1&lt;/R&gt;&lt;C&gt;1&lt;/C&gt;&lt;D xsi:type="xsd:double"&gt;1267.321&lt;/D&gt;&lt;/FQL&gt;&lt;FQL&gt;&lt;Q&gt;ESTC-US^FE_VALUATION(EBITDA_MARGIN,MEAN,ANN_ROLL,0,NOW,,,'')&lt;/Q&gt;&lt;R&gt;1&lt;/R&gt;&lt;C&gt;1&lt;/C&gt;&lt;D xsi:type="xsd:double"&gt;17.505001&lt;/D&gt;&lt;/FQL&gt;&lt;FQL&gt;&lt;Q&gt;ESTC-US^FE_VALUATION(ROIC,MEAN,NTMA,,0,,,'')&lt;/Q&gt;&lt;R&gt;1&lt;/R&gt;&lt;C&gt;1&lt;/C&gt;&lt;D xsi:type="xsd:double"&gt;16.988789&lt;/D&gt;&lt;/FQL&gt;&lt;FQL&gt;&lt;Q&gt;ESTC-US^FE_VALUATION(ROE,MEAN,NTMA,,0,,,'')&lt;/Q&gt;&lt;R&gt;1&lt;/R&gt;&lt;C&gt;1&lt;/C&gt;&lt;D xsi:type="xsd:double"&gt;25.867802&lt;/D&gt;&lt;/FQL&gt;&lt;FQL&gt;&lt;Q&gt;ESTC-US^FE_VALUATION(DIV_YLD,MEAN,NTMA,,NOW,,,'')&lt;/Q&gt;&lt;R&gt;1&lt;/R&gt;&lt;C&gt;1&lt;/C&gt;&lt;D xsi:type="xsd:double"&gt;0.04368751&lt;/D&gt;&lt;/FQL&gt;&lt;FQL&gt;&lt;Q&gt;ESTC-US^FE_VALUATION(MCAP_FCF,MEAN,NTMA,,NOW,,,'')&lt;/Q&gt;&lt;R&gt;1&lt;/R&gt;&lt;C&gt;1&lt;/C&gt;&lt;D xsi:type="xsd:double"&gt;6.3301764&lt;/D&gt;&lt;/FQL&gt;&lt;FQL&gt;&lt;Q&gt;ESTC-US^FE_VALUATION(NETDEBT_EBITDA,MEAN,NTMA,,NOW,,,'')&lt;/Q&gt;&lt;R&gt;1&lt;/R&gt;&lt;C&gt;1&lt;/C&gt;&lt;D xsi:type="xsd:double"&gt;-3.8603928&lt;/D&gt;&lt;/FQL&gt;&lt;FQL&gt;&lt;Q&gt;ESTC-US^FF_NET_MGN(LTM_R,0)&lt;/Q&gt;&lt;R&gt;1&lt;/R&gt;&lt;C&gt;1&lt;/C&gt;&lt;D xsi:type="xsd:double"&gt;-6.79333169285222&lt;/D&gt;&lt;/FQL&gt;&lt;FQL&gt;&lt;Q&gt;ESTC-US^FF_EBITDA_OPER_MGN(LTM_R,0)&lt;/Q&gt;&lt;R&gt;1&lt;/R&gt;&lt;C&gt;1&lt;/C&gt;&lt;D xsi:type="xsd:double"&gt;-1.44523900069845&lt;/D&gt;&lt;/FQL&gt;&lt;FQL&gt;&lt;Q&gt;ESTC-US^FF_GROSS_MGN(LTM_R,0)&lt;/Q&gt;&lt;R&gt;1&lt;/R&gt;&lt;C&gt;1&lt;/C&gt;&lt;D xsi:type="xsd:double"&gt;75.5350826827334&lt;/D&gt;&lt;/FQL&gt;&lt;FQL&gt;&lt;Q&gt;ESTC-US^POW(FE_ESTIMATE(EPS,MEAN,STMA,,NOW,,,'CURRENCY=USD')/FE_ESTIMATE(EPS,MEAN,LTMA,,NOW,,,'CURRENCY=USD'),0.5)-1&lt;/Q&gt;&lt;R&gt;1&lt;/R&gt;&lt;C&gt;1&lt;/C&gt;&lt;D xsi:type="xsd:double"&gt;0.156572133504867&lt;/D&gt;&lt;/FQL&gt;&lt;FQL&gt;&lt;Q&gt;ESTC-US^POW(FE_ESTIMATE(SALES,MEAN,STMA,,NOW,,,'CURRENCY=USD')/FE_ESTIMATE(SALES,MEAN,LTMA,,NOW,,,'CURRENCY=USD'),0.5)-1&lt;/Q&gt;&lt;R&gt;1&lt;/R&gt;&lt;C&gt;1&lt;/C&gt;&lt;D xsi:type="xsd:double"&gt;0.136651177802583&lt;/D&gt;&lt;/FQL&gt;&lt;FQL&gt;&lt;Q&gt;ESTC-US^FE_ACTUAL(ACTUAL,EPS,ANN_ROLL,0,,,,'CURRENCY=USD')&lt;/Q&gt;&lt;R&gt;1&lt;/R&gt;&lt;C&gt;1&lt;/C&gt;&lt;D xsi:type="xsd:double"&gt;2.04&lt;/D&gt;&lt;/FQL&gt;&lt;FQL&gt;&lt;Q&gt;ESTC-US^OS_SEC_FLT_PCT(0D,,MTD,SEC)&lt;/Q&gt;&lt;R&gt;1&lt;/R&gt;&lt;C&gt;1&lt;/C&gt;&lt;D xsi:type="xsd:double"&gt;86.9978&lt;/D&gt;&lt;/FQL&gt;&lt;FQL&gt;&lt;Q&gt;ESTC-US^AVG(P_VOLUME_FRQ(-1AM,NOW,D,,6))*P_PRICE_AVG(-1AM,NOW,,USD)&lt;/Q&gt;&lt;R&gt;1&lt;/R&gt;&lt;C&gt;1&lt;/C&gt;&lt;D xsi:type="xsd:double"&gt;130.956354852875&lt;/D&gt;&lt;/FQL&gt;&lt;FQL&gt;&lt;Q&gt;ESTC-US^FCS_EV_DAILY(MV,NOW,,,USD,M)&lt;/Q&gt;&lt;R&gt;1&lt;/R&gt;&lt;C&gt;1&lt;/C&gt;&lt;D xsi:type="xsd:double"&gt;6339.58860552&lt;/D&gt;&lt;/FQL&gt;&lt;FQL&gt;&lt;Q&gt;ESTC-US^P_DCOUNTRY&lt;/Q&gt;&lt;R&gt;1&lt;/R&gt;&lt;C&gt;1&lt;/C&gt;&lt;D xsi:type="xsd:string"&gt;UNITED STATES&lt;/D&gt;&lt;/FQL&gt;&lt;FQL&gt;&lt;Q&gt;ESTC-US^FR_RBICS_NAME_CURR("IND")&lt;/Q&gt;&lt;R&gt;1&lt;/R&gt;&lt;C&gt;1&lt;/C&gt;&lt;D xsi:type="xsd:string"&gt;Business Intelligence Software&lt;/D&gt;&lt;/FQL&gt;&lt;FQL&gt;&lt;Q&gt;ADSK-US^FE_RATING(MEAN,TEXTONLY,0,NOW,,,'')&lt;/Q&gt;&lt;R&gt;1&lt;/R&gt;&lt;C&gt;1&lt;/C&gt;&lt;D xsi:type="xsd:string"&gt;Buy&lt;/D&gt;&lt;/FQL&gt;&lt;FQL&gt;&lt;Q&gt;ADSK-US^FG_PRICE(0,,,USD)/FG_PRICE_MAVG(0,,,USD,200)&lt;/Q&gt;&lt;R&gt;1&lt;/R&gt;&lt;C&gt;1&lt;/C&gt;&lt;D xsi:type="xsd:double"&gt;0.752142504702976&lt;/D&gt;&lt;/FQL&gt;&lt;FQL&gt;&lt;Q&gt;ADSK-US^FG_PRICE(0,,,USD)/FG_PRICE_MAVG(0,,,USD,100)&lt;/Q&gt;&lt;R&gt;1&lt;/R&gt;&lt;C&gt;1&lt;/C&gt;&lt;D xsi:type="xsd:double"&gt;0.774390261002224&lt;/D&gt;&lt;/FQL&gt;&lt;FQL&gt;&lt;Q&gt;ADSK-US^FG_PRICE(0,,,USD)/FG_PRICE_MAVG(0,,,USD,50)&lt;/Q&gt;&lt;R&gt;1&lt;/R&gt;&lt;C&gt;1&lt;/C&gt;&lt;D xsi:type="xsd:double"&gt;0.828227287672794&lt;/D&gt;&lt;/FQL&gt;&lt;FQL&gt;&lt;Q&gt;ADSK-US^RTP_PRICE_TARGET(USD)/FG_PRICE(0,,,USD)&lt;/Q&gt;&lt;R&gt;1&lt;/R&gt;&lt;C&gt;1&lt;/C&gt;&lt;D xsi:type="xsd:double"&gt;1.58334964465167&lt;/D&gt;&lt;/FQL&gt;&lt;FQL&gt;&lt;Q&gt;ADSK-US^FG_PRICE(0,,,USD)/P_PRICE_HIGH(-1AY,0,USD,,,"PRICE","INTRA")&lt;/Q&gt;&lt;R&gt;1&lt;/R&gt;&lt;C&gt;1&lt;/C&gt;&lt;D xsi:type="xsd:double"&gt;0.671275335014738&lt;/D&gt;&lt;/FQL&gt;&lt;FQL&gt;&lt;Q&gt;ADSK-US^PERCENT_CHANGE(FE_VALUATION(FFEV_EBITDA,MEAN,NTMA,,0,,,''),MAX(FE_VALUATION(FFEV_EBITDA,MEAN,NTMA,,-1AY,0,,'')))&lt;/Q&gt;&lt;R&gt;1&lt;/R&gt;&lt;C&gt;1&lt;/C&gt;&lt;D xsi:type="xsd:double"&gt;-37.7411157303401&lt;/D&gt;&lt;/FQL&gt;&lt;FQL&gt;&lt;Q&gt;ADSK-US^PERCENT_CHANGE(FE_VALUATION(PE,MEAN,NTMA,,0,,,''),MAX(FE_VALUATION(PE,MEAN,NTMA,,-1AY,0,,'')))&lt;/Q&gt;&lt;R&gt;1&lt;/R&gt;&lt;C&gt;1&lt;/C&gt;&lt;D xsi:type="xsd:double"&gt;-38.8864629697472&lt;/D&gt;&lt;/FQL&gt;&lt;FQL&gt;&lt;Q&gt;ADSK-US^FE_VALUATION(FFEV_EBITDA,MEAN,NTMA,,0,,,'')&lt;/Q&gt;&lt;R&gt;1&lt;/R&gt;&lt;C&gt;1&lt;/C&gt;&lt;D xsi:type="xsd:double"&gt;14.93609&lt;/D&gt;&lt;/FQL&gt;&lt;FQL&gt;&lt;Q&gt;ADSK-US^FE_VALUATION(FFEV_SALES,MEAN,NTMA,,0,,,'')&lt;/Q&gt;&lt;R&gt;1&lt;/R&gt;&lt;C&gt;1&lt;/C&gt;&lt;D xsi:type="xsd:double"&gt;5.981354&lt;/D&gt;&lt;/FQL&gt;&lt;FQL&gt;&lt;Q&gt;ADSK-US^FE_VALUATION(P_SALESPS,MEAN,NTMA,,0,,,'')&lt;/Q&gt;&lt;R&gt;1&lt;/R&gt;&lt;C&gt;1&lt;/C&gt;&lt;D xsi:type="xsd:double"&gt;5.8431478&lt;/D&gt;&lt;/FQL&gt;&lt;FQL&gt;&lt;Q&gt;ADSK-US^FE_VALUATION(PE,MEAN,NTMA,,0,,,'')&lt;/Q&gt;&lt;R&gt;1&lt;/R&gt;&lt;C&gt;1&lt;/C&gt;&lt;D xsi:type="xsd:double"&gt;18.877138&lt;/D&gt;&lt;/FQL&gt;&lt;FQL&gt;&lt;Q&gt;ADSK-US^FE_ACTUAL(ACTUAL,SALES,ANN_ROLL,0,,,,'CURRENCY=USD')&lt;/Q&gt;&lt;R&gt;1&lt;/R&gt;&lt;C&gt;1&lt;/C&gt;&lt;D xsi:type="xsd:double"&gt;6131&lt;/D&gt;&lt;/FQL&gt;&lt;FQL&gt;&lt;Q&gt;ADSK-US^FE_ACTUAL(ACTUAL,SALES,ANN_ROLL,-1,,,,'CURRENCY=USD')&lt;/Q&gt;&lt;R&gt;1&lt;/R&gt;&lt;C&gt;1&lt;/C&gt;&lt;D xsi:type="xsd:double"&gt;5497&lt;/D&gt;&lt;/FQL&gt;&lt;FQL&gt;&lt;Q&gt;ADSK-US^FE_VALUATION(EBITDA_MARGIN,MEAN,ANN_ROLL,0,NOW,,,'')&lt;/Q&gt;&lt;R&gt;1&lt;/R&gt;&lt;C&gt;1&lt;/C&gt;&lt;D xsi:type="xsd:double"&gt;38.590767&lt;/D&gt;&lt;/FQL&gt;&lt;FQL&gt;&lt;Q&gt;ADSK-US^FE_VALUATION(ROIC,MEAN,NTMA,,0,,,'')&lt;/Q&gt;&lt;R&gt;1&lt;/R&gt;&lt;C&gt;1&lt;/C&gt;&lt;D xsi:type="xsd:double"&gt;34.820606&lt;/D&gt;&lt;/FQL&gt;&lt;FQL&gt;&lt;Q&gt;ADSK-US^FE_VALUATION(ROE,MEAN,NTMA,,0,,,'')&lt;/Q&gt;&lt;R&gt;1&lt;/R&gt;&lt;C&gt;1&lt;/C&gt;&lt;D xsi:type="xsd:double"&gt;52.529358&lt;/D&gt;&lt;/FQL&gt;&lt;FQL&gt;&lt;Q&gt;ADSK-US^FE_VALUATION(DIV_YLD,MEAN,NTMA,,NOW,,,'')&lt;/Q&gt;&lt;R&gt;1&lt;/R&gt;&lt;C&gt;1&lt;/C&gt;&lt;D xsi:type="xsd:double"&gt;0&lt;/D&gt;&lt;/FQL&gt;&lt;FQL&gt;&lt;Q&gt;ADSK-US^FE_VALUATION(MCAP_FCF,MEAN,NTMA,,NOW,,,'')&lt;/Q&gt;&lt;R&gt;1&lt;/R&gt;&lt;C&gt;1&lt;/C&gt;&lt;D xsi:type="xsd:double"&gt;5.5977855&lt;/D&gt;&lt;/FQL&gt;&lt;FQL&gt;&lt;Q&gt;ADSK-US^FE_VALUATION(NETDEBT_EBITDA,MEAN,NTMA,,NOW,,,'')&lt;/Q&gt;&lt;R&gt;1&lt;/R&gt;&lt;C&gt;1&lt;/C&gt;&lt;D xsi:type="xsd:double"&gt;-0.63201404&lt;/D&gt;&lt;/FQL&gt;&lt;FQL&gt;&lt;Q&gt;ADSK-US^FF_NET_MGN(LTM_R,0)&lt;/Q&gt;&lt;R&gt;1&lt;/R&gt;&lt;C&gt;1&lt;/C&gt;&lt;D xsi:type="xsd:double"&gt;16.1717612809316&lt;/D&gt;&lt;/FQL&gt;&lt;FQL&gt;&lt;Q&gt;ADSK-US^FF_EBITDA_OPER_MGN(LTM_R,0)&lt;/Q&gt;&lt;R&gt;1&lt;/R&gt;&lt;C&gt;1&lt;/C&gt;&lt;D xsi:type="xsd:double"&gt;21.7467248908297&lt;/D&gt;&lt;/FQL&gt;&lt;FQL&gt;&lt;Q&gt;ADSK-US^FF_GROSS_MGN(LTM_R,0)&lt;/Q&gt;&lt;R&gt;1&lt;/R&gt;&lt;C&gt;1&lt;/C&gt;&lt;D xsi:type="xsd:double"&gt;84.9636098981077&lt;/D&gt;&lt;/FQL&gt;&lt;FQL&gt;&lt;Q&gt;ADSK-US^POW(FE_ESTIMATE(EPS,MEAN,STMA,,NOW,,,'CURRENCY=USD')/FE_ESTIMATE(EPS,MEAN,LTMA,,NOW,,,'CURRENCY=USD'),0.5)-1&lt;/Q&gt;&lt;R&gt;1&lt;/R&gt;&lt;C&gt;1&lt;/C&gt;&lt;D xsi:type="xsd:double"&gt;0.139859596617057&lt;/D&gt;&lt;/FQL&gt;&lt;FQL&gt;&lt;Q&gt;ADSK-US^POW(FE_ESTIMATE(SALES,MEAN,STMA,,NOW,,,'CURRENCY=USD')/FE_ESTIMATE(SALES,MEAN,LTMA,,NOW,,,'CURRENCY=USD'),0.5)-1&lt;/Q&gt;&lt;R&gt;1&lt;/R&gt;&lt;C&gt;1&lt;/C&gt;&lt;D xsi:type="xsd:double"&gt;0.106749294104134&lt;/D&gt;&lt;/FQL&gt;&lt;FQL&gt;&lt;Q&gt;ADSK-US^FE_ACTUAL(ACTUAL,EPS,ANN_ROLL,0,,,,'CURRENCY=USD')&lt;/Q&gt;&lt;R&gt;1&lt;/R&gt;&lt;C&gt;1&lt;/C&gt;&lt;D xsi:type="xsd:double"&gt;8.47&lt;/D&gt;&lt;/FQL&gt;&lt;FQL&gt;&lt;Q&gt;ADSK-US^OS_SEC_FLT_PCT(0D,,MTD,SEC)&lt;/Q&gt;&lt;R&gt;1&lt;/R&gt;&lt;C&gt;1&lt;/C&gt;&lt;D xsi:type="xsd:double"&gt;99.6575&lt;/D&gt;&lt;/FQL&gt;&lt;FQL&gt;&lt;Q&gt;ADSK-US^AVG(P_VOLUME_FRQ(-1AM,NOW,D,,6))*P_PRICE_AVG(-1AM,NOW,,USD)&lt;/Q&gt;&lt;R&gt;1&lt;/R&gt;&lt;C&gt;1&lt;/C&gt;&lt;D xsi:type="xsd:double"&gt;541.29167589653&lt;/D&gt;&lt;/FQL&gt;&lt;FQL&gt;&lt;Q&gt;ADSK-US^FCS_EV_DAILY(MV,NOW,,,USD,M)&lt;/Q&gt;&lt;R&gt;1&lt;/R&gt;&lt;C&gt;1&lt;/C&gt;&lt;D xsi:type="xsd:double"&gt;47927.74996&lt;/D&gt;&lt;/FQL&gt;&lt;FQL&gt;&lt;Q&gt;ADSK-US^P_DCOUNTRY&lt;/Q&gt;&lt;R&gt;1&lt;/R&gt;&lt;C&gt;1&lt;/C&gt;&lt;D xsi:type="xsd:string"&gt;UNITED STATES&lt;/D&gt;&lt;/FQL&gt;&lt;FQL&gt;&lt;Q&gt;ADSK-US^FR_RBICS_NAME_CURR("IND")&lt;/Q&gt;&lt;R&gt;1&lt;/R&gt;&lt;C&gt;1&lt;/C&gt;&lt;D xsi:type="xsd:string"&gt;Computer Aided Design Software&lt;/D&gt;&lt;/FQL&gt;&lt;FQL&gt;&lt;Q&gt;AVPT-US^FE_RATING(MEAN,TEXTONLY,0,NOW,,,'')&lt;/Q&gt;&lt;R&gt;1&lt;/R&gt;&lt;C&gt;1&lt;/C&gt;&lt;D xsi:type="xsd:string"&gt;Buy&lt;/D&gt;&lt;/FQL&gt;&lt;FQL&gt;&lt;Q&gt;AVPT-US^FG_PRICE(0,,,USD)/FG_PRICE_MAVG(0,,,USD,200)&lt;/Q&gt;&lt;R&gt;1&lt;/R&gt;&lt;C&gt;1&lt;/C&gt;&lt;D xsi:type="xsd:double"&gt;0.660824922167153&lt;/D&gt;&lt;/FQL&gt;&lt;FQL&gt;&lt;Q&gt;AVPT-US^FG_PRICE(0,,,USD)/FG_PRICE_MAVG(0,,,USD,100)&lt;/Q&gt;&lt;R&gt;1&lt;/R&gt;&lt;C&gt;1&lt;/C&gt;&lt;D xsi:type="xsd:double"&gt;0.77214779808297&lt;/D&gt;&lt;/FQL&gt;&lt;FQL&gt;&lt;Q&gt;AVPT-US^FG_PRICE(0,,,USD)/FG_PRICE_MAVG(0,,,USD,50)&lt;/Q&gt;&lt;R&gt;1&lt;/R&gt;&lt;C&gt;1&lt;/C&gt;&lt;D xsi:type="xsd:double"&gt;0.815488649170826&lt;/D&gt;&lt;/FQL&gt;&lt;FQL&gt;&lt;Q&gt;AVPT-US^RTP_PRICE_TARGET(USD)/FG_PRICE(0,,,USD)&lt;/Q&gt;&lt;R&gt;1&lt;/R&gt;&lt;C&gt;1&lt;/C&gt;&lt;D xsi:type="xsd:double"&gt;1.82462734452122&lt;/D&gt;&lt;/FQL&gt;&lt;FQL&gt;&lt;Q&gt;AVPT-US^FG_PRICE(0,,,USD)/P_PRICE_HIGH(-1AY,0,USD,,,"PRICE","INTRA")&lt;/Q&gt;&lt;R&gt;1&lt;/R&gt;&lt;C&gt;1&lt;/C&gt;&lt;D xsi:type="xsd:double"&gt;0.50037046184243&lt;/D&gt;&lt;/FQL&gt;&lt;FQL&gt;&lt;Q&gt;AVPT-US^PERCENT_CHANGE(FE_VALUATION(FFEV_EBITDA,MEAN,NTMA,,0,,,''),MAX(FE_VALUATION(FFEV_EBITDA,MEAN,NTMA,,-1AY,0,,'')))&lt;/Q&gt;&lt;R&gt;1&lt;/R&gt;&lt;C&gt;1&lt;/C&gt;&lt;D xsi:type="xsd:double"&gt;-67.2462786612629&lt;/D&gt;&lt;/FQL&gt;&lt;FQL&gt;&lt;Q&gt;AVPT-US^PERCENT_CHANGE(FE_VALUATION(PE,MEAN,NTMA,,0,,,''),MAX(FE_VALUATION(PE,MEAN,NTMA,,-1AY,0,,'')))&lt;/Q&gt;&lt;R&gt;1&lt;/R&gt;&lt;C&gt;1&lt;/C&gt;&lt;D xsi:type="xsd:double"&gt;-66.4857735503125&lt;/D&gt;&lt;/FQL&gt;&lt;FQL&gt;&lt;Q&gt;AVPT-US^FE_VALUATION(FFEV_EBITDA,MEAN,NTMA,,0,,,'')&lt;/Q&gt;&lt;R&gt;1&lt;/R&gt;&lt;C&gt;1&lt;/C&gt;&lt;D xsi:type="xsd:double"&gt;17.858791&lt;/D&gt;&lt;/FQL&gt;&lt;FQL&gt;&lt;Q&gt;AVPT-US^FE_VALUATION(FFEV_SALES,MEAN,NTMA,,0,,,'')&lt;/Q&gt;&lt;R&gt;1&lt;/R&gt;&lt;C&gt;1&lt;/C&gt;&lt;D xsi:type="xsd:double"&gt;3.791958&lt;/D&gt;&lt;/FQL&gt;&lt;FQL&gt;&lt;Q&gt;AVPT-US^FE_VALUATION(P_SALESPS,MEAN,NTMA,,0,,,'')&lt;/Q&gt;&lt;R&gt;1&lt;/R&gt;&lt;C&gt;1&lt;/C&gt;&lt;D xsi:type="xsd:double"&gt;4.3355064&lt;/D&gt;&lt;/FQL&gt;&lt;FQL&gt;&lt;Q&gt;AVPT-US^FE_VALUATION(PE,MEAN,NTMA,,0,,,'')&lt;/Q&gt;&lt;R&gt;1&lt;/R&gt;&lt;C&gt;1&lt;/C&gt;&lt;D xsi:type="xsd:double"&gt;25.189058&lt;/D&gt;&lt;/FQL&gt;&lt;FQL&gt;&lt;Q&gt;AVPT-US^FE_ACTUAL(ACTUAL,SALES,ANN_ROLL,0,,,,'CURRENCY=USD')&lt;/Q&gt;&lt;R&gt;1&lt;/R&gt;&lt;C&gt;1&lt;/C&gt;&lt;D xsi:type="xsd:double"&gt;330.482&lt;/D&gt;&lt;/FQL&gt;&lt;FQL&gt;&lt;Q&gt;AVPT-US^FE_ACTUAL(ACTUAL,SALES,ANN_ROLL,-1,,,,'CURRENCY=USD')&lt;/Q&gt;&lt;R&gt;1&lt;/R&gt;&lt;C&gt;1&lt;/C&gt;&lt;D xsi:type="xsd:double"&gt;271.825&lt;/D&gt;&lt;/FQL&gt;&lt;FQL&gt;&lt;Q&gt;AVPT-US^FE_VALUATION(EBITDA_MARGIN,MEAN,ANN_ROLL,0,NOW,,,'')&lt;/Q&gt;&lt;R&gt;1&lt;/R&gt;&lt;C&gt;1&lt;/C&gt;&lt;D xsi:type="xsd:double"&gt;15.556446&lt;/D&gt;&lt;/FQL&gt;&lt;FQL&gt;&lt;Q&gt;AVPT-US^FE_VALUATION(ROIC,MEAN,NTMA,,0,,,'')&lt;/Q&gt;&lt;R&gt;1&lt;/R&gt;&lt;C&gt;1&lt;/C&gt;&lt;D xsi:type="xsd:double"&gt;16.40586&lt;/D&gt;&lt;/FQL&gt;&lt;FQL&gt;&lt;Q&gt;AVPT-US^FE_VALUATION(ROE,MEAN,NTMA,,0,,,'')&lt;/Q&gt;&lt;R&gt;1&lt;/R&gt;&lt;C&gt;1&lt;/C&gt;&lt;D xsi:type="xsd:double"&gt;19.618809&lt;/D&gt;&lt;/FQL&gt;&lt;FQL&gt;&lt;Q&gt;AVPT-US^FE_VALUATION(DIV_YLD,MEAN,NTMA,,NOW,,,'')&lt;/Q&gt;&lt;R&gt;1&lt;/R&gt;&lt;C&gt;1&lt;/C&gt;&lt;D xsi:type="xsd:double"&gt;0&lt;/D&gt;&lt;/FQL&gt;&lt;FQL&gt;&lt;Q&gt;AVPT-US^FE_VALUATION(MCAP_FCF,MEAN,NTMA,,NOW,,,'')&lt;/Q&gt;&lt;R&gt;1&lt;/R&gt;&lt;C&gt;1&lt;/C&gt;&lt;D xsi:type="xsd:double"&gt;5.131356&lt;/D&gt;&lt;/FQL&gt;&lt;FQL&gt;&lt;Q&gt;AVPT-US^FE_VALUATION(NETDEBT_EBITDA,MEAN,NTMA,,NOW,,,'')&lt;/Q&gt;&lt;R&gt;1&lt;/R&gt;&lt;C&gt;1&lt;/C&gt;&lt;D xsi:type="xsd:double"&gt;-5.41</t>
        </r>
      </text>
    </comment>
    <comment ref="A10" authorId="0" shapeId="0" xr:uid="{FFC1C7B1-497D-469A-B821-3FAF5A51AFDE}">
      <text>
        <r>
          <rPr>
            <b/>
            <sz val="9"/>
            <color indexed="81"/>
            <rFont val="Tahoma"/>
            <charset val="1"/>
          </rPr>
          <t>63322&lt;/D&gt;&lt;/FQL&gt;&lt;FQL&gt;&lt;Q&gt;AVPT-US^FF_NET_MGN(LTM_R,0)&lt;/Q&gt;&lt;R&gt;1&lt;/R&gt;&lt;C&gt;1&lt;/C&gt;&lt;D xsi:type="xsd:double"&gt;0.500008883406559&lt;/D&gt;&lt;/FQL&gt;&lt;FQL&gt;&lt;Q&gt;AVPT-US^FF_EBITDA_OPER_MGN(LTM_R,0)&lt;/Q&gt;&lt;R&gt;1&lt;/R&gt;&lt;C&gt;1&lt;/C&gt;&lt;D xsi:type="xsd:double"&gt;9.10346122900661&lt;/D&gt;&lt;/FQL&gt;&lt;FQL&gt;&lt;Q&gt;AVPT-US^FF_GROSS_MGN(LTM_R,0)&lt;/Q&gt;&lt;R&gt;1&lt;/R&gt;&lt;C&gt;1&lt;/C&gt;&lt;D xsi:type="xsd:double"&gt;74.4764500892148&lt;/D&gt;&lt;/FQL&gt;&lt;FQL&gt;&lt;Q&gt;AVPT-US^POW(FE_ESTIMATE(EPS,MEAN,STMA,,NOW,,,'CURRENCY=USD')/FE_ESTIMATE(EPS,MEAN,LTMA,,NOW,,,'CURRENCY=USD'),0.5)-1&lt;/Q&gt;&lt;R&gt;1&lt;/R&gt;&lt;C&gt;1&lt;/C&gt;&lt;D xsi:type="xsd:double"&gt;0.200508725499319&lt;/D&gt;&lt;/FQL&gt;&lt;FQL&gt;&lt;Q&gt;AVPT-US^POW(FE_ESTIMATE(SALES,MEAN,STMA,,NOW,,,'CURRENCY=USD')/FE_ESTIMATE(SALES,MEAN,LTMA,,NOW,,,'CURRENCY=USD'),0.5)-1&lt;/Q&gt;&lt;R&gt;1&lt;/R&gt;&lt;C&gt;1&lt;/C&gt;&lt;D xsi:type="xsd:double"&gt;0.177385833106548&lt;/D&gt;&lt;/FQL&gt;&lt;FQL&gt;&lt;Q&gt;AVPT-US^FE_ACTUAL(ACTUAL,EPS,ANN_ROLL,0,,,,'CURRENCY=USD')&lt;/Q&gt;&lt;R&gt;1&lt;/R&gt;&lt;C&gt;1&lt;/C&gt;&lt;D xsi:type="xsd:double"&gt;0.060329&lt;/D&gt;&lt;/FQL&gt;&lt;FQL&gt;&lt;Q&gt;AVPT-US^OS_SEC_FLT_PCT(0D,,MTD,SEC)&lt;/Q&gt;&lt;R&gt;1&lt;/R&gt;&lt;C&gt;1&lt;/C&gt;&lt;D xsi:type="xsd:double"&gt;63.1664&lt;/D&gt;&lt;/FQL&gt;&lt;FQL&gt;&lt;Q&gt;AVPT-US^AVG(P_VOLUME_FRQ(-1AM,NOW,D,,6))*P_PRICE_AVG(-1AM,NOW,,USD)&lt;/Q&gt;&lt;R&gt;1&lt;/R&gt;&lt;C&gt;1&lt;/C&gt;&lt;D xsi:type="xsd:double"&gt;23.9970870850612&lt;/D&gt;&lt;/FQL&gt;&lt;FQL&gt;&lt;Q&gt;AVPT-US^FCS_EV_DAILY(MV,NOW,,,USD,M)&lt;/Q&gt;&lt;R&gt;1&lt;/R&gt;&lt;C&gt;1&lt;/C&gt;&lt;D xsi:type="xsd:double"&gt;2391.6135767&lt;/D&gt;&lt;/FQL&gt;&lt;FQL&gt;&lt;Q&gt;AVPT-US^P_DCOUNTRY&lt;/Q&gt;&lt;R&gt;1&lt;/R&gt;&lt;C&gt;1&lt;/C&gt;&lt;D xsi:type="xsd:string"&gt;UNITED STATES&lt;/D&gt;&lt;/FQL&gt;&lt;FQL&gt;&lt;Q&gt;AVPT-US^FR_RBICS_NAME_CURR("IND")&lt;/Q&gt;&lt;R&gt;1&lt;/R&gt;&lt;C&gt;1&lt;/C&gt;&lt;D xsi:type="xsd:string"&gt;Data Storage Infrastructure Software&lt;/D&gt;&lt;/FQL&gt;&lt;FQL&gt;&lt;Q&gt;INTU-US^FE_RATING(MEAN,TEXTONLY,0,NOW,,,'')&lt;/Q&gt;&lt;R&gt;1&lt;/R&gt;&lt;C&gt;1&lt;/C&gt;&lt;D xsi:type="xsd:string"&gt;Buy&lt;/D&gt;&lt;/FQL&gt;&lt;FQL&gt;&lt;Q&gt;INTU-US^FG_PRICE(0,,,USD)/FG_PRICE_MAVG(0,,,USD,200)&lt;/Q&gt;&lt;R&gt;1&lt;/R&gt;&lt;C&gt;1&lt;/C&gt;&lt;D xsi:type="xsd:double"&gt;0.539863934602884&lt;/D&gt;&lt;/FQL&gt;&lt;FQL&gt;&lt;Q&gt;INTU-US^FG_PRICE(0,,,USD)/FG_PRICE_MAVG(0,,,USD,100)&lt;/Q&gt;&lt;R&gt;1&lt;/R&gt;&lt;C&gt;1&lt;/C&gt;&lt;D xsi:type="xsd:double"&gt;0.593655084757334&lt;/D&gt;&lt;/FQL&gt;&lt;FQL&gt;&lt;Q&gt;INTU-US^FG_PRICE(0,,,USD)/FG_PRICE_MAVG(0,,,USD,50)&lt;/Q&gt;&lt;R&gt;1&lt;/R&gt;&lt;C&gt;1&lt;/C&gt;&lt;D xsi:type="xsd:double"&gt;0.65193057487333&lt;/D&gt;&lt;/FQL&gt;&lt;FQL&gt;&lt;Q&gt;INTU-US^RTP_PRICE_TARGET(USD)/FG_PRICE(0,,,USD)&lt;/Q&gt;&lt;R&gt;1&lt;/R&gt;&lt;C&gt;1&lt;/C&gt;&lt;D xsi:type="xsd:double"&gt;2.05365532045385&lt;/D&gt;&lt;/FQL&gt;&lt;FQL&gt;&lt;Q&gt;INTU-US^FG_PRICE(0,,,USD)/P_PRICE_HIGH(-1AY,0,USD,,,"PRICE","INTRA")&lt;/Q&gt;&lt;R&gt;1&lt;/R&gt;&lt;C&gt;1&lt;/C&gt;&lt;D xsi:type="xsd:double"&gt;0.440838146737127&lt;/D&gt;&lt;/FQL&gt;&lt;FQL&gt;&lt;Q&gt;INTU-US^PERCENT_CHANGE(FE_VALUATION(FFEV_EBITDA,MEAN,NTMA,,0,,,''),MAX(FE_VALUATION(FFEV_EBITDA,MEAN,NTMA,,-1AY,0,,'')))&lt;/Q&gt;&lt;R&gt;1&lt;/R&gt;&lt;C&gt;1&lt;/C&gt;&lt;D xsi:type="xsd:double"&gt;-58.1516638933708&lt;/D&gt;&lt;/FQL&gt;&lt;FQL&gt;&lt;Q&gt;INTU-US^PERCENT_CHANGE(FE_VALUATION(PE,MEAN,NTMA,,0,,,''),MAX(FE_VALUATION(PE,MEAN,NTMA,,-1AY,0,,'')))&lt;/Q&gt;&lt;R&gt;1&lt;/R&gt;&lt;C&gt;1&lt;/C&gt;&lt;D xsi:type="xsd:double"&gt;-59.1501071584094&lt;/D&gt;&lt;/FQL&gt;&lt;FQL&gt;&lt;Q&gt;INTU-US^FE_VALUATION(FFEV_EBITDA,MEAN,NTMA,,0,,,'')&lt;/Q&gt;&lt;R&gt;1&lt;/R&gt;&lt;C&gt;1&lt;/C&gt;&lt;D xsi:type="xsd:double"&gt;10.691338&lt;/D&gt;&lt;/FQL&gt;&lt;FQL&gt;&lt;Q&gt;INTU-US^FE_VALUATION(FFEV_SALES,MEAN,NTMA,,0,,,'')&lt;/Q&gt;&lt;R&gt;1&lt;/R&gt;&lt;C&gt;1&lt;/C&gt;&lt;D xsi:type="xsd:double"&gt;4.568177&lt;/D&gt;&lt;/FQL&gt;&lt;FQL&gt;&lt;Q&gt;INTU-US^FE_VALUATION(P_SALESPS,MEAN,NTMA,,0,,,'')&lt;/Q&gt;&lt;R&gt;1&lt;/R&gt;&lt;C&gt;1&lt;/C&gt;&lt;D xsi:type="xsd:double"&gt;4.38614&lt;/D&gt;&lt;/FQL&gt;&lt;FQL&gt;&lt;Q&gt;INTU-US^FE_VALUATION(PE,MEAN,NTMA,,0,,,'')&lt;/Q&gt;&lt;R&gt;1&lt;/R&gt;&lt;C&gt;1&lt;/C&gt;&lt;D xsi:type="xsd:double"&gt;14.352569&lt;/D&gt;&lt;/FQL&gt;&lt;FQL&gt;&lt;Q&gt;INTU-US^FE_ACTUAL(ACTUAL,SALES,ANN_ROLL,0,,,,'CURRENCY=USD')&lt;/Q&gt;&lt;R&gt;1&lt;/R&gt;&lt;C&gt;1&lt;/C&gt;&lt;D xsi:type="xsd:double"&gt;18831&lt;/D&gt;&lt;/FQL&gt;&lt;FQL&gt;&lt;Q&gt;INTU-US^FE_ACTUAL(ACTUAL,SALES,ANN_ROLL,-1,,,,'CURRENCY=USD')&lt;/Q&gt;&lt;R&gt;1&lt;/R&gt;&lt;C&gt;1&lt;/C&gt;&lt;D xsi:type="xsd:double"&gt;16285&lt;/D&gt;&lt;/FQL&gt;&lt;FQL&gt;&lt;Q&gt;INTU-US^FE_VALUATION(EBITDA_MARGIN,MEAN,ANN_ROLL,0,NOW,,,'')&lt;/Q&gt;&lt;R&gt;1&lt;/R&gt;&lt;C&gt;1&lt;/C&gt;&lt;D xsi:type="xsd:double"&gt;41.832005&lt;/D&gt;&lt;/FQL&gt;&lt;FQL&gt;&lt;Q&gt;INTU-US^FE_VALUATION(ROIC,MEAN,NTMA,,0,,,'')&lt;/Q&gt;&lt;R&gt;1&lt;/R&gt;&lt;C&gt;1&lt;/C&gt;&lt;D xsi:type="xsd:double"&gt;22.812157&lt;/D&gt;&lt;/FQL&gt;&lt;FQL&gt;&lt;Q&gt;INTU-US^FE_VALUATION(ROE,MEAN,NTMA,,0,,,'')&lt;/Q&gt;&lt;R&gt;1&lt;/R&gt;&lt;C&gt;1&lt;/C&gt;&lt;D xsi:type="xsd:double"&gt;27.71314&lt;/D&gt;&lt;/FQL&gt;&lt;FQL&gt;&lt;Q&gt;INTU-US^FE_VALUATION(DIV_YLD,MEAN,NTMA,,NOW,,,'')&lt;/Q&gt;&lt;R&gt;1&lt;/R&gt;&lt;C&gt;1&lt;/C&gt;&lt;D xsi:type="xsd:double"&gt;1.3334625&lt;/D&gt;&lt;/FQL&gt;&lt;FQL&gt;&lt;Q&gt;INTU-US^FE_VALUATION(MCAP_FCF,MEAN,NTMA,,NOW,,,'')&lt;/Q&gt;&lt;R&gt;1&lt;/R&gt;&lt;C&gt;1&lt;/C&gt;&lt;D xsi:type="xsd:double"&gt;7.621888&lt;/D&gt;&lt;/FQL&gt;&lt;FQL&gt;&lt;Q&gt;INTU-US^FE_VALUATION(NETDEBT_EBITDA,MEAN,NTMA,,NOW,,,'')&lt;/Q&gt;&lt;R&gt;1&lt;/R&gt;&lt;C&gt;1&lt;/C&gt;&lt;D xsi:type="xsd:double"&gt;-0.4057327&lt;/D&gt;&lt;/FQL&gt;&lt;FQL&gt;&lt;Q&gt;INTU-US^FF_NET_MGN(LTM_R,0)&lt;/Q&gt;&lt;R&gt;1&lt;/R&gt;&lt;C&gt;1&lt;/C&gt;&lt;D xsi:type="xsd:double"&gt;21.1907579889878&lt;/D&gt;&lt;/FQL&gt;&lt;FQL&gt;&lt;Q&gt;INTU-US^FF_EBITDA_OPER_MGN(LTM_R,0)&lt;/Q&gt;&lt;R&gt;1&lt;/R&gt;&lt;C&gt;1&lt;/C&gt;&lt;D xsi:type="xsd:double"&gt;30.9216281582875&lt;/D&gt;&lt;/FQL&gt;&lt;FQL&gt;&lt;Q&gt;INTU-US^FF_GROSS_MGN(LTM_R,0)&lt;/Q&gt;&lt;R&gt;1&lt;/R&gt;&lt;C&gt;1&lt;/C&gt;&lt;D xsi:type="xsd:double"&gt;77.4095610559358&lt;/D&gt;&lt;/FQL&gt;&lt;FQL&gt;&lt;Q&gt;INTU-US^POW(FE_ESTIMATE(EPS,MEAN,STMA,,NOW,,,'CURRENCY=USD')/FE_ESTIMATE(EPS,MEAN,LTMA,,NOW,,,'CURRENCY=USD'),0.5)-1&lt;/Q&gt;&lt;R&gt;1&lt;/R&gt;&lt;C&gt;1&lt;/C&gt;&lt;D xsi:type="xsd:double"&gt;0.140596992806837&lt;/D&gt;&lt;/FQL&gt;&lt;FQL&gt;&lt;Q&gt;INTU-US^POW(FE_ESTIMATE(SALES,MEAN,STMA,,NOW,,,'CURRENCY=USD')/FE_ESTIMATE(SALES,MEAN,LTMA,,NOW,,,'CURRENCY=USD'),0.5)-1&lt;/Q&gt;&lt;R&gt;1&lt;/R&gt;&lt;C&gt;1&lt;/C&gt;&lt;D xsi:type="xsd:double"&gt;0.125172920043848&lt;/D&gt;&lt;/FQL&gt;&lt;FQL&gt;&lt;Q&gt;INTU-US^FE_ACTUAL(ACTUAL,EPS,ANN_ROLL,0,,,,'CURRENCY=USD')&lt;/Q&gt;&lt;R&gt;1&lt;/R&gt;&lt;C&gt;1&lt;/C&gt;&lt;D xsi:type="xsd:double"&gt;20.15&lt;/D&gt;&lt;/FQL&gt;&lt;FQL&gt;&lt;Q&gt;INTU-US^OS_SEC_FLT_PCT(0D,,MTD,SEC)&lt;/Q&gt;&lt;R&gt;1&lt;/R&gt;&lt;C&gt;1&lt;/C&gt;&lt;D xsi:type="xsd:double"&gt;97.8573&lt;/D&gt;&lt;/FQL&gt;&lt;FQL&gt;&lt;Q&gt;INTU-US^AVG(P_VOLUME_FRQ(-1AM,NOW,D,,6))*P_PRICE_AVG(-1AM,NOW,,USD)&lt;/Q&gt;&lt;R&gt;1&lt;/R&gt;&lt;C&gt;1&lt;/C&gt;&lt;D xsi:type="xsd:double"&gt;1905.33481437958&lt;/D&gt;&lt;/FQL&gt;&lt;FQL&gt;&lt;Q&gt;INTU-US^FCS_EV_DAILY(MV,NOW,,,USD,M)&lt;/Q&gt;&lt;R&gt;1&lt;/R&gt;&lt;C&gt;1&lt;/C&gt;&lt;D xsi:type="xsd:double"&gt;102867.29432067&lt;/D&gt;&lt;/FQL&gt;&lt;FQL&gt;&lt;Q&gt;INTU-US^P_DCOUNTRY&lt;/Q&gt;&lt;R&gt;1&lt;/R&gt;&lt;C&gt;1&lt;/C&gt;&lt;D xsi:type="xsd:string"&gt;UNITED STATES&lt;/D&gt;&lt;/FQL&gt;&lt;FQL&gt;&lt;Q&gt;INTU-US^FR_RBICS_NAME_CURR("IND")&lt;/Q&gt;&lt;R&gt;1&lt;/R&gt;&lt;C&gt;1&lt;/C&gt;&lt;D xsi:type="xsd:string"&gt;Enterprise Resource Planning Software&lt;/D&gt;&lt;/FQL&gt;&lt;FQL&gt;&lt;Q&gt;PATH-US^FE_RATING(MEAN,TEXTONLY,0,NOW,,,'')&lt;/Q&gt;&lt;R&gt;1&lt;/R&gt;&lt;C&gt;1&lt;/C&gt;&lt;D xsi:type="xsd:string"&gt;Hold&lt;/D&gt;&lt;/FQL&gt;&lt;FQL&gt;&lt;Q&gt;PATH-US^FG_PRICE(0,,,USD)/FG_PRICE_MAVG(0,,,USD,200)&lt;/Q&gt;&lt;R&gt;1&lt;/R&gt;&lt;C&gt;1&lt;/C&gt;&lt;D xsi:type="xsd:double"&gt;0.747218276515151&lt;/D&gt;&lt;/FQL&gt;&lt;FQL&gt;&lt;Q&gt;PATH-US^FG_PRICE(0,,,USD)/FG_PRICE_MAVG(0,,,USD,100)&lt;/Q&gt;&lt;R&gt;1&lt;/R&gt;&lt;C&gt;1&lt;/C&gt;&lt;D xsi:type="xsd:double"&gt;0.678658540682556&lt;/D&gt;&lt;/FQL&gt;&lt;FQL&gt;&lt;Q&gt;PATH-US^FG_PRICE(0,,,USD)/FG_PRICE_MAVG(0,,,USD,50)&lt;/Q&gt;&lt;R&gt;1&lt;/R&gt;&lt;C&gt;1&lt;/C&gt;&lt;D xsi:type="xsd:double"&gt;0.697061299984816&lt;/D&gt;&lt;/FQL&gt;&lt;FQL&gt;&lt;Q&gt;PATH-US^RTP_PRICE_TARGET(USD)/FG_PRICE(0,,,USD)&lt;/Q&gt;&lt;R&gt;1&lt;/R&gt;&lt;C&gt;1&lt;/C&gt;&lt;D xsi:type="xsd:double"&gt;1.59123049504951&lt;/D&gt;&lt;/FQL&gt;&lt;FQL&gt;&lt;Q&gt;PATH-US^FG_PRICE(0,,,USD)/P_PRICE_HIGH(-1AY,0,USD,,,"PRICE","INTRA")&lt;/Q&gt;&lt;R&gt;1&lt;/R&gt;&lt;C&gt;1&lt;/C&gt;&lt;D xsi:type="xsd:double"&gt;0.509072580645161&lt;/D&gt;&lt;/FQL&gt;&lt;FQL&gt;&lt;Q&gt;PATH-US^PERCENT_CHANGE(FE_VALUATION(FFEV_EBITDA,MEAN,NTMA,,0,,,''),MAX(FE_VALUATION(FFEV_EBITDA,MEAN,NTMA,,-1AY,0,,'')))&lt;/Q&gt;&lt;R&gt;1&lt;/R&gt;&lt;C&gt;1&lt;/C&gt;&lt;D xsi:type="xsd:double"&gt;-57.5623606124578&lt;/D&gt;&lt;/FQL&gt;&lt;FQL&gt;&lt;Q&gt;PATH-US^PERCENT_CHANGE(FE_VALUATION(PE,MEAN,NTMA,,0,,,''),MAX(FE_VALUATION(PE,MEAN,NTMA,,-1AY,0,,'')))&lt;/Q&gt;&lt;R&gt;1&lt;/R&gt;&lt;C&gt;1&lt;/C&gt;&lt;D xsi:type="xsd:double"&gt;-48.9807218234978&lt;/D&gt;&lt;/FQL&gt;&lt;FQL&gt;&lt;Q&gt;PATH-US^FE_VALUATION(FFEV_EBITDA,MEAN,NTMA,,0,,,'')&lt;/Q&gt;&lt;R&gt;1&lt;/R&gt;&lt;C&gt;1&lt;/C&gt;&lt;D xsi:type="xsd:double"&gt;9.617635&lt;/D&gt;&lt;/FQL&gt;&lt;FQL&gt;&lt;Q&gt;PATH-US^FE_VALUATION(FFEV_SALES,MEAN,NTMA,,0,,,'')&lt;/Q&gt;&lt;R&gt;1&lt;/R&gt;&lt;C&gt;1&lt;/C&gt;&lt;D xsi:type="xsd:double"&gt;2.3575807&lt;/D&gt;&lt;/FQL&gt;&lt;FQL&gt;&lt;Q&gt;PATH-US^FE_VALUATION(P_SALESPS,MEAN,NTMA,,0,,,'')&lt;/Q&gt;&lt;R&gt;1&lt;/R&gt;&lt;C&gt;1&lt;/C&gt;&lt;D xsi:type="xsd:double"&gt;3.0849984&lt;/D&gt;&lt;/FQL&gt;&lt;FQL&gt;&lt;Q&gt;PATH-US^FE_VALUATION(PE,MEAN,NTMA,,0,,,'')&lt;/Q&gt;&lt;R&gt;1&lt;/R&gt;&lt;C&gt;1&lt;/C&gt;&lt;D xsi:type="xsd:double"&gt;13.206933&lt;/D&gt;&lt;/FQL&gt;&lt;FQL&gt;&lt;Q&gt;PATH-US^FE_ACTUAL(ACTUAL,SALES,ANN_ROLL,0,,,,'CURRENCY=USD')&lt;/Q&gt;&lt;R&gt;1&lt;/R&gt;&lt;C&gt;1&lt;/C&gt;&lt;D xsi:type="xsd:double"&gt;1429.664&lt;/D&gt;&lt;/FQL&gt;&lt;FQL&gt;&lt;Q&gt;PATH-US^FE_ACTUAL(ACTUAL,SALES,ANN_ROLL,-1,,,,'CURRENCY=USD')&lt;/Q&gt;&lt;R&gt;1&lt;/R&gt;&lt;C&gt;1&lt;/C&gt;&lt;D xsi:type="xsd:double"&gt;1308.072&lt;/D&gt;&lt;/FQL&gt;&lt;FQL&gt;&lt;Q&gt;PATH-US^FE_VALUATION(EBITDA_MARGIN,MEAN,ANN_ROLL,0,NOW,,,'')&lt;/Q&gt;&lt;R&gt;1&lt;/R&gt;&lt;C&gt;1&lt;/C&gt;&lt;D xsi:type="xsd:double"&gt;17.70142&lt;/D&gt;&lt;/FQL&gt;&lt;FQL&gt;&lt;Q&gt;PATH-US^FE_VALUATION(ROIC,MEAN,NTMA,,0,,,'')&lt;/Q&gt;&lt;R&gt;1&lt;/R&gt;&lt;C&gt;1&lt;/C&gt;&lt;D xsi:type="xsd:double"&gt;16.627403&lt;/D&gt;&lt;/FQL&gt;&lt;FQL&gt;&lt;Q&gt;PATH-US^FE_VALUATION(ROE,MEAN,NTMA,,0,,,'')&lt;/Q&gt;&lt;R&gt;1&lt;/R&gt;&lt;C&gt;1&lt;/C&gt;&lt;D xsi:type="xsd:double"&gt;17.313625&lt;/D&gt;&lt;/FQL&gt;&lt;FQL&gt;&lt;Q&gt;PATH-US^FE_VALUATION(DIV_YLD,MEAN,NTMA,,NOW,,,'')&lt;/Q&gt;&lt;R&gt;1&lt;/R&gt;&lt;C&gt;1&lt;/C&gt;&lt;D xsi:type="xsd:double"&gt;0&lt;/D&gt;&lt;/FQL&gt;&lt;FQL&gt;&lt;Q&gt;PATH-US^FE_VALUATION(MCAP_FCF,MEAN,NTMA,,NOW,,,'')&lt;/Q&gt;&lt;R&gt;1&lt;/R&gt;&lt;C&gt;1&lt;/C&gt;&lt;D xsi:type="xsd:double"&gt;7.9243674&lt;/D&gt;&lt;/FQL&gt;&lt;FQL&gt;&lt;Q&gt;PATH-US^FE_VALUATION(NETDEBT_EBITDA,MEAN,NTMA,,NOW,,,'')&lt;/Q&gt;&lt;R&gt;1&lt;/R&gt;&lt;C&gt;1&lt;/C&gt;&lt;D xsi:type="xsd:double"&gt;-4.3219714&lt;/D&gt;&lt;/FQL&gt;&lt;FQL&gt;&lt;Q&gt;PATH-US^FF_NET_MGN(LTM_R,0)&lt;/Q&gt;&lt;R&gt;1&lt;/R&gt;&lt;C&gt;1&lt;/C&gt;&lt;D xsi:type="xsd:double"&gt;14.7872238365448&lt;/D&gt;&lt;/FQL&gt;&lt;FQL&gt;&lt;Q&gt;PATH-US^FF_EBITDA_OPER_MGN(LTM_R,0)&lt;/Q&gt;&lt;R&gt;1&lt;/R&gt;&lt;C&gt;1&lt;/C&gt;&lt;D xsi:type="xsd:double"&gt;2.49660198144241&lt;/D&gt;&lt;/FQL&gt;&lt;FQL&gt;&lt;Q&gt;PATH-US^FF_GROSS_MGN(LTM_R,0)&lt;/Q&gt;&lt;R&gt;1&lt;/R&gt;&lt;C&gt;1&lt;/C&gt;&lt;D xsi:type="xsd:double"&gt;83.1622466134101&lt;/D&gt;&lt;/FQL&gt;&lt;FQL&gt;&lt;Q&gt;PATH-US^POW(FE_ESTIMATE(EPS,MEAN,STMA,,NOW,,,'CURRENCY=USD')/FE_ESTIMATE(EPS,MEAN,LTMA,,NOW,,,'CURRENCY=USD'),0.5)-1&lt;/Q&gt;&lt;R&gt;1&lt;/R&gt;&lt;C&gt;1&lt;/C&gt;&lt;D xsi:type="xsd:double"&gt;0.101215328625605&lt;/D&gt;&lt;/FQL&gt;&lt;FQL&gt;&lt;Q&gt;PATH-US^POW(FE_ESTIMATE(SALES,MEAN,STMA,,NOW,,,'CURRENCY=USD')/FE_ESTIMATE(SALES,MEAN,LTMA,,NOW,,,'CURRENCY=USD'),0.5)-1&lt;/Q&gt;&lt;R&gt;1&lt;/R&gt;&lt;C&gt;1&lt;/C&gt;&lt;D xsi:type="xsd:double"&gt;0.0835932816329197&lt;/D&gt;&lt;/FQL&gt;&lt;FQL&gt;&lt;Q&gt;PATH-US^FE_ACTUAL(ACTUAL,EPS,ANN_ROLL,0,,,,'CURRENCY=USD')&lt;/Q&gt;&lt;R&gt;1&lt;/R&gt;&lt;C&gt;1&lt;/C&gt;&lt;D xsi:type="xsd:double"&gt;0.53&lt;/D&gt;&lt;/FQL&gt;&lt;FQL&gt;&lt;Q&gt;PATH-US^OS_SEC_FLT_PCT(0D,,MTD,SEC)&lt;/Q&gt;&lt;R&gt;1&lt;/R&gt;&lt;C&gt;1&lt;/C&gt;&lt;D xsi:type="xsd:double"&gt;88.6694&lt;/D&gt;&lt;/FQL&gt;&lt;FQL&gt;&lt;Q&gt;PATH-US^AVG(P_VOLUME_FRQ(-1AM,NOW,D,,6))*P_PRICE_AVG(-1AM,NOW,,USD)&lt;/Q&gt;&lt;R&gt;1&lt;/R&gt;&lt;C&gt;1&lt;/C&gt;&lt;D xsi:type="xsd:double"&gt;346.259104724454&lt;/D&gt;&lt;/FQL&gt;&lt;FQL&gt;&lt;Q&gt;PATH-US^FCS_EV_DAILY(MV,NOW,,,USD,M)&lt;/Q&gt;&lt;R&gt;1&lt;/R&gt;&lt;C&gt;1&lt;/C&gt;&lt;D xsi:type="xsd:double"&gt;5708.7981281&lt;/D&gt;&lt;/FQL&gt;&lt;FQL&gt;&lt;Q&gt;PATH-US^P_DCOUNTRY&lt;/Q&gt;&lt;R&gt;1&lt;/R&gt;&lt;C&gt;1&lt;/C&gt;&lt;D xsi:type="xsd:string"&gt;UNITED STATES&lt;/D&gt;&lt;/FQL&gt;&lt;FQL&gt;&lt;Q&gt;PATH-US^FR_RBICS_NAME_CURR("IND")&lt;/Q&gt;&lt;R&gt;1&lt;/R&gt;&lt;C&gt;1&lt;/C&gt;&lt;D xsi:type="xsd:string"&gt;Enterprise Resource Planning Software&lt;/D&gt;&lt;/FQL&gt;&lt;FQL&gt;&lt;Q&gt;WDAY-US^FE_RATING(MEAN,TEXTONLY,0,NOW,,,'')&lt;/Q&gt;&lt;R&gt;1&lt;/R&gt;&lt;C&gt;1&lt;/C&gt;&lt;D xsi:type="xsd:string"&gt;Overweight&lt;/D&gt;&lt;/FQL&gt;&lt;FQL&gt;&lt;Q&gt;WDAY-US^FG_PRICE(0,,,USD)/FG_PRICE_MAVG(0,,,USD,200)&lt;/Q&gt;&lt;R&gt;1&lt;/R&gt;&lt;C&gt;1&lt;/C&gt;&lt;D xsi:type="xsd:double"&gt;0.582889161766177&lt;/D&gt;&lt;/FQL&gt;&lt;FQL&gt;&lt;Q&gt;WDAY-US^FG_PRICE(0,,,USD)/FG_PRICE_MAVG(0,,,USD,100)&lt;/Q&gt;&lt;R&gt;1&lt;/R&gt;&lt;C&gt;1&lt;/C&gt;&lt;D xsi:type="xsd:double"&gt;0.625244434902034&lt;/D&gt;&lt;/FQL&gt;&lt;FQL&gt;&lt;Q&gt;WDAY-US^FG_PRICE(0,,,USD)/FG_PRICE_MAVG(0,,,USD,50)&lt;/Q&gt;&lt;R&gt;1&lt;/R&gt;&lt;C&gt;1&lt;/C&gt;&lt;D xsi:type="xsd:double"&gt;0.697092210691745&lt;/D&gt;&lt;/FQL&gt;&lt;FQL&gt;&lt;Q&gt;WDAY-US^RTP_PRICE_TARGET(USD)/FG_PRICE(0,,,USD)&lt;/Q&gt;&lt;R&gt;1&lt;/R&gt;&lt;C&gt;1&lt;/C&gt;&lt;D xsi:type="xsd:double"&gt;1.45983483068417&lt;/D&gt;&lt;/FQL&gt;&lt;FQL&gt;&lt;Q&gt;WDAY-US^FG_PRICE(0,,,USD)/P_PRICE_HIGH(-1AY,0,USD,,,"PRICE","INTRA")&lt;/Q&gt;&lt;R&gt;1&lt;/R&gt;&lt;C&gt;1&lt;/C&gt;&lt;D xsi:type="xsd:double"&gt;0.463451957295374&lt;/D&gt;&lt;/FQL&gt;&lt;FQL&gt;&lt;Q&gt;WDAY-US^PERCENT_CHANGE(FE_VALUATION(FFEV_EBITDA,MEAN,NTMA,,0,,,''),MAX(FE_VALUATION(FFEV_EBITDA,MEAN,NTMA,,-1AY,0,,'')))&lt;/Q&gt;&lt;R&gt;1&lt;/R&gt;&lt;C&gt;1&lt;/C&gt;&lt;D xsi:type="xsd:double"&gt;-59.9923080228917&lt;/D&gt;&lt;/FQL&gt;&lt;FQL&gt;&lt;Q&gt;WDAY-US^PERCENT_CHANGE(FE_VALUATION(PE,MEAN,NTMA,,0,,,''),MAX(FE_VALUATION(PE,MEAN,NTMA,,-1AY,0,,'')))&lt;/Q&gt;&lt;R&gt;1&lt;/R&gt;&lt;C&gt;1&lt;/C&gt;&lt;D xsi:type="xsd:double"&gt;-61.8443004367664&lt;/D&gt;&lt;/FQL&gt;&lt;FQL&gt;&lt;Q&gt;WDAY-US^FE_VALUATION(FFEV_EBITDA,MEAN,NTMA,,0,,,'')&lt;/Q&gt;&lt;R&gt;1&lt;/R&gt;&lt;C&gt;1&lt;/C&gt;&lt;D xsi:type="xsd:double"&gt;8.974191&lt;/D&gt;&lt;/FQL&gt;&lt;FQL&gt;&lt;Q&gt;WDAY-US^FE_VALUATION(FFEV_SALES,MEAN,NTMA,,0,,,'')&lt;/Q&gt;&lt;R&gt;1&lt;/R&gt;&lt;C&gt;1&lt;/C&gt;&lt;D xsi:type="xsd:double"&gt;3.0828872&lt;/D&gt;&lt;/FQL&gt;&lt;FQL&gt;&lt;Q&gt;WDAY-US^FE_VALUATION(P_SALESPS,MEAN,NTMA,,0,,,'')&lt;/Q&gt;&lt;R&gt;1&lt;/R&gt;&lt;C&gt;1&lt;/C&gt;&lt;D xsi:type="xsd:double"&gt;3.171371&lt;/D&gt;&lt;/FQL&gt;&lt;FQL&gt;&lt;Q&gt;WDAY-US^FE_VALUATION(PE,MEAN,NTMA,,0,,,'')&lt;/Q&gt;&lt;R&gt;1&lt;/R&gt;&lt;C&gt;1&lt;/C&gt;&lt;D xsi:type="xsd:double"&gt;11.98555&lt;/D&gt;&lt;/FQL&gt;&lt;FQL&gt;&lt;Q&gt;WDAY-US^FE_ACTUAL(ACTUAL,SALES,ANN_ROLL,0,,,,'CURRENCY=USD')&lt;/Q&gt;&lt;R&gt;1&lt;/R&gt;&lt;C&gt;1&lt;/C&gt;&lt;D xsi:type="xsd:double"&gt;9552&lt;/D&gt;&lt;/FQL&gt;&lt;FQL&gt;&lt;Q&gt;WDAY-US^FE_ACTUAL(ACTUAL,SALES,ANN_ROLL,-1,,,,'CURRENCY=USD')&lt;/Q&gt;&lt;R&gt;1&lt;/R&gt;&lt;C&gt;1&lt;/C&gt;&lt;D xsi:type="xsd:double"&gt;8446&lt;/D&gt;&lt;/FQL&gt;&lt;FQL&gt;&lt;Q&gt;WDAY-US^FE_VALUATION(EBITDA_MARGIN,MEAN,ANN_ROLL,0,NOW,,,'')&lt;/Q&gt;&lt;R&gt;1&lt;/R&gt;&lt;C&gt;1&lt;/C&gt;&lt;D xsi:type="xsd:double"&gt;32.816296&lt;/D&gt;&lt;/FQL&gt;&lt;FQL&gt;&lt;Q&gt;WDAY-US^FE_VALUATION(ROIC,MEAN,NTMA,,0,,,'')&lt;/Q&gt;&lt;R&gt;1&lt;/R&gt;&lt;C&gt;1&lt;/C&gt;&lt;D xsi:type="xsd:double"&gt;21.25536&lt;/D&gt;&lt;/FQL&gt;&lt;FQL&gt;&lt;Q&gt;WDAY-US^FE_VALUATION(ROE,MEAN,NTMA,,0,,,'')&lt;/Q&gt;&lt;R&gt;1&lt;/R&gt;&lt;C&gt;1&lt;/C&gt;&lt;D xsi:type="xsd:double"&gt;28.069597&lt;/D&gt;&lt;/FQL&gt;&lt;FQL&gt;&lt;Q&gt;WDAY-US^FE_VALUATION(DIV_YLD,MEAN,NTMA,,NOW,,,'')&lt;/Q&gt;&lt;R&gt;1&lt;/R&gt;&lt;C&gt;1&lt;/C&gt;&lt;D xsi:type="xsd:double"&gt;0&lt;/D&gt;&lt;/FQL&gt;&lt;FQL&gt;&lt;Q&gt;WDAY-US^FE_VALUATION(MCAP_FCF,MEAN,NTMA,,NOW,,,'')&lt;/Q&gt;&lt;R&gt;1&lt;/R&gt;&lt;C&gt;1&lt;/C&gt;&lt;D xsi:type="xsd:double"&gt;9.449008&lt;/D&gt;&lt;/FQL&gt;&lt;FQL&gt;&lt;Q&gt;WDAY-US^FE_VALUATION(NETDEBT_EBITDA,MEAN,NTMA,,NOW,,,'')&lt;/Q&gt;&lt;R&gt;1&lt;/R&gt;&lt;C&gt;1&lt;/C&gt;&lt;D xsi:type="xsd:double"&gt;-0.2774144&lt;/D&gt;&lt;/FQL&gt;&lt;FQL&gt;&lt;Q&gt;WDAY-US^FF_NET_MGN(LTM_R,0)&lt;/Q&gt;&lt;R&gt;1&lt;/R&gt;&lt;C&gt;1&lt;/C&gt;&lt;D xsi:type="xsd:double"&gt;7.26948494702612&lt;/D&gt;&lt;/FQL&gt;&lt;FQL&gt;&lt;Q&gt;WDAY-US^FF_EBITDA_OPER_MGN(LTM_R,0)&lt;/Q&gt;&lt;R&gt;1&lt;/R&gt;&lt;C&gt;1&lt;/C&gt;&lt;D xsi:type="xsd:double"&gt;14.4970103849785&lt;/D&gt;&lt;/FQL&gt;&lt;FQL&gt;&lt;Q&gt;WDAY-US^FF_GROSS_MGN(LTM_R,0)&lt;/Q&gt;&lt;R&gt;1&lt;/R&gt;&lt;C&gt;1&lt;/C&gt;&lt;D xsi:type="xsd:double"&gt;75.6529948599601&lt;/D&gt;&lt;/FQL&gt;&lt;FQL&gt;&lt;Q&gt;WDAY-US^POW(FE_ESTIMATE(EPS,MEAN,STMA,,NOW,,,'CURRENCY=USD')/FE_ESTIMATE(EPS,MEAN,LTMA,,NOW,,,'CURRENCY=USD'),0.5)-1&lt;/Q&gt;&lt;R&gt;1&lt;/R&gt;&lt;C&gt;1&lt;/C&gt;&lt;D xsi:type="xsd:double"&gt;0.165620821708329&lt;/D&gt;&lt;/FQL&gt;&lt;FQL&gt;&lt;Q&gt;WDAY-US^POW(FE_ESTIMATE(SALES,MEAN,STMA,,NOW,,,'CURRENCY=USD')/FE_ESTIMATE(SALES,MEAN,LTMA,,NOW,,,'CURRENCY=USD'),0.5)-1&lt;/Q&gt;&lt;R&gt;1&lt;/R&gt;&lt;C&gt;1&lt;/C&gt;&lt;D xsi:type="xsd:double"&gt;0.114747415336766&lt;/D&gt;&lt;/FQL&gt;&lt;FQL&gt;&lt;Q&gt;WDAY-US^FE_ACTUAL(ACTUAL,EPS,ANN_ROLL,0,,,,'CURRENCY=USD')&lt;/Q&gt;&lt;R&gt;1&lt;/R&gt;&lt;C&gt;1&lt;/C&gt;&lt;D xsi:type="xsd:double"&gt;9.23&lt;/D&gt;&lt;/FQL&gt;&lt;FQL&gt;&lt;Q&gt;WDAY-US^OS_SEC_FLT_PCT(0D,,MTD,SEC)&lt;/Q&gt;&lt;R&gt;1&lt;/R&gt;&lt;C&gt;1&lt;/C&gt;&lt;D xsi:type="xsd:double"&gt;99.2681&lt;/D&gt;&lt;/FQL&gt;&lt;FQL&gt;&lt;Q&gt;WDAY-US^AVG(P_VOLUME_FRQ(-1AM,NOW,D,,6))*P_PRICE_AVG(-1AM,NOW,,USD)&lt;/Q&gt;&lt;R&gt;1&lt;/R&gt;&lt;C&gt;1&lt;/C&gt;&lt;D xsi:type="xsd:double"&gt;817.448703731788&lt;/D&gt;&lt;/FQL&gt;&lt;FQL&gt;&lt;Q&gt;WDAY-US^FCS_EV_DAILY(MV,NOW,,,USD,M)&lt;/Q&gt;&lt;R&gt;1&lt;/R&gt;&lt;C&gt;1&lt;/C&gt;&lt;D xsi:type="xsd:double"&gt;36218.23336&lt;/D&gt;&lt;/FQL&gt;&lt;FQL&gt;&lt;Q&gt;WDAY-US^P_DCOUNTRY&lt;/Q&gt;&lt;R&gt;1&lt;/R&gt;&lt;C&gt;1&lt;/C&gt;&lt;D xsi:type="xsd:string"&gt;UNITED STATES&lt;/D&gt;&lt;/FQL&gt;&lt;FQL&gt;&lt;Q&gt;WDAY-US^FR_RBICS_NAME_CURR("IND")&lt;/Q&gt;&lt;R&gt;1&lt;/R&gt;&lt;C&gt;1&lt;/C&gt;&lt;D xsi:type="xsd:string"&gt;Enterprise Resource Planning Software&lt;/D&gt;&lt;/FQL&gt;&lt;FQL&gt;&lt;Q&gt;CVLT-US^FE_RATING(MEAN,TEXTONLY,0,NOW,,,'')&lt;/Q&gt;&lt;R&gt;1&lt;/R&gt;&lt;C&gt;1&lt;/C&gt;&lt;D xsi:type="xsd:string"&gt;Buy&lt;/D&gt;&lt;/FQL&gt;&lt;FQL&gt;&lt;Q&gt;CVLT-US^FG_PRICE(0,,,USD)/FG_PRICE_MAVG(0,,,USD,200)&lt;/Q&gt;&lt;R&gt;1&lt;/R&gt;&lt;C&gt;1&lt;/C&gt;&lt;D xsi:type="xsd:double"&gt;0.575544827748584&lt;/D&gt;&lt;/FQL&gt;&lt;FQL&gt;&lt;Q&gt;CVLT-US^FG_PRICE(0,,,USD)/FG_PRICE_MAVG(0,,,USD,100)&lt;/Q&gt;&lt;R&gt;1&lt;/R&gt;&lt;C&gt;1&lt;/C&gt;&lt;D xsi:type="xsd:double"&gt;0.694614792571256&lt;/D&gt;&lt;/FQL&gt;&lt;FQL&gt;&lt;Q&gt;CVLT-US^FG_PRICE(0,,,USD)/FG_PRICE_MAVG(0,,,USD,50)&lt;/Q&gt;&lt;R&gt;1&lt;/R&gt;&lt;C&gt;1&lt;/C&gt;&lt;D xsi:type="xsd:double"&gt;0.80656775296732&lt;/D&gt;&lt;/FQL&gt;&lt;FQL&gt;&lt;Q&gt;CVLT-US^RTP_PRICE_TARGET(USD)/FG_PRICE(0,,,USD)&lt;/Q&gt;&lt;R&gt;1&lt;/R&gt;&lt;C&gt;1&lt;/C&gt;&lt;D xsi:type="xsd:double"&gt;1.58586653859193&lt;/D&gt;&lt;/FQL&gt;&lt;FQL&gt;&lt;Q&gt;CVLT-US^FG_PRICE(0,,,USD)/P_PRICE_HIGH(-1AY,0,USD,,,"PRICE","INTRA")&lt;/Q&gt;&lt;R&gt;1&lt;/R&gt;&lt;C&gt;1&lt;/C&gt;&lt;D xsi:type="xsd:double"&gt;0.440940660120408&lt;/D&gt;&lt;/FQL&gt;&lt;FQL&gt;&lt;Q&gt;CVLT-US^PERCENT_CHANGE(FE_VALUATION(FFEV_EBITDA,MEAN,NTMA,,0,,,''),MAX(FE_VALUATION(FFEV_EBITDA,MEAN,NTMA,,-1AY,0,,'')))&lt;/Q&gt;&lt;R&gt;1&lt;/R&gt;&lt;C&gt;1&lt;/C&gt;&lt;D xsi:type="xsd:double"&gt;-56.0766591570747&lt;/D&gt;&lt;/FQL&gt;&lt;FQL&gt;&lt;Q&gt;CVLT-US^PERCENT_CHANGE(FE_VALUATION(PE,MEAN,NTMA,,0,,,''),MAX(FE_VALUATION(PE,MEAN,NTMA,,-1AY,0,,'')))&lt;/Q&gt;&lt;R&gt;1&lt;/R&gt;&lt;C&gt;1&lt;/C&gt;&lt;D xsi:type="xsd:double"&gt;-58.8336876411676&lt;/D&gt;&lt;/FQL&gt;&lt;FQL&gt;&lt;Q&gt;CVLT-US^FE_VALUATION(FFEV_EBITDA,MEAN,NTMA,,0,,,'')&lt;/Q&gt;&lt;R&gt;1&lt;/R&gt;&lt;C&gt;1&lt;/C&gt;&lt;D xsi:type="xsd:double"&gt;14.2976&lt;/D&gt;&lt;/FQL&gt;&lt;FQL&gt;&lt;Q&gt;CVLT-US^FE_VALUATION(FFEV_SALES,MEAN,NTMA,,0,,,'')&lt;/Q&gt;&lt;R&gt;1&lt;/R&gt;&lt;C&gt;1&lt;/C&gt;&lt;D xsi:type="xsd:double"&gt;2.9504561&lt;/D&gt;&lt;/FQL&gt;&lt;FQL&gt;&lt;Q&gt;CVLT-US^FE_VALUATION(P_SALESPS,MEAN,NTMA,,0,,,'')&lt;/Q&gt;&lt;R&gt;1&lt;/R&gt;&lt;C&gt;1&lt;/C&gt;&lt;D xsi:type="xsd:double"&gt;2.989787&lt;/D&gt;&lt;/FQL&gt;&lt;FQL&gt;&lt;Q&gt;CVLT-US^FE_VALUATION(PE,MEAN,NTMA,,0,,,'')&lt;/Q&gt;&lt;R&gt;1&lt;/R&gt;&lt;C&gt;1&lt;/C&gt;&lt;D xsi:type="xsd:double"&gt;18.581944&lt;/D&gt;&lt;/FQL&gt;&lt;FQL&gt;&lt;Q&gt;CVLT-US^FE_ACTUAL(ACTUAL,SALES,ANN_ROLL,0,,,,'CURRENCY=USD')&lt;/Q&gt;&lt;R&gt;1&lt;/R&gt;&lt;C&gt;1&lt;/C&gt;&lt;D xsi:type="xsd:double"&gt;995.619&lt;/D&gt;&lt;/FQL&gt;&lt;FQL&gt;&lt;Q&gt;CVLT-US^FE_ACTUAL(ACTUAL,SALES,ANN_ROLL,-1,,,,'CURRENCY=USD')&lt;/Q&gt;&lt;R&gt;1&lt;/R&gt;&lt;C&gt;1&lt;/C&gt;&lt;D xsi:type="xsd:double"&gt;839.247&lt;/D&gt;&lt;/FQL&gt;&lt;FQL&gt;&lt;Q&gt;CVLT-US^FE_VALUATION(EBITDA_MARGIN,MEAN,ANN_ROLL,0,NOW,,,'')&lt;/Q&gt;&lt;R&gt;1&lt;/R&gt;&lt;C&gt;1&lt;/C&gt;&lt;D xsi:type="xsd:double"&gt;21.986856&lt;/D&gt;&lt;/FQL&gt;&lt;FQL&gt;&lt;Q&gt;CVLT-US^FE_VALUATION(ROIC,MEAN,NTMA,,0,,,'')&lt;/Q&gt;&lt;R&gt;1&lt;/R&gt;&lt;C&gt;1&lt;/C&gt;&lt;D xsi:type="xsd:double"&gt;19.34519&lt;/D&gt;&lt;/FQL&gt;&lt;FQL&gt;&lt;Q&gt;CVLT-US^FE_VALUATION(ROE,MEAN,NTMA,,0,,,'')&lt;/Q&gt;&lt;R&gt;1&lt;/R&gt;&lt;C&gt;1&lt;/C&gt;&lt;D xsi:type="xsd:double"&gt;49.05138&lt;/D&gt;&lt;/FQL&gt;&lt;FQL&gt;&lt;Q&gt;CVLT-US^FE_VALUATION(DIV_YLD,MEAN,NTMA,,NOW,,,'')&lt;/Q&gt;&lt;R&gt;0&lt;/R&gt;&lt;C&gt;0&lt;/C&gt;&lt;/FQL&gt;&lt;FQL&gt;&lt;Q&gt;CVLT-US^FE_VALUATION(MCAP_FCF,MEAN,NTMA,,NOW,,,'')&lt;/Q&gt;&lt;R&gt;1&lt;/R&gt;&lt;C&gt;1&lt;/C&gt;&lt;D xsi:type="xsd:double"&gt;6.67095&lt;/D&gt;&lt;/FQL&gt;&lt;FQL&gt;&lt;Q&gt;CVLT-US^FE_VALUATION(NETDEBT_EBITDA,MEAN,NTMA,,NOW,,,'')&lt;/Q&gt;&lt;R&gt;1&lt;/R&gt;&lt;C&gt;1&lt;/C&gt;&lt;D xsi:type="xsd:double"&gt;-1.3269114&lt;/D&gt;&lt;/FQL&gt;&lt;FQL&gt;&lt;Q&gt;CVLT-US^FF_NET_MGN(LTM_R,0)&lt;/Q&gt;&lt;R&gt;1&lt;/R&gt;&lt;C&gt;1&lt;/C&gt;&lt;D xsi:type="xsd:double"&gt;7.58484687067636&lt;/D&gt;&lt;/FQL&gt;&lt;FQL&gt;&lt;Q&gt;CVLT-US^FF_EBITDA_OPER_MGN(LTM_R,0)&lt;/Q&gt;&lt;R&gt;1&lt;/R&gt;&lt;C&gt;1&lt;/C&gt;&lt;D xsi:type="xsd:double"&gt;9.55217660807803&lt;/D&gt;&lt;/FQL&gt;&lt;FQL&gt;&lt;Q&gt;CVLT-US^FF_GROSS_MGN(LTM_R,0)&lt;/Q&gt;&lt;R&gt;1&lt;/R&gt;&lt;C&gt;1&lt;/C&gt;&lt;D xsi:type="xsd:double"&gt;80.5526761560438&lt;/D&gt;&lt;/FQL&gt;&lt;FQL&gt;&lt;Q&gt;CVLT-US^POW(FE_ESTIMATE(EPS,MEAN,STMA,,NOW,,,'CURRENCY=USD')/FE_ESTIMATE(EPS,MEAN,LTMA,,NOW,,,'CURRENCY=USD'),0.5)-1&lt;/Q&gt;&lt;R&gt;1&lt;/R&gt;&lt;C&gt;1&lt;/C&gt;&lt;D xsi:type="xsd:double"&gt;0.162659838473833&lt;/D&gt;&lt;/FQL&gt;&lt;FQL&gt;&lt;Q&gt;CVLT-US^POW(FE_ESTIMATE(SALES,MEAN,STMA,,NOW,,,'CURRENCY=USD')/FE_ESTIMATE(SALES,MEAN,LTMA,,NOW,,,'CURRENCY=USD'),0.5)-1&lt;/Q&gt;&lt;R&gt;1&lt;/R&gt;&lt;C&gt;1&lt;/C&gt;&lt;D xsi:type="xsd:double"&gt;0.12304082739676&lt;/D&gt;&lt;/FQL&gt;&lt;FQL&gt;&lt;Q&gt;CVLT-US^FE_ACTUAL(ACTUAL,EPS,ANN_ROLL,0,,,,'CURRENCY=USD')&lt;/Q&gt;&lt;R&gt;1&lt;/R&gt;&lt;C&gt;1&lt;/C&gt;&lt;D xsi:type="xsd:double"&gt;3.65&lt;/D&gt;&lt;/FQL&gt;&lt;FQL&gt;&lt;Q&gt;CVLT-US^OS_SEC_FLT_PCT(0D,,MTD,SEC)&lt;/Q&gt;&lt;R&gt;1&lt;/R&gt;&lt;C&gt;1&lt;/C&gt;&lt;D xsi:type="xsd:double"&gt;98.5375&lt;/D&gt;&lt;/FQL&gt;&lt;FQL&gt;&lt;Q&gt;CVLT-US^AVG(P_VOLUME_FRQ(-1AM,NOW,D,,6))*P_PRICE_AVG(-1AM,NOW,,USD)&lt;/Q&gt;&lt;R&gt;1&lt;/R&gt;&lt;C&gt;1&lt;/C&gt;&lt;D xsi:type="xsd:double"&gt;119.704772674184&lt;/D&gt;&lt;/FQL&gt;&lt;FQL&gt;&lt;Q&gt;CVLT-US^FCS_EV_DAILY(MV,NOW,,,USD,M)&lt;/Q&gt;&lt;R&gt;1&lt;/R&gt;&lt;C&gt;1&lt;/C&gt;&lt;D xsi:type="xsd:double"&gt;4029.69186563&lt;/D&gt;&lt;/FQL&gt;&lt;FQL&gt;&lt;Q&gt;CVLT-US^P_DCOUNTRY&lt;/Q&gt;&lt;R&gt;1&lt;/R&gt;&lt;C&gt;1&lt;/C&gt;&lt;D xsi:type="xsd:string"&gt;UNITED STATES&lt;/D&gt;&lt;/FQL&gt;&lt;FQL&gt;&lt;Q&gt;CVLT-US^FR_RBICS_NAME_CURR("IND")&lt;/Q&gt;&lt;R&gt;1&lt;/R&gt;&lt;C&gt;1&lt;/C&gt;&lt;D xsi:type="xsd:string"&gt;Data Storage Infrastructure Software&lt;/D&gt;&lt;/FQL&gt;&lt;FQL&gt;&lt;Q&gt;DOCU-US^FE_RATING(MEAN,TEXTONLY,0,NOW,,,'')&lt;/Q&gt;&lt;R&gt;1&lt;/R&gt;&lt;C&gt;1&lt;/C&gt;&lt;D xsi:type="xsd:string"&gt;Overweight&lt;/D&gt;&lt;/FQL&gt;&lt;FQL&gt;&lt;Q&gt;DOCU-US^FG_PRICE(0,,,USD)/FG_PRICE_MAVG(0,,,USD,200)&lt;/Q&gt;&lt;R&gt;1&lt;/R&gt;&lt;C&gt;1&lt;/C&gt;&lt;D xsi:type="xsd:double"&gt;0.599900179970054&lt;/D&gt;&lt;/FQL&gt;&lt;FQL&gt;&lt;Q&gt;DOCU-US^FG_PRICE(0,,,USD)/FG_PRICE_MAVG(0,,,USD,100)&lt;/Q&gt;&lt;R&gt;1&lt;/R&gt;&lt;C&gt;1&lt;/C&gt;&lt;D xsi:type="xsd:double"&gt;0.672615824130976&lt;/D&gt;&lt;/FQL&gt;&lt;FQL&gt;&lt;Q&gt;DOCU-US^FG_PRICE(0,,,USD)/FG_PRICE_MAVG(0,,,USD,50)&lt;/Q&gt;&lt;R&gt;1&lt;/R&gt;&lt;C&gt;1&lt;/C&gt;&lt;D xsi:type="xsd:double"&gt;0.734954865023867&lt;/D&gt;&lt;/FQL&gt;&lt;FQL&gt;&lt;Q&gt;DOCU-US^RTP_PRICE_TARGET(USD)/FG_PRICE(0,,,USD)&lt;/Q&gt;&lt;R&gt;1&lt;/R&gt;&lt;C&gt;1&lt;/C&gt;&lt;D xsi:type="xsd:double"&gt;1.84801633605601&lt;/D&gt;&lt;/FQL&gt;&lt;FQL&gt;&lt;Q&gt;DOCU-US^FG_PRICE(0,,,USD)/P_PRICE_HIGH(-1AY,0,USD,,,"PRICE","INTRA")&lt;/Q&gt;&lt;R&gt;1&lt;/R&gt;&lt;C&gt;1&lt;/C&gt;&lt;D xsi:type="xsd:double"&gt;0.452624907573677&lt;/D&gt;&lt;/FQL&gt;&lt;FQL&gt;&lt;Q&gt;DOCU-US^PERCENT_CHANGE(FE_VALUATION(FFEV_EBITDA,MEAN,NTMA,,0,,,''),MAX(FE_VALUATION(FFEV_EBITDA,MEAN,NTMA,,-1AY,0,,'')))&lt;/Q&gt;&lt;R&gt;1&lt;/R&gt;&lt;C&gt;1&lt;/C&gt;&lt;D xsi:type="xsd:double"&gt;-61.6947707610521&lt;/D&gt;&lt;/FQL&gt;&lt;FQL&gt;&lt;Q&gt;DOCU-US^PERCENT_CHANGE(FE_VALUATION(PE,MEAN,NTMA,,0,,,''),MAX(FE_VALUATION(PE,MEAN,NTMA,,-1AY,0,,'')))&lt;/Q&gt;&lt;R&gt;1&lt;/R&gt;&lt;C&gt;1&lt;/C&gt;&lt;D xsi:type="xsd:double"&gt;-60.2473475558844&lt;/D&gt;&lt;/FQL&gt;&lt;FQL&gt;&lt;Q&gt;DOCU-US^FE_VALUATION(FFEV_EBITDA,MEAN,NTMA,,0,,,'')&lt;/Q&gt;&lt;R&gt;1&lt;/R&gt;&lt;C&gt;1&lt;/C&gt;&lt;D xsi:type="xsd:double"&gt;6.8800344&lt;/D&gt;&lt;/FQL&gt;&lt;FQL&gt;&lt;Q&gt;DOCU-US^FE_VALUATION(FFEV_SALES,MEAN,NTMA,,0,,,'')&lt;/Q&gt;&lt;R&gt;1&lt;/R&gt;&lt;C&gt;1&lt;/C&gt;&lt;D xsi:type="xsd:double"&gt;2.3926935&lt;/D&gt;&lt;/FQL&gt;&lt;FQL&gt;&lt;Q&gt;DOCU-US^FE_VALUATION(P_SALESPS,MEAN,NTMA,,0,,,'')&lt;/Q&gt;&lt;R&gt;1&lt;/R&gt;&lt;C&gt;1&lt;/C&gt;&lt;D xsi:type="xsd:double"&gt;2.496073&lt;/D&gt;&lt;/FQL&gt;&lt;FQL&gt;&lt;Q&gt;DOCU-US^FE_VALUATION(PE,MEAN,NTMA,,0,,,'')&lt;/Q&gt;&lt;R&gt;1&lt;/R&gt;&lt;C&gt;1&lt;/C&gt;&lt;D xsi:type="xsd:double"&gt;10.345724&lt;/D&gt;&lt;/FQL&gt;&lt;FQL&gt;&lt;Q&gt;DOCU-US^FE_ACTUAL(ACTUAL,SALES,ANN_ROLL,0,,,,'CURRENCY=USD')&lt;/Q&gt;&lt;R&gt;1&lt;/R&gt;&lt;C&gt;1&lt;/C&gt;&lt;D xsi:type="xsd:double"&gt;2976.739&lt;/D&gt;&lt;/FQL&gt;&lt;FQL&gt;&lt;Q&gt;DOCU-US^FE_ACTUAL(ACTUAL,SALES,ANN_ROLL,-1,,,,'CURRENCY=USD')&lt;/Q&gt;&lt;R&gt;1&lt;/R&gt;&lt;C&gt;1&lt;/C&gt;&lt;D xsi:type="xsd:double"&gt;2761.882&lt;/D&gt;&lt;/FQL&gt;&lt;FQL&gt;&lt;Q&gt;DOCU-US^FE_VALUATION(EBITDA_MARGIN,MEAN,ANN_ROLL,0,NOW,,,'')&lt;/Q&gt;&lt;R&gt;1&lt;/R&gt;&lt;C&gt;1&lt;/C&gt;&lt;D xsi:type="xsd:double"&gt;30.930975&lt;/D&gt;&lt;/FQL&gt;&lt;FQL&gt;&lt;Q&gt;DOCU-US^FE_VALUATION(ROIC,MEAN,NTMA,,0,,,'')&lt;/Q&gt;&lt;R&gt;1&lt;/R&gt;&lt;C&gt;1&lt;/C&gt;&lt;D xsi:type="xsd:double"&gt;26.94141&lt;/D&gt;&lt;/FQL&gt;&lt;FQL&gt;&lt;Q&gt;DOCU-US^FE_VALUATION(ROE,MEAN,NTMA,,0,,,'')&lt;/Q&gt;&lt;R&gt;1&lt;/R&gt;&lt;C&gt;1&lt;/C&gt;&lt;D xsi:type="xsd:double"&gt;27.819582&lt;/D&gt;&lt;/FQL&gt;&lt;FQL&gt;&lt;Q&gt;DOCU-US^FE_VALUATION(DIV_YLD,MEAN,NTMA,,NOW,,,'')&lt;/Q&gt;&lt;R&gt;1&lt;/R&gt;&lt;C&gt;1&lt;/C&gt;&lt;D xsi:type="xsd:double"&gt;0&lt;/D&gt;&lt;/FQL&gt;&lt;FQL&gt;&lt;Q&gt;DOCU-US^FE_VALUATION(MCAP_FCF,MEAN,NTMA,,NOW,,,'')&lt;/Q&gt;&lt;R&gt;1&lt;/R&gt;&lt;C&gt;1&lt;/C&gt;&lt;D xsi:type="xsd:double"&gt;12.631592&lt;/D&gt;&lt;/FQL&gt;&lt;FQL&gt;&lt;Q&gt;DOCU-US^FE_VALUATION(NETDEBT_EBITDA,MEAN,NTMA,,NOW,,,'')&lt;/Q&gt;&lt;R&gt;1&lt;/R&gt;&lt;C&gt;1&lt;/C&gt;&lt;D xsi:type="xsd:double"&gt;-1.5786965&lt;/D&gt;&lt;/FQL&gt;&lt;FQL&gt;&lt;Q&gt;DOCU-US^FF_NET_MGN(LTM_R,0)&lt;/Q&gt;&lt;R&gt;1&lt;/R&gt;&lt;C&gt;1&lt;/C&gt;&lt;D xsi:type="xsd:double"&gt;9.56895645688425&lt;/D&gt;&lt;/FQL&gt;&lt;FQL&gt;&lt;Q&gt;DOCU-US^FF_EBITDA_OPER_MGN(LTM_R,0)&lt;/Q&gt;&lt;R&gt;1&lt;/R&gt;&lt;C&gt;1&lt;/C&gt;&lt;D xsi:type="xsd:double"&gt;12.335369490315&lt;/D&gt;&lt;/FQL&gt;&lt;FQL&gt;&lt;Q&gt;DOCU-US^FF_GROSS_MGN(LTM_R,0)&lt;/Q&gt;&lt;R&gt;1&lt;/R&gt;&lt;C&gt;1&lt;/C&gt;&lt;D xsi:type="xsd:double"&gt;78.8872490734093&lt;/D&gt;&lt;/FQL&gt;&lt;FQL&gt;&lt;Q&gt;DOCU-US^POW(FE_ESTIMATE(EPS,MEAN,STMA,,NOW,,,'CURRENCY=USD')/FE_ESTIMATE(EPS,MEAN,LTMA,,NOW,,,'CURRENCY=USD'),0.5)-1&lt;/Q&gt;&lt;R&gt;1&lt;/R&gt;&lt;C&gt;1&lt;/C&gt;&lt;D xsi:type="xsd:double"&gt;0.0890463718317966&lt;/D&gt;&lt;/FQL&gt;&lt;FQL&gt;&lt;Q&gt;DOCU-US^POW(FE_ESTIMATE(SALES,MEAN,STMA,,NOW,,,'CURRENCY=USD')/FE_ESTIMATE(SALES,MEAN,LTMA,,NOW,,,'CURRENCY=USD'),0.5)-1&lt;/Q&gt;&lt;R&gt;1&lt;/R&gt;&lt;C&gt;1&lt;/C&gt;&lt;D xsi:type="xsd:double"&gt;0.0664473732913407&lt;/D&gt;&lt;/FQL&gt;&lt;FQL&gt;&lt;Q&gt;DOCU-US^FE_ACTUAL(ACTUAL,EPS,ANN_ROLL,0,,,,'CURRENCY=USD')&lt;/Q&gt;&lt;R&gt;1&lt;/R&gt;&lt;C&gt;1&lt;/C&gt;&lt;D xsi:type="xsd:double"&gt;3.55&lt;/D&gt;&lt;/FQL&gt;&lt;FQL&gt;&lt;Q&gt;DOCU-US^OS_SEC_FLT_PCT(0D,,MTD,SEC)&lt;/Q&gt;&lt;R&gt;1&lt;/R&gt;&lt;C&gt;1&lt;/C&gt;&lt;D xsi:type="xsd:double"&gt;98.991&lt;/D&gt;&lt;/FQL&gt;&lt;FQL&gt;&lt;Q&gt;DOCU-US^AVG(P_VOLUME_FRQ(-1AM,NOW,D,,6))*P_PRICE_AVG(-1AM,NOW,,USD)&lt;/Q&gt;&lt;R&gt;1&lt;/R&gt;&lt;C&gt;1&lt;/C&gt;&lt;D xsi:type="xsd:double"&gt;231.988588799243&lt;/D&gt;&lt;/FQL&gt;&lt;FQL&gt;&lt;Q&gt;DOCU-US^FCS_EV_DAILY(MV,NOW,,,USD,M)&lt;/Q&gt;&lt;R&gt;1&lt;/R&gt;&lt;C&gt;1&lt;/C&gt;&lt;D xsi:type="xsd:double"&gt;9687.682249&lt;/D&gt;&lt;/FQL&gt;&lt;FQL&gt;&lt;Q&gt;DOCU-US^P_DCOUNTRY&lt;/Q&gt;&lt;R&gt;1&lt;/R&gt;&lt;C&gt;1&lt;/C&gt;&lt;D xsi:type="xsd:string"&gt;UNITED STATES&lt;/D&gt;&lt;/FQL&gt;&lt;FQL&gt;&lt;Q&gt;DOCU-US^FR_RBICS_NAME_CURR("IND")&lt;/Q&gt;&lt;R&gt;1&lt;/R&gt;&lt;C&gt;1&lt;/C&gt;&lt;D xsi:type="xsd:string"&gt;Content Management Software&lt;/D&gt;&lt;/FQL&gt;&lt;FQL&gt;&lt;Q&gt;FICO-US^FE_RATING(MEAN,TEXTONLY,0,NOW,,,'')&lt;/Q&gt;&lt;R&gt;1&lt;/R&gt;&lt;C&gt;1&lt;/C&gt;&lt;D xsi:type="xsd:string"&gt;Overweight&lt;/D&gt;&lt;/FQL&gt;&lt;FQL&gt;&lt;Q&gt;FICO-US^FG_PRICE(0,,,USD)/FG_PRICE_MAVG(0,,,USD,200)&lt;/Q&gt;&lt;R&gt;1&lt;/R&gt;&lt;C&gt;1&lt;/C&gt;&lt;D xsi:type="xsd:double"&gt;0.752264274840108&lt;/D&gt;&lt;/FQL&gt;&lt;FQL&gt;&lt;Q&gt;FICO-US^FG_PRICE(0,,,USD)/FG_PRICE_MAVG(0,,,USD,100)&lt;/Q&gt;&lt;R&gt;1&lt;/R&gt;&lt;C&gt;1&lt;/C&gt;&lt;D xsi:type="xsd:double"&gt;0.75186349001285&lt;/D&gt;&lt;/FQL&gt;&lt;FQL&gt;&lt;Q&gt;FICO-US^FG_PRICE(0,,,USD)/FG_PRICE_MAVG(0,,,USD,50)&lt;/Q&gt;&lt;R&gt;1&lt;/R&gt;&lt;C&gt;1&lt;/C&gt;&lt;D xsi:type="xsd:double"&gt;0.788904150488079&lt;/D&gt;&lt;/FQL&gt;&lt;FQL&gt;&lt;Q&gt;FICO-US^RTP_PRICE_TARGET(USD)/FG_PRICE(0,,,USD)&lt;/Q&gt;&lt;R&gt;1&lt;/R&gt;&lt;C&gt;1&lt;/C&gt;&lt;D xsi:type="xsd:double"&gt;1.57985190977738&lt;/D&gt;&lt;/FQL&gt;&lt;FQL&gt;&lt;Q&gt;FICO-US^FG_PRICE(0,,,USD)/P_PRICE_HIGH(-1AY,0,USD,,,"PRICE","INTRA")&lt;/Q&gt;&lt;R&gt;1&lt;/R&gt;&lt;C&gt;1&lt;/C&gt;&lt;D xsi:type="xsd:double"&gt;0.553584956709957&lt;/D&gt;&lt;/FQL&gt;&lt;FQL&gt;&lt;Q&gt;FICO-US^PERCENT_CHANGE(FE_VALUATION(FFEV_EBITDA,MEAN,NTMA,,0,,,''),MAX(FE_VALUATION(FFEV_EBITDA,MEAN,NTMA,,-1AY,0,,'')))&lt;/Q&gt;&lt;R&gt;1&lt;/R&gt;&lt;C&gt;1&lt;/C&gt;&lt;D xsi:type="xsd:double"&gt;-56.4800382381157&lt;/D&gt;&lt;/FQL&gt;&lt;FQL&gt;&lt;Q&gt;FICO-US^PERCENT_CHANGE(FE_VALUATION(PE,MEAN,NTMA,,0,,,''),MAX(FE_VALUATION(PE,MEAN,NTMA,,-1AY,0,,'')))&lt;/Q&gt;&lt;R&gt;1&lt;/R&gt;&lt;C&gt;1&lt;/C&gt;&lt;D xsi:type="xsd:double"&gt;-59.4154038879885&lt;/D&gt;&lt;/FQL&gt;&lt;FQL&gt;&lt;Q&gt;FICO-US^FE_VALUATION(FFEV_EBITDA,MEAN,NTMA,,0,,,'')&lt;/Q&gt;&lt;R&gt;1&lt;/R&gt;&lt;C&gt;1&lt;/C&gt;&lt;D xsi:type="xsd:double"&gt;19.825321&lt;/D&gt;&lt;/FQL&gt;&lt;FQL&gt;&lt;Q&gt;FICO-US^FE_VALUATION(FFEV_SALES,MEAN,NTMA,,0,,,'')&lt;/Q&gt;&lt;R&gt;1&lt;/R&gt;&lt;C&gt;1&lt;/C&gt;&lt;D xsi:type="xsd:double"&gt;12.193437&lt;/D&gt;&lt;/FQL&gt;&lt;FQL&gt;&lt;Q&gt;FICO-US^FE_VALUATION(P_SALESPS,MEAN,NTMA,,0,,,'')&lt;/Q&gt;&lt;R&gt;1&lt;/R&gt;&lt;C&gt;1&lt;/C&gt;&lt;D xsi:type="xsd:double"&gt;10.938102&lt;/D&gt;&lt;/FQL&gt;&lt;FQL&gt;&lt;Q&gt;FICO-US^FE_VALUATION(PE,MEAN,NTMA,,0,,,'')&lt;/Q&gt;&lt;R&gt;1&lt;/R&gt;&lt;C&gt;1&lt;/C&gt;&lt;D xsi:type="xsd:double"&gt;26.600693&lt;/D&gt;&lt;/FQL&gt;&lt;FQL&gt;&lt;Q&gt;FICO-US^FE_ACTUAL(ACTUAL,SALES,ANN_ROLL,0,,,,'CURRENCY=USD')&lt;/Q&gt;&lt;R&gt;1&lt;/R&gt;&lt;C&gt;1&lt;/C&gt;&lt;D xsi:type="xsd:double"&gt;1990.869&lt;/D&gt;&lt;/FQL&gt;&lt;FQL&gt;&lt;Q&gt;FICO-US^FE_ACTUAL(ACTUAL,SALES,ANN_ROLL,-1,,,,'CURRENCY=USD')&lt;/Q&gt;&lt;R&gt;1&lt;/R&gt;&lt;C&gt;1&lt;/C&gt;&lt;D xsi:type="xsd:double"&gt;1717.526&lt;/D&gt;&lt;/FQL&gt;&lt;FQL&gt;&lt;Q&gt;FICO-US^FE_VALUATION(EBITDA_MARGIN,MEAN,ANN_ROLL,0,NOW,,,'')&lt;/Q&gt;&lt;R&gt;1&lt;/R&gt;&lt;C&gt;1&lt;/C&gt;&lt;D xsi:type="xsd:double"&gt;55.16587&lt;/D&gt;&lt;/FQL&gt;&lt;FQL&gt;&lt;Q&gt;FICO-US^FE_VALUATION(ROIC,MEAN,NTMA,,0,,,'')&lt;/Q&gt;&lt;R&gt;1&lt;/R&gt;&lt;C&gt;1&lt;/C&gt;&lt;D xsi:type="xsd:double"&gt;61.22264&lt;/D&gt;&lt;/FQL&gt;&lt;FQL&gt;&lt;Q&gt;FICO-US^FE_VALUATION(ROE,MEAN,NTMA,,0,,,'')&lt;/Q&gt;&lt;R&gt;0&lt;/R&gt;&lt;C&gt;0&lt;/C&gt;&lt;/FQL&gt;&lt;FQL&gt;&lt;Q&gt;FICO-US^FE_VALUATION(DIV_YLD,MEAN,NTMA,,NOW,,,'')&lt;/Q&gt;&lt;R&gt;1&lt;/R&gt;&lt;C&gt;1&lt;/C&gt;&lt;D xsi:type="xsd:double"&gt;0&lt;/D&gt;&lt;/FQL&gt;&lt;FQL&gt;&lt;Q&gt;FICO-US^FE_VALUATION(MCAP_FCF,MEAN,NTMA,,NOW,,,'')&lt;/Q&gt;&lt;R&gt;1&lt;/R&gt;&lt;C&gt;1&lt;/C&gt;&lt;D xsi:type="xsd:double"&gt;3.8997357&lt;/D&gt;&lt;/FQL&gt;&lt;FQL&gt;&lt;Q&gt;FICO-US^FE_VALUATION(NETDEBT_EBITDA,MEAN,NTMA,,NOW,,,'')&lt;/Q&gt;&lt;R&gt;1&lt;/R&gt;&lt;C&gt;1&lt;/C&gt;&lt;D xsi:type="xsd:double"&gt;1.762651&lt;/D&gt;&lt;/FQL&gt;&lt;FQL&gt;&lt;Q&gt;FICO-US^FF_NET_MGN(LTM_R,0)&lt;/Q&gt;&lt;R&gt;1&lt;/R&gt;&lt;C&gt;1&lt;/C&gt;&lt;D xsi:type="xsd:double"&gt;31.8873311809817&lt;/D&gt;&lt;/FQL&gt;&lt;FQL&gt;&lt;Q&gt;FICO-US^FF_EBITDA_OPER_MGN(LTM_R,0)&lt;/Q&gt;&lt;R&gt;1&lt;/R&gt;&lt;C&gt;1&lt;/C&gt;&lt;D xsi:type="xsd:double"&gt;48.7540114210368&lt;/D&gt;&lt;/FQL&gt;&lt;FQL&gt;&lt;Q&gt;FICO-US^FF_GROSS_MGN(LTM_R,0)&lt;/Q&gt;&lt;R&gt;1&lt;/R&gt;&lt;C&gt;1&lt;/C&gt;&lt;D xsi:type="xsd:double"&gt;82.8569074004053&lt;/D&gt;&lt;/FQL&gt;&lt;FQL&gt;&lt;Q&gt;FICO-US^POW(FE_ESTIMATE(EPS,MEAN,STMA,,NOW,,,'CURRENCY=USD')/FE_ESTIMATE(EPS,MEAN,LTMA,,NOW,,,'CURRENCY=USD'),0.5)-1&lt;/Q&gt;&lt;R&gt;1&lt;/R&gt;&lt;C&gt;1&lt;/C&gt;&lt;D xsi:type="xsd:double"&gt;0.276731725931489&lt;/D&gt;&lt;/FQL&gt;&lt;FQL&gt;&lt;Q&gt;FICO-US^POW(FE_ESTIMATE(SALES,MEAN,STMA,,NOW,,,'CURRENCY=USD')/FE_ESTIMATE(SALES,MEAN,LTMA,,NOW,,,'CURRENCY=USD'),0.5)-1&lt;/Q&gt;&lt;R&gt;1&lt;/R&gt;&lt;C&gt;1&lt;/C&gt;&lt;D xsi:type="xsd:double"&gt;0.183275031427605&lt;/D&gt;&lt;/FQL&gt;&lt;FQL&gt;&lt;Q&gt;FICO-US^FE_ACTUAL(ACTUAL,EPS,ANN_ROLL,0,,,,'CURRENCY=USD')&lt;/Q&gt;&lt;R&gt;1&lt;/R&gt;&lt;C&gt;1&lt;/C&gt;&lt;D xsi:type="xsd:double"&gt;29.88&lt;/D&gt;&lt;/FQL&gt;&lt;FQL&gt;&lt;Q&gt;FICO-US^OS_SEC_FLT_PCT(0D,,MTD,SEC)&lt;/Q&gt;&lt;R&gt;1&lt;/R&gt;&lt;C&gt;1&lt;/C&gt;&lt;D xsi:type="xsd:double"&gt;96.9984&lt;/D&gt;&lt;/FQL&gt;&lt;FQL&gt;&lt;Q&gt;FICO-US^AVG(P_VOLUME_FRQ(-1AM,NOW,D,,6))*P_PRICE_AVG(-1AM,NOW,,USD)&lt;/Q&gt;&lt;R&gt;1&lt;/R&gt;&lt;C&gt;1&lt;/C&gt;&lt;D xsi:type="xsd:double"&gt;466.769721826477&lt;/D&gt;&lt;/FQL&gt;&lt;FQL&gt;&lt;Q&gt;FICO-US^FCS_EV_DAILY(MV,NOW,,,USD,M)&lt;/Q&gt;&lt;R&gt;1&lt;/R&gt;&lt;C&gt;1&lt;/C&gt;&lt;D xsi:type="xsd:double"&gt;29497.05217242&lt;/D&gt;&lt;/FQL&gt;&lt;FQL&gt;&lt;Q&gt;FICO-US^P_DCOUNTRY&lt;/Q&gt;&lt;R&gt;1&lt;/R&gt;&lt;C&gt;1&lt;/C&gt;&lt;D xsi:type="xsd:string"&gt;UNITED STATES&lt;/D&gt;&lt;/FQL&gt;&lt;FQL&gt;&lt;Q&gt;FICO-US^FR_RBICS_NAME_CURR("IND")&lt;/Q&gt;&lt;R&gt;1&lt;/R&gt;&lt;C&gt;1&lt;/C&gt;&lt;D xsi:type="xsd:string"&gt;Other Business Administrative Services&lt;/D&gt;&lt;/FQL&gt;&lt;FQL&gt;&lt;Q&gt;TENB-US^FE_RATING(MEAN,TEXTONLY,0,NOW,,,'')&lt;/Q&gt;&lt;R&gt;1&lt;/R&gt;&lt;C&gt;1&lt;/C&gt;&lt;D xsi:type="xsd:string"&gt;Overweight&lt;/D&gt;&lt;/FQL&gt;&lt;FQL&gt;&lt;Q&gt;TENB-US^FG_PRICE(0,,,USD)/FG_PRICE_MAVG(0,,,USD,200)&lt;/Q&gt;&lt;R&gt;1&lt;/R&gt;&lt;C&gt;1&lt;/C&gt;&lt;D xsi:type="xsd:double"&gt;0.640455497272199&lt;/D&gt;&lt;/FQL&gt;&lt;FQL&gt;&lt;Q&gt;TENB-US^FG_PRICE(0,,,USD)/FG_PRICE_MAVG(0,,,USD,100)&lt;/Q&gt;&lt;R&gt;1&lt;/R&gt;&lt;C&gt;1&lt;/C&gt;&lt;D xsi:type="xsd:double"&gt;0.720244623269533&lt;/D&gt;&lt;/FQL&gt;&lt;FQL&gt;&lt;Q&gt;TENB-US^FG_PRICE(0,,,USD)/FG_PRICE_MAVG(0,,,USD,50)&lt;/Q&gt;&lt;R&gt;1&lt;/R&gt;&lt;C&gt;1&lt;/C&gt;&lt;D xsi:type="xsd:double"&gt;0.805067213648728&lt;/D&gt;&lt;/FQL&gt;&lt;FQL&gt;&lt;Q&gt;TENB-US^RTP_PRICE_TARGET(USD)/FG_PRICE(0,,,USD)&lt;/Q&gt;&lt;R&gt;1&lt;/R&gt;&lt;C&gt;1&lt;/C&gt;&lt;D xsi:type="xsd:double"&gt;1.6797277747403&lt;/D&gt;&lt;/FQL&gt;&lt;FQL&gt;&lt;Q&gt;TENB-US^FG_PRICE(0,,,USD)/P_PRICE_HIGH(-1AY,0,USD,,,"PRICE","INTRA")&lt;/Q&gt;&lt;R&gt;1&lt;/R&gt;&lt;C&gt;1&lt;/C&gt;&lt;D xsi:type="xsd:double"&gt;0.467476038338658&lt;/D&gt;&lt;/FQL&gt;&lt;FQL&gt;&lt;Q&gt;TENB-US^PERCENT_CHANGE(FE_VALUATION(FFEV_EBITDA,MEAN,NTMA,,0,,,''),MAX(FE_VALUATION(FFEV_EBITDA,MEAN,NTMA,,-1AY,0,,'')))&lt;/Q&gt;&lt;R&gt;1&lt;/R&gt;&lt;C&gt;1&lt;/C&gt;&lt;D xsi:type="xsd:double"&gt;-56.1931071077541&lt;/D&gt;&lt;/FQL&gt;&lt;FQL&gt;&lt;Q&gt;TENB-US^PERCENT_CHANGE(FE_VALUATION(PE,MEAN,NTMA,,0,,,''),MAX(FE_VALUATION(PE,MEAN,NTMA,,-1AY,0,,'')))&lt;/Q&gt;&lt;R&gt;1&lt;/R&gt;&lt;C&gt;1&lt;/C&gt;&lt;D xsi:type="xsd:double"&gt;-61.6334284668068&lt;/D&gt;&lt;/FQL&gt;&lt;FQL&gt;&lt;Q&gt;TENB-US^FE_VALUATION(FFEV_EBITDA,MEAN,NTMA,,0,,,'')&lt;/Q&gt;&lt;R&gt;1&lt;/R&gt;&lt;C&gt;1&lt;/C&gt;&lt;D xsi:type="xsd:double"&gt;8.11703&lt;/D&gt;&lt;/FQL&gt;&lt;FQL&gt;&lt;Q&gt;TENB-US^FE_VALUATION(FFEV_SALES,MEAN,NTMA,,0,,,'')&lt;/Q&gt;&lt;R&gt;1&lt;/R&gt;&lt;C&gt;1&lt;/C&gt;&lt;D xsi:type="xsd:double"&gt;2.0413074&lt;/D&gt;&lt;/FQL&gt;&lt;FQL&gt;&lt;Q&gt;TENB-US^FE_VALUATION(P_SALESPS,MEAN,NTMA,,0,,,'')&lt;/Q&gt;&lt;R&gt;1&lt;/R&gt;&lt;C&gt;1&lt;/C&gt;&lt;D xsi:type="xsd:double"&gt;2.016584&lt;/D&gt;&lt;/FQL&gt;&lt;FQL&gt;&lt;Q&gt;TENB-US^FE_VALUATION(PE,MEAN,NTMA,,0,,,'')&lt;/Q&gt;&lt;R&gt;1&lt;/R&gt;&lt;C&gt;1&lt;/C&gt;&lt;D xsi:type="xsd:double"&gt;9.616364&lt;/D&gt;&lt;/FQL&gt;&lt;FQL&gt;&lt;Q&gt;TENB-US^FE_ACTUAL(ACTUAL,SALES,ANN_ROLL,0,,,,'CURRENCY=USD')&lt;/Q&gt;&lt;R&gt;1&lt;/R&gt;&lt;C&gt;1&lt;/C&gt;&lt;D xsi:type="xsd:double"&gt;999.405&lt;/D&gt;&lt;/FQL&gt;&lt;FQL&gt;&lt;Q&gt;TENB-US^FE_ACTUAL(ACTUAL,SALES,ANN_ROLL,-1,,,,'CURRENCY=USD')&lt;/Q&gt;&lt;R&gt;1&lt;/R&gt;&lt;C&gt;1&lt;/C&gt;&lt;D xsi:type="xsd:double"&gt;900.021&lt;/D&gt;&lt;/FQL&gt;&lt;FQL&gt;&lt;Q&gt;TENB-US^FE_VALUATION(EBITDA_MARGIN,MEAN,ANN_ROLL,0,NOW,,,'')&lt;/Q&gt;&lt;R&gt;1&lt;/R&gt;&lt;C&gt;1&lt;/C&gt;&lt;D xsi:type="xsd:double"&gt;23.54739&lt;/D&gt;&lt;/FQL&gt;&lt;FQL&gt;&lt;Q&gt;TENB-US^FE_VALUATION(ROIC,MEAN,NTMA,,0,,,'')&lt;/Q&gt;&lt;R&gt;1&lt;/R&gt;&lt;C&gt;1&lt;/C&gt;&lt;D xsi:type="xsd:double"&gt;26.39757&lt;/D&gt;&lt;/FQL&gt;&lt;FQL&gt;&lt;Q&gt;TENB-US^FE_VALUATION(ROE,MEAN,NTMA,,0,,,'')&lt;/Q&gt;&lt;R&gt;1&lt;/R&gt;&lt;C&gt;1&lt;/C&gt;&lt;D xsi:type="xsd:double"&gt;46.280136&lt;/D&gt;&lt;/FQL&gt;&lt;FQL&gt;&lt;Q&gt;TENB-US^FE_VALUATION(DIV_YLD,MEAN,NTMA,,NOW,,,'')&lt;/Q&gt;&lt;R&gt;1&lt;/R&gt;&lt;C&gt;1&lt;/C&gt;&lt;D xsi:type="xsd:double"&gt;0&lt;/D&gt;&lt;/FQL&gt;&lt;FQL&gt;&lt;Q&gt;TENB-US^FE_VALUATION(MCAP_FCF,MEAN,NTMA,,NOW,,,'')&lt;/Q&gt;&lt;R&gt;1&lt;/R&gt;&lt;C&gt;1&lt;/C&gt;&lt;D xsi:type="xsd:double"&gt;12.4334955&lt;/D&gt;&lt;/FQL&gt;&lt;FQL&gt;&lt;Q&gt;TENB-US^FE_VALUATION(NETDEBT_EBITDA,MEAN,NTMA,,NOW,,,'')&lt;/Q&gt;&lt;R&gt;1&lt;/R&gt;&lt;C&gt;1&lt;/C&gt;&lt;D xsi:type="xsd:double"&gt;-0.88758624&lt;/D&gt;&lt;/FQL&gt;&lt;FQL&gt;&lt;Q&gt;TENB-US^FF_NET_MGN(LTM_R,0)&lt;/Q&gt;&lt;R&gt;1&lt;/R&gt;&lt;C&gt;1&lt;/C&gt;&lt;D xsi:type="xsd:double"&gt;-3.61395030042875&lt;/D&gt;&lt;/FQL&gt;&lt;FQL&gt;&lt;Q&gt;TENB-US^FF_EBITDA_OPER_MGN(LTM_R,0)&lt;/Q&gt;&lt;R&gt;1&lt;/R&gt;&lt;C&gt;1&lt;/C&gt;&lt;D xsi:type="xsd:double"&gt;4.31816931073989&lt;/D&gt;&lt;/FQL&gt;&lt;FQL&gt;&lt;Q&gt;TENB-US^FF_GROSS_MGN(LTM_R,0)&lt;/Q&gt;&lt;R&gt;1&lt;/R&gt;&lt;C&gt;1&lt;/C&gt;&lt;D xsi:type="xsd:double"&gt;81.955463500783&lt;/D&gt;&lt;/FQL&gt;&lt;FQL&gt;&lt;Q&gt;TENB-US^POW(FE_ESTIMATE(EPS,MEAN,STMA,,NOW,,,'CURRENCY=USD')/FE_ESTIMATE(EPS,MEAN,LTMA,,NOW,,,'CURRENCY=USD'),0.5)-1&lt;/Q&gt;&lt;R&gt;1&lt;/R&gt;&lt;C&gt;1&lt;/C&gt;&lt;D xsi:type="xsd:double"&gt;0.144816928596009&lt;/D&gt;&lt;/FQL&gt;&lt;FQL&gt;&lt;Q&gt;TENB-US^POW(FE_ESTIMATE(SALES,MEAN,STMA,,NOW,,,'CURRENCY=USD')/FE_ESTIMATE(SALES,MEAN,LTMA,,NOW,,,'CURRENCY=USD'),0.5)-1&lt;/Q&gt;&lt;R&gt;1&lt;/R&gt;&lt;C&gt;1&lt;/C&gt;&lt;D xsi:type="xsd:double"&gt;0.0717901846910149&lt;/D&gt;&lt;/FQL&gt;&lt;FQL&gt;&lt;Q&gt;TENB-US^FE_ACTUAL(ACTUAL,EPS,ANN_ROLL,0,,,,'CURRENCY=USD')&lt;/Q&gt;&lt;R&gt;1&lt;/R&gt;&lt;C&gt;1&lt;/C&gt;&lt;D xsi:type="xsd:double"&gt;1.59&lt;/D&gt;&lt;/FQL&gt;&lt;FQL&gt;&lt;Q&gt;TENB-US^OS_SEC_FLT_PCT(0D,,MTD,SEC)&lt;/Q&gt;&lt;R&gt;1&lt;/R&gt;&lt;C&gt;1&lt;/C&gt;&lt;D xsi:type="xsd:double"&gt;97.952&lt;/D&gt;&lt;/FQL&gt;&lt;FQL&gt;&lt;Q&gt;TENB-US^AVG(P_VOLUME_FRQ(-1AM,NOW,D,,6))*P_PRICE_AVG(-1AM,NOW,,USD)&lt;/Q&gt;&lt;R&gt;1&lt;/R&gt;&lt;C&gt;1&lt;/C&gt;&lt;D xsi:type="xsd:double"&gt;69.85151180581&lt;/D&gt;&lt;/FQL&gt;&lt;FQL&gt;&lt;Q&gt;TENB-US^FCS_EV_DAILY(MV,NOW,,,USD,M)&lt;/Q&gt;&lt;R&gt;1&lt;/R&gt;&lt;C&gt;1&lt;/C&gt;&lt;D xsi:type="xsd:double"&gt;2365.72861514&lt;/D&gt;&lt;/FQL&gt;&lt;FQL&gt;&lt;Q&gt;TENB-US^P_DCOUNTRY&lt;/Q&gt;&lt;R&gt;1&lt;/R&gt;&lt;C&gt;1&lt;/C&gt;&lt;D xsi:type="xsd:string"&gt;UNITED STATES&lt;/D&gt;&lt;/FQL&gt;&lt;FQL&gt;&lt;Q&gt;TENB-US^FR_RBICS_NAME_CURR("IND")&lt;/Q&gt;&lt;R&gt;1&lt;/R&gt;&lt;C&gt;1&lt;/C&gt;&lt;D xsi:type="xsd:string"&gt;Network Infrastructure Software&lt;/D&gt;&lt;/FQL&gt;&lt;FQL&gt;&lt;Q&gt;NOW-US^FE_RATING(MEAN,TEXTONLY,0,NOW,,,'')&lt;/Q&gt;&lt;R&gt;1&lt;/R&gt;&lt;C&gt;1&lt;/C&gt;&lt;D xsi:type="xsd:string"&gt;Buy&lt;/D&gt;&lt;/FQL&gt;&lt;FQL&gt;&lt;Q&gt;NOW-US^FG_PRICE(0,,,USD)/FG_PRICE_MAVG(0,,,USD,200)&lt;/Q&gt;&lt;R&gt;1&lt;/R&gt;&lt;C&gt;1&lt;/C&gt;&lt;D xsi:type="xsd:double"&gt;0.592353718569968&lt;/D&gt;&lt;/FQL&gt;&lt;FQL&gt;&lt;Q&gt;NOW-US^FG_PRICE(0,,,USD)/FG_PRICE_MAVG(0,,,USD,100)&lt;/Q&gt;&lt;R&gt;1&lt;/R&gt;&lt;C&gt;1&lt;/C&gt;&lt;D xsi:type="xsd:double"&gt;0.666761909074207&lt;/D&gt;&lt;/FQL&gt;&lt;FQL&gt;&lt;Q&gt;NOW-US^FG_PRICE(0,,,USD)/FG_PRICE_MAVG(0,,,USD,50)&lt;/Q&gt;&lt;R&gt;1&lt;/R&gt;&lt;C&gt;1&lt;/C&gt;&lt;D xsi:type="xsd:double"&gt;0.777244666519646&lt;/D&gt;&lt;/FQL&gt;&lt;FQL&gt;&lt;Q&gt;NOW-US^RTP_PRICE_TARGET(USD)/FG_PRICE(0,,,USD)&lt;/Q&gt;&lt;R&gt;1&lt;/R&gt;&lt;C&gt;1&lt;/C&gt;&lt;D xsi:type="xsd:double"&gt;1.83132305590789&lt;/D&gt;&lt;/FQL&gt;&lt;FQL&gt;&lt;Q&gt;NOW-US^FG_PRICE(0,,,USD)/P_PRICE_HIGH(-1AY,0,USD,,,"PRICE","INTRA")&lt;/Q&gt;&lt;R&gt;1&lt;/R&gt;&lt;C&gt;1&lt;/C&gt;&lt;D xsi:type="xsd:double"&gt;0.484636745631862&lt;/D&gt;&lt;/FQL&gt;&lt;FQL&gt;&lt;Q&gt;NOW-US^PERCENT_CHANGE(FE_VALUATION(FFEV_EBITDA,MEAN,NTMA,,0,,,''),MAX(FE_VALUATION(FFEV_EBITDA,MEAN,NTMA,,-1AY,0,,'')))&lt;/Q&gt;&lt;R&gt;1&lt;/R&gt;&lt;C&gt;1&lt;/C&gt;&lt;D xsi:type="xsd:double"&gt;-60.5755626204031&lt;/D&gt;&lt;/FQL&gt;&lt;FQL&gt;&lt;Q&gt;NOW-US^PERCENT_CHANGE(FE_VALUATION(PE,MEAN,NTMA,,0,,,''),MAX(FE_VALUATION(PE,MEAN,NTMA,,-1AY,0,,'')))&lt;/Q&gt;&lt;R&gt;1&lt;/R&gt;&lt;C&gt;1&lt;/C&gt;&lt;D xsi:type="xsd:double"&gt;-59.3569384155704&lt;/D&gt;&lt;/FQL&gt;&lt;FQL&gt;&lt;Q&gt;NOW-US^FE_VALUATION(FFEV_EBITDA,MEAN,NTMA,,0,,,'')&lt;/Q&gt;&lt;R&gt;1&lt;/R&gt;&lt;C&gt;1&lt;/C&gt;&lt;D xsi:type="xsd:double"&gt;17.151566&lt;/D&gt;&lt;/FQL&gt;&lt;FQL&gt;&lt;Q&gt;NOW-US^FE_VALUATION(FFEV_SALES,MEAN,NTMA,,0,,,'')&lt;/Q&gt;&lt;R&gt;1&lt;/R&gt;&lt;C&gt;1&lt;/C&gt;&lt;D xsi:type="xsd:double"&gt;6.2981114&lt;/D&gt;&lt;/FQL&gt;&lt;FQL&gt;&lt;Q&gt;NOW-US^FE_VALUATION(P_SALESPS,MEAN,NTMA,,0,,,'')&lt;/Q&gt;&lt;R&gt;1&lt;/R&gt;&lt;C&gt;1&lt;/C&gt;&lt;D xsi:type="xsd:double"&gt;6.5305815&lt;/D&gt;&lt;/FQL&gt;&lt;FQL&gt;&lt;Q&gt;NOW-US^FE_VALUATION(PE,MEAN,NTMA,,0,,,'')&lt;/Q&gt;&lt;R&gt;1&lt;/R&gt;&lt;C&gt;1&lt;/C&gt;&lt;D xsi:type="xsd:double"&gt;23.757355&lt;/D&gt;&lt;/FQL&gt;&lt;FQL&gt;&lt;Q&gt;NOW-US^FE_ACTUAL(ACTUAL,SALES,ANN_ROLL,0,,,,'CURRENCY=USD')&lt;/Q&gt;&lt;R&gt;1&lt;/R&gt;&lt;C&gt;1&lt;/C&gt;&lt;D xsi:type="xsd:double"&gt;13278&lt;/D&gt;&lt;/FQL&gt;&lt;FQL&gt;&lt;Q&gt;NOW-US^FE_ACTUAL(ACTUAL,SALES,ANN_ROLL,-1,,,,'CURRENCY=USD')&lt;/Q&gt;&lt;R&gt;1&lt;/R&gt;&lt;C&gt;1&lt;/C&gt;&lt;D xsi:type="xsd:double"&gt;10984&lt;/D&gt;&lt;/FQL&gt;&lt;FQL&gt;&lt;Q&gt;NOW-US^FE_VALUATION(EBITDA_MARGIN,MEAN,ANN_ROLL,0,NOW,,,'')&lt;/Q&gt;&lt;R&gt;1&lt;/R&gt;&lt;C&gt;1&lt;/C&gt;&lt;D xsi:type="xsd:double"&gt;37.320713&lt;/D&gt;&lt;/FQL&gt;&lt;FQL&gt;&lt;Q&gt;NOW-US^FE_VALUATION(ROIC,MEAN,NTMA,,0,,,'')&lt;/Q&gt;&lt;R&gt;1&lt;/R&gt;&lt;C&gt;1&lt;/C&gt;&lt;D xsi:type="xsd:double"&gt;24.644463&lt;/D&gt;&lt;/FQL&gt;&lt;FQL&gt;&lt;Q&gt;NOW-US^FE_VALUATION(ROE,MEAN,NTMA,,0,,,'')&lt;/Q&gt;&lt;R&gt;1&lt;/R&gt;&lt;C&gt;1&lt;/C&gt;&lt;D xsi:type="xsd:double"&gt;27.540297&lt;/D&gt;&lt;/FQL&gt;&lt;FQL&gt;&lt;Q&gt;NOW-US^FE_VALUATION(DIV_YLD,MEAN,NTMA,,NOW,,,'')&lt;/Q&gt;&lt;R&gt;1&lt;/R&gt;&lt;C&gt;1&lt;/C&gt;&lt;D xsi:type="xsd:double"&gt;0&lt;/D&gt;&lt;/FQL&gt;&lt;FQL&gt;&lt;Q&gt;NOW-US^FE_VALUATION(MCAP_FCF,MEAN,NTMA,,NOW,,,'')&lt;/Q&gt;&lt;R&gt;1&lt;/R&gt;&lt;C&gt;1&lt;/C&gt;&lt;D xsi:type="xsd:double"&gt;5.4903965&lt;/D&gt;&lt;/FQL&gt;&lt;FQL&gt;&lt;Q&gt;NOW-US^FE_VALUATION(NETDEBT_EBITDA,MEAN,NTMA,,NOW,,,'')&lt;/Q&gt;&lt;R&gt;1&lt;/R&gt;&lt;C&gt;1&lt;/C&gt;&lt;D xsi:type="xsd:double"&gt;-1.4570582&lt;/D&gt;&lt;/FQL&gt;&lt;FQL&gt;&lt;Q&gt;NOW-US^FF_NET_MGN(LTM_R,0)&lt;/Q&gt;&lt;R&gt;1&lt;/R&gt;&lt;C&gt;1&lt;/C&gt;&lt;D xsi:type="xsd:double"&gt;13.1646332278958&lt;/D&gt;&lt;/FQL&gt;&lt;FQL&gt;&lt;Q&gt;NOW-US^FF_EBITDA_OPER_MGN(LTM_R,0)&lt;/Q&gt;&lt;R&gt;1&lt;/R&gt;&lt;C&gt;1&lt;/C&gt;&lt;D xsi:type="xsd:double"&gt;19.596324747703&lt;/D&gt;&lt;/FQL&gt;&lt;FQL&gt;&lt;Q&gt;NOW-US^FF_GROSS_MGN(LTM_R,0)&lt;/Q&gt;&lt;R&gt;1&lt;/R&gt;&lt;C&gt;1&lt;/C&gt;&lt;D xsi:type="xsd:double"&gt;77.534267208917&lt;/D&gt;&lt;/FQL</t>
        </r>
      </text>
    </comment>
    <comment ref="A11" authorId="0" shapeId="0" xr:uid="{147FD105-C27C-4E76-9BD5-E7509D85AC08}">
      <text>
        <r>
          <rPr>
            <b/>
            <sz val="9"/>
            <color indexed="81"/>
            <rFont val="Tahoma"/>
            <charset val="1"/>
          </rPr>
          <t>&gt;&lt;FQL&gt;&lt;Q&gt;NOW-US^POW(FE_ESTIMATE(EPS,MEAN,STMA,,NOW,,,'CURRENCY=USD')/FE_ESTIMATE(EPS,MEAN,LTMA,,NOW,,,'CURRENCY=USD'),0.5)-1&lt;/Q&gt;&lt;R&gt;1&lt;/R&gt;&lt;C&gt;1&lt;/C&gt;&lt;D xsi:type="xsd:double"&gt;0.20121788198478&lt;/D&gt;&lt;/FQL&gt;&lt;FQL&gt;&lt;Q&gt;NOW-US^POW(FE_ESTIMATE(SALES,MEAN,STMA,,NOW,,,'CURRENCY=USD')/FE_ESTIMATE(SALES,MEAN,LTMA,,NOW,,,'CURRENCY=USD'),0.5)-1&lt;/Q&gt;&lt;R&gt;1&lt;/R&gt;&lt;C&gt;1&lt;/C&gt;&lt;D xsi:type="xsd:double"&gt;0.19397127268624&lt;/D&gt;&lt;/FQL&gt;&lt;FQL&gt;&lt;Q&gt;NOW-US^FE_ACTUAL(ACTUAL,EPS,ANN_ROLL,0,,,,'CURRENCY=USD')&lt;/Q&gt;&lt;R&gt;1&lt;/R&gt;&lt;C&gt;1&lt;/C&gt;&lt;D xsi:type="xsd:double"&gt;3.51&lt;/D&gt;&lt;/FQL&gt;&lt;FQL&gt;&lt;Q&gt;NOW-US^OS_SEC_FLT_PCT(0D,,MTD,SEC)&lt;/Q&gt;&lt;R&gt;1&lt;/R&gt;&lt;C&gt;1&lt;/C&gt;&lt;D xsi:type="xsd:double"&gt;99.3365&lt;/D&gt;&lt;/FQL&gt;&lt;FQL&gt;&lt;Q&gt;NOW-US^AVG(P_VOLUME_FRQ(-1AM,NOW,D,,6))*P_PRICE_AVG(-1AM,NOW,,USD)&lt;/Q&gt;&lt;R&gt;1&lt;/R&gt;&lt;C&gt;1&lt;/C&gt;&lt;D xsi:type="xsd:double"&gt;2659.88597483556&lt;/D&gt;&lt;/FQL&gt;&lt;FQL&gt;&lt;Q&gt;NOW-US^FCS_EV_DAILY(MV,NOW,,,USD,M)&lt;/Q&gt;&lt;R&gt;1&lt;/R&gt;&lt;C&gt;1&lt;/C&gt;&lt;D xsi:type="xsd:double"&gt;109870.40739&lt;/D&gt;&lt;/FQL&gt;&lt;FQL&gt;&lt;Q&gt;NOW-US^P_DCOUNTRY&lt;/Q&gt;&lt;R&gt;1&lt;/R&gt;&lt;C&gt;1&lt;/C&gt;&lt;D xsi:type="xsd:string"&gt;UNITED STATES&lt;/D&gt;&lt;/FQL&gt;&lt;FQL&gt;&lt;Q&gt;NOW-US^FR_RBICS_NAME_CURR("IND")&lt;/Q&gt;&lt;R&gt;1&lt;/R&gt;&lt;C&gt;1&lt;/C&gt;&lt;D xsi:type="xsd:string"&gt;General Enterprise Management Software&lt;/D&gt;&lt;/FQL&gt;&lt;FQL&gt;&lt;Q&gt;DT-US^FE_RATING(MEAN,TEXTONLY,0,NOW,,,'')&lt;/Q&gt;&lt;R&gt;1&lt;/R&gt;&lt;C&gt;1&lt;/C&gt;&lt;D xsi:type="xsd:string"&gt;Overweight&lt;/D&gt;&lt;/FQL&gt;&lt;FQL&gt;&lt;Q&gt;DT-US^FG_PRICE(0,,,USD)/FG_PRICE_MAVG(0,,,USD,200)&lt;/Q&gt;&lt;R&gt;1&lt;/R&gt;&lt;C&gt;1&lt;/C&gt;&lt;D xsi:type="xsd:double"&gt;0.717694576429234&lt;/D&gt;&lt;/FQL&gt;&lt;FQL&gt;&lt;Q&gt;DT-US^FG_PRICE(0,,,USD)/FG_PRICE_MAVG(0,,,USD,100)&lt;/Q&gt;&lt;R&gt;1&lt;/R&gt;&lt;C&gt;1&lt;/C&gt;&lt;D xsi:type="xsd:double"&gt;0.783374617747495&lt;/D&gt;&lt;/FQL&gt;&lt;FQL&gt;&lt;Q&gt;DT-US^FG_PRICE(0,,,USD)/FG_PRICE_MAVG(0,,,USD,50)&lt;/Q&gt;&lt;R&gt;1&lt;/R&gt;&lt;C&gt;1&lt;/C&gt;&lt;D xsi:type="xsd:double"&gt;0.852392922027824&lt;/D&gt;&lt;/FQL&gt;&lt;FQL&gt;&lt;Q&gt;DT-US^RTP_PRICE_TARGET(USD)/FG_PRICE(0,,,USD)&lt;/Q&gt;&lt;R&gt;1&lt;/R&gt;&lt;C&gt;1&lt;/C&gt;&lt;D xsi:type="xsd:double"&gt;1.46082724087591&lt;/D&gt;&lt;/FQL&gt;&lt;FQL&gt;&lt;Q&gt;DT-US^FG_PRICE(0,,,USD)/P_PRICE_HIGH(-1AY,0,USD,,,"PRICE","INTRA")&lt;/Q&gt;&lt;R&gt;1&lt;/R&gt;&lt;C&gt;1&lt;/C&gt;&lt;D xsi:type="xsd:double"&gt;0.569883527454243&lt;/D&gt;&lt;/FQL&gt;&lt;FQL&gt;&lt;Q&gt;DT-US^PERCENT_CHANGE(FE_VALUATION(FFEV_EBITDA,MEAN,NTMA,,0,,,''),MAX(FE_VALUATION(FFEV_EBITDA,MEAN,NTMA,,-1AY,0,,'')))&lt;/Q&gt;&lt;R&gt;1&lt;/R&gt;&lt;C&gt;1&lt;/C&gt;&lt;D xsi:type="xsd:double"&gt;-54.5239045113024&lt;/D&gt;&lt;/FQL&gt;&lt;FQL&gt;&lt;Q&gt;DT-US^PERCENT_CHANGE(FE_VALUATION(PE,MEAN,NTMA,,0,,,''),MAX(FE_VALUATION(PE,MEAN,NTMA,,-1AY,0,,'')))&lt;/Q&gt;&lt;R&gt;1&lt;/R&gt;&lt;C&gt;1&lt;/C&gt;&lt;D xsi:type="xsd:double"&gt;-53.0021220432597&lt;/D&gt;&lt;/FQL&gt;&lt;FQL&gt;&lt;Q&gt;DT-US^FE_VALUATION(FFEV_EBITDA,MEAN,NTMA,,0,,,'')&lt;/Q&gt;&lt;R&gt;1&lt;/R&gt;&lt;C&gt;1&lt;/C&gt;&lt;D xsi:type="xsd:double"&gt;13.261618&lt;/D&gt;&lt;/FQL&gt;&lt;FQL&gt;&lt;Q&gt;DT-US^FE_VALUATION(FFEV_SALES,MEAN,NTMA,,0,,,'')&lt;/Q&gt;&lt;R&gt;1&lt;/R&gt;&lt;C&gt;1&lt;/C&gt;&lt;D xsi:type="xsd:double"&gt;4.078665&lt;/D&gt;&lt;/FQL&gt;&lt;FQL&gt;&lt;Q&gt;DT-US^FE_VALUATION(P_SALESPS,MEAN,NTMA,,0,,,'')&lt;/Q&gt;&lt;R&gt;1&lt;/R&gt;&lt;C&gt;1&lt;/C&gt;&lt;D xsi:type="xsd:double"&gt;4.487807&lt;/D&gt;&lt;/FQL&gt;&lt;FQL&gt;&lt;Q&gt;DT-US^FE_VALUATION(PE,MEAN,NTMA,,0,,,'')&lt;/Q&gt;&lt;R&gt;1&lt;/R&gt;&lt;C&gt;1&lt;/C&gt;&lt;D xsi:type="xsd:double"&gt;18.10821&lt;/D&gt;&lt;/FQL&gt;&lt;FQL&gt;&lt;Q&gt;DT-US^FE_ACTUAL(ACTUAL,SALES,ANN_ROLL,0,,,,'CURRENCY=USD')&lt;/Q&gt;&lt;R&gt;1&lt;/R&gt;&lt;C&gt;1&lt;/C&gt;&lt;D xsi:type="xsd:double"&gt;1698.683&lt;/D&gt;&lt;/FQL&gt;&lt;FQL&gt;&lt;Q&gt;DT-US^FE_ACTUAL(ACTUAL,SALES,ANN_ROLL,-1,,,,'CURRENCY=USD')&lt;/Q&gt;&lt;R&gt;1&lt;/R&gt;&lt;C&gt;1&lt;/C&gt;&lt;D xsi:type="xsd:double"&gt;1430.53&lt;/D&gt;&lt;/FQL&gt;&lt;FQL&gt;&lt;Q&gt;DT-US^FE_VALUATION(EBITDA_MARGIN,MEAN,ANN_ROLL,0,NOW,,,'')&lt;/Q&gt;&lt;R&gt;1&lt;/R&gt;&lt;C&gt;1&lt;/C&gt;&lt;D xsi:type="xsd:double"&gt;30.83196&lt;/D&gt;&lt;/FQL&gt;&lt;FQL&gt;&lt;Q&gt;DT-US^FE_VALUATION(ROIC,MEAN,NTMA,,0,,,'')&lt;/Q&gt;&lt;R&gt;1&lt;/R&gt;&lt;C&gt;1&lt;/C&gt;&lt;D xsi:type="xsd:double"&gt;16.54999&lt;/D&gt;&lt;/FQL&gt;&lt;FQL&gt;&lt;Q&gt;DT-US^FE_VALUATION(ROE,MEAN,NTMA,,0,,,'')&lt;/Q&gt;&lt;R&gt;1&lt;/R&gt;&lt;C&gt;1&lt;/C&gt;&lt;D xsi:type="xsd:double"&gt;17.984053&lt;/D&gt;&lt;/FQL&gt;&lt;FQL&gt;&lt;Q&gt;DT-US^FE_VALUATION(DIV_YLD,MEAN,NTMA,,NOW,,,'')&lt;/Q&gt;&lt;R&gt;1&lt;/R&gt;&lt;C&gt;1&lt;/C&gt;&lt;D xsi:type="xsd:double"&gt;0&lt;/D&gt;&lt;/FQL&gt;&lt;FQL&gt;&lt;Q&gt;DT-US^FE_VALUATION(MCAP_FCF,MEAN,NTMA,,NOW,,,'')&lt;/Q&gt;&lt;R&gt;1&lt;/R&gt;&lt;C&gt;1&lt;/C&gt;&lt;D xsi:type="xsd:double"&gt;5.884752&lt;/D&gt;&lt;/FQL&gt;&lt;FQL&gt;&lt;Q&gt;DT-US^FE_VALUATION(NETDEBT_EBITDA,MEAN,NTMA,,NOW,,,'')&lt;/Q&gt;&lt;R&gt;1&lt;/R&gt;&lt;C&gt;1&lt;/C&gt;&lt;D xsi:type="xsd:double"&gt;-2.5842223&lt;/D&gt;&lt;/FQL&gt;&lt;FQL&gt;&lt;Q&gt;DT-US^FF_NET_MGN(LTM_R,0)&lt;/Q&gt;&lt;R&gt;1&lt;/R&gt;&lt;C&gt;1&lt;/C&gt;&lt;D xsi:type="xsd:double"&gt;9.55345070699583&lt;/D&gt;&lt;/FQL&gt;&lt;FQL&gt;&lt;Q&gt;DT-US^FF_EBITDA_OPER_MGN(LTM_R,0)&lt;/Q&gt;&lt;R&gt;1&lt;/R&gt;&lt;C&gt;1&lt;/C&gt;&lt;D xsi:type="xsd:double"&gt;14.2615108114768&lt;/D&gt;&lt;/FQL&gt;&lt;FQL&gt;&lt;Q&gt;DT-US^FF_GROSS_MGN(LTM_R,0)&lt;/Q&gt;&lt;R&gt;1&lt;/R&gt;&lt;C&gt;1&lt;/C&gt;&lt;D xsi:type="xsd:double"&gt;81.5744193606497&lt;/D&gt;&lt;/FQL&gt;&lt;FQL&gt;&lt;Q&gt;DT-US^POW(FE_ESTIMATE(EPS,MEAN,STMA,,NOW,,,'CURRENCY=USD')/FE_ESTIMATE(EPS,MEAN,LTMA,,NOW,,,'CURRENCY=USD'),0.5)-1&lt;/Q&gt;&lt;R&gt;1&lt;/R&gt;&lt;C&gt;1&lt;/C&gt;&lt;D xsi:type="xsd:double"&gt;0.145458379863712&lt;/D&gt;&lt;/FQL&gt;&lt;FQL&gt;&lt;Q&gt;DT-US^POW(FE_ESTIMATE(SALES,MEAN,STMA,,NOW,,,'CURRENCY=USD')/FE_ESTIMATE(SALES,MEAN,LTMA,,NOW,,,'CURRENCY=USD'),0.5)-1&lt;/Q&gt;&lt;R&gt;1&lt;/R&gt;&lt;C&gt;1&lt;/C&gt;&lt;D xsi:type="xsd:double"&gt;0.147540631088939&lt;/D&gt;&lt;/FQL&gt;&lt;FQL&gt;&lt;Q&gt;DT-US^FE_ACTUAL(ACTUAL,EPS,ANN_ROLL,0,,,,'CURRENCY=USD')&lt;/Q&gt;&lt;R&gt;1&lt;/R&gt;&lt;C&gt;1&lt;/C&gt;&lt;D xsi:type="xsd:double"&gt;1.39&lt;/D&gt;&lt;/FQL&gt;&lt;FQL&gt;&lt;Q&gt;DT-US^OS_SEC_FLT_PCT(0D,,MTD,SEC)&lt;/Q&gt;&lt;R&gt;1&lt;/R&gt;&lt;C&gt;1&lt;/C&gt;&lt;D xsi:type="xsd:double"&gt;98.8897&lt;/D&gt;&lt;/FQL&gt;&lt;FQL&gt;&lt;Q&gt;DT-US^AVG(P_VOLUME_FRQ(-1AM,NOW,D,,6))*P_PRICE_AVG(-1AM,NOW,,USD)&lt;/Q&gt;&lt;R&gt;1&lt;/R&gt;&lt;C&gt;1&lt;/C&gt;&lt;D xsi:type="xsd:double"&gt;235.062033517141&lt;/D&gt;&lt;/FQL&gt;&lt;FQL&gt;&lt;Q&gt;DT-US^FCS_EV_DAILY(MV,NOW,,,USD,M)&lt;/Q&gt;&lt;R&gt;1&lt;/R&gt;&lt;C&gt;1&lt;/C&gt;&lt;D xsi:type="xsd:double"&gt;10620.5814745&lt;/D&gt;&lt;/FQL&gt;&lt;FQL&gt;&lt;Q&gt;DT-US^P_DCOUNTRY&lt;/Q&gt;&lt;R&gt;1&lt;/R&gt;&lt;C&gt;1&lt;/C&gt;&lt;D xsi:type="xsd:string"&gt;UNITED STATES&lt;/D&gt;&lt;/FQL&gt;&lt;FQL&gt;&lt;Q&gt;DT-US^FR_RBICS_NAME_CURR("IND")&lt;/Q&gt;&lt;R&gt;1&lt;/R&gt;&lt;C&gt;1&lt;/C&gt;&lt;D xsi:type="xsd:string"&gt;Network Infrastructure Software&lt;/D&gt;&lt;/FQL&gt;&lt;FQL&gt;&lt;Q&gt;PLTR-US^FE_RATING(MEAN,TEXTONLY,0,NOW,,,'')&lt;/Q&gt;&lt;R&gt;1&lt;/R&gt;&lt;C&gt;1&lt;/C&gt;&lt;D xsi:type="xsd:string"&gt;Overweight&lt;/D&gt;&lt;/FQL&gt;&lt;FQL&gt;&lt;Q&gt;PLTR-US^FG_PRICE(0,,,USD)/FG_PRICE_MAVG(0,,,USD,200)&lt;/Q&gt;&lt;R&gt;1&lt;/R&gt;&lt;C&gt;1&lt;/C&gt;&lt;D xsi:type="xsd:double"&gt;0.799057454550506&lt;/D&gt;&lt;/FQL&gt;&lt;FQL&gt;&lt;Q&gt;PLTR-US^FG_PRICE(0,,,USD)/FG_PRICE_MAVG(0,,,USD,100)&lt;/Q&gt;&lt;R&gt;1&lt;/R&gt;&lt;C&gt;1&lt;/C&gt;&lt;D xsi:type="xsd:double"&gt;0.750178723501381&lt;/D&gt;&lt;/FQL&gt;&lt;FQL&gt;&lt;Q&gt;PLTR-US^FG_PRICE(0,,,USD)/FG_PRICE_MAVG(0,,,USD,50)&lt;/Q&gt;&lt;R&gt;1&lt;/R&gt;&lt;C&gt;1&lt;/C&gt;&lt;D xsi:type="xsd:double"&gt;0.785542697574597&lt;/D&gt;&lt;/FQL&gt;&lt;FQL&gt;&lt;Q&gt;PLTR-US^RTP_PRICE_TARGET(USD)/FG_PRICE(0,,,USD)&lt;/Q&gt;&lt;R&gt;1&lt;/R&gt;&lt;C&gt;1&lt;/C&gt;&lt;D xsi:type="xsd:double"&gt;1.45431480906551&lt;/D&gt;&lt;/FQL&gt;&lt;FQL&gt;&lt;Q&gt;PLTR-US^FG_PRICE(0,,,USD)/P_PRICE_HIGH(-1AY,0,USD,,,"PRICE","INTRA")&lt;/Q&gt;&lt;R&gt;1&lt;/R&gt;&lt;C&gt;1&lt;/C&gt;&lt;D xsi:type="xsd:double"&gt;0.620855821125675&lt;/D&gt;&lt;/FQL&gt;&lt;FQL&gt;&lt;Q&gt;PLTR-US^PERCENT_CHANGE(FE_VALUATION(FFEV_EBITDA,MEAN,NTMA,,0,,,''),MAX(FE_VALUATION(FFEV_EBITDA,MEAN,NTMA,,-1AY,0,,'')))&lt;/Q&gt;&lt;R&gt;1&lt;/R&gt;&lt;C&gt;1&lt;/C&gt;&lt;D xsi:type="xsd:double"&gt;-63.7034644148117&lt;/D&gt;&lt;/FQL&gt;&lt;FQL&gt;&lt;Q&gt;PLTR-US^PERCENT_CHANGE(FE_VALUATION(PE,MEAN,NTMA,,0,,,''),MAX(FE_VALUATION(PE,MEAN,NTMA,,-1AY,0,,'')))&lt;/Q&gt;&lt;R&gt;1&lt;/R&gt;&lt;C&gt;1&lt;/C&gt;&lt;D xsi:type="xsd:double"&gt;-63.1153685080073&lt;/D&gt;&lt;/FQL&gt;&lt;FQL&gt;&lt;Q&gt;PLTR-US^FE_VALUATION(FFEV_EBITDA,MEAN,NTMA,,0,,,'')&lt;/Q&gt;&lt;R&gt;1&lt;/R&gt;&lt;C&gt;1&lt;/C&gt;&lt;D xsi:type="xsd:double"&gt;74.32565&lt;/D&gt;&lt;/FQL&gt;&lt;FQL&gt;&lt;Q&gt;PLTR-US^FE_VALUATION(FFEV_SALES,MEAN,NTMA,,0,,,'')&lt;/Q&gt;&lt;R&gt;1&lt;/R&gt;&lt;C&gt;1&lt;/C&gt;&lt;D xsi:type="xsd:double"&gt;42.356777&lt;/D&gt;&lt;/FQL&gt;&lt;FQL&gt;&lt;Q&gt;PLTR-US^FE_VALUATION(P_SALESPS,MEAN,NTMA,,0,,,'')&lt;/Q&gt;&lt;R&gt;1&lt;/R&gt;&lt;C&gt;1&lt;/C&gt;&lt;D xsi:type="xsd:double"&gt;40.327347&lt;/D&gt;&lt;/FQL&gt;&lt;FQL&gt;&lt;Q&gt;PLTR-US^FE_VALUATION(PE,MEAN,NTMA,,0,,,'')&lt;/Q&gt;&lt;R&gt;1&lt;/R&gt;&lt;C&gt;1&lt;/C&gt;&lt;D xsi:type="xsd:double"&gt;94.17743&lt;/D&gt;&lt;/FQL&gt;&lt;FQL&gt;&lt;Q&gt;PLTR-US^FE_ACTUAL(ACTUAL,SALES,ANN_ROLL,0,,,,'CURRENCY=USD')&lt;/Q&gt;&lt;R&gt;1&lt;/R&gt;&lt;C&gt;1&lt;/C&gt;&lt;D xsi:type="xsd:double"&gt;4475.446&lt;/D&gt;&lt;/FQL&gt;&lt;FQL&gt;&lt;Q&gt;PLTR-US^FE_ACTUAL(ACTUAL,SALES,ANN_ROLL,-1,,,,'CURRENCY=USD')&lt;/Q&gt;&lt;R&gt;1&lt;/R&gt;&lt;C&gt;1&lt;/C&gt;&lt;D xsi:type="xsd:double"&gt;2865.507&lt;/D&gt;&lt;/FQL&gt;&lt;FQL&gt;&lt;Q&gt;PLTR-US^FE_VALUATION(EBITDA_MARGIN,MEAN,ANN_ROLL,0,NOW,,,'')&lt;/Q&gt;&lt;R&gt;1&lt;/R&gt;&lt;C&gt;1&lt;/C&gt;&lt;D xsi:type="xsd:double"&gt;50.94611&lt;/D&gt;&lt;/FQL&gt;&lt;FQL&gt;&lt;Q&gt;PLTR-US^FE_VALUATION(ROIC,MEAN,NTMA,,0,,,'')&lt;/Q&gt;&lt;R&gt;0&lt;/R&gt;&lt;C&gt;0&lt;/C&gt;&lt;/FQL&gt;&lt;FQL&gt;&lt;Q&gt;PLTR-US^FE_VALUATION(ROE,MEAN,NTMA,,0,,,'')&lt;/Q&gt;&lt;R&gt;1&lt;/R&gt;&lt;C&gt;1&lt;/C&gt;&lt;D xsi:type="xsd:double"&gt;28.090036&lt;/D&gt;&lt;/FQL&gt;&lt;FQL&gt;&lt;Q&gt;PLTR-US^FE_VALUATION(DIV_YLD,MEAN,NTMA,,NOW,,,'')&lt;/Q&gt;&lt;R&gt;1&lt;/R&gt;&lt;C&gt;1&lt;/C&gt;&lt;D xsi:type="xsd:double"&gt;0&lt;/D&gt;&lt;/FQL&gt;&lt;FQL&gt;&lt;Q&gt;PLTR-US^FE_VALUATION(MCAP_FCF,MEAN,NTMA,,NOW,,,'')&lt;/Q&gt;&lt;R&gt;1&lt;/R&gt;&lt;C&gt;1&lt;/C&gt;&lt;D xsi:type="xsd:double"&gt;1.3955652&lt;/D&gt;&lt;/FQL&gt;&lt;FQL&gt;&lt;Q&gt;PLTR-US^FE_VALUATION(NETDEBT_EBITDA,MEAN,NTMA,,NOW,,,'')&lt;/Q&gt;&lt;R&gt;1&lt;/R&gt;&lt;C&gt;1&lt;/C&gt;&lt;D xsi:type="xsd:double"&gt;-2.7048798&lt;/D&gt;&lt;/FQL&gt;&lt;FQL&gt;&lt;Q&gt;PLTR-US^FF_NET_MGN(LTM_R,0)&lt;/Q&gt;&lt;R&gt;1&lt;/R&gt;&lt;C&gt;1&lt;/C&gt;&lt;D xsi:type="xsd:double"&gt;36.3099677663411&lt;/D&gt;&lt;/FQL&gt;&lt;FQL&gt;&lt;Q&gt;PLTR-US^FF_EBITDA_OPER_MGN(LTM_R,0)&lt;/Q&gt;&lt;R&gt;1&lt;/R&gt;&lt;C&gt;1&lt;/C&gt;&lt;D xsi:type="xsd:double"&gt;32.1791392410946&lt;/D&gt;&lt;/FQL&gt;&lt;FQL&gt;&lt;Q&gt;PLTR-US^FF_GROSS_MGN(LTM_R,0)&lt;/Q&gt;&lt;R&gt;1&lt;/R&gt;&lt;C&gt;1&lt;/C&gt;&lt;D xsi:type="xsd:double"&gt;82.3665172141503&lt;/D&gt;&lt;/FQL&gt;&lt;FQL&gt;&lt;Q&gt;PLTR-US^POW(FE_ESTIMATE(EPS,MEAN,STMA,,NOW,,,'CURRENCY=USD')/FE_ESTIMATE(EPS,MEAN,LTMA,,NOW,,,'CURRENCY=USD'),0.5)-1&lt;/Q&gt;&lt;R&gt;1&lt;/R&gt;&lt;C&gt;1&lt;/C&gt;&lt;D xsi:type="xsd:double"&gt;0.525675391425057&lt;/D&gt;&lt;/FQL&gt;&lt;FQL&gt;&lt;Q&gt;PLTR-US^POW(FE_ESTIMATE(SALES,MEAN,STMA,,NOW,,,'CURRENCY=USD')/FE_ESTIMATE(SALES,MEAN,LTMA,,NOW,,,'CURRENCY=USD'),0.5)-1&lt;/Q&gt;&lt;R&gt;1&lt;/R&gt;&lt;C&gt;1&lt;/C&gt;&lt;D xsi:type="xsd:double"&gt;0.491881262031265&lt;/D&gt;&lt;/FQL&gt;&lt;FQL&gt;&lt;Q&gt;PLTR-US^FE_ACTUAL(ACTUAL,EPS,ANN_ROLL,0,,,,'CURRENCY=USD')&lt;/Q&gt;&lt;R&gt;1&lt;/R&gt;&lt;C&gt;1&lt;/C&gt;&lt;D xsi:type="xsd:double"&gt;0.75&lt;/D&gt;&lt;/FQL&gt;&lt;FQL&gt;&lt;Q&gt;PLTR-US^OS_SEC_FLT_PCT(0D,,MTD,SEC)&lt;/Q&gt;&lt;R&gt;1&lt;/R&gt;&lt;C&gt;1&lt;/C&gt;&lt;D xsi:type="xsd:double"&gt;95.4558&lt;/D&gt;&lt;/FQL&gt;&lt;FQL&gt;&lt;Q&gt;PLTR-US^AVG(P_VOLUME_FRQ(-1AM,NOW,D,,6))*P_PRICE_AVG(-1AM,NOW,,USD)&lt;/Q&gt;&lt;R&gt;1&lt;/R&gt;&lt;C&gt;1&lt;/C&gt;&lt;D xsi:type="xsd:double"&gt;7934.69612107092&lt;/D&gt;&lt;/FQL&gt;&lt;FQL&gt;&lt;Q&gt;PLTR-US^FCS_EV_DAILY(MV,NOW,,,USD,M)&lt;/Q&gt;&lt;R&gt;1&lt;/R&gt;&lt;C&gt;1&lt;/C&gt;&lt;D xsi:type="xsd:double"&gt;331614.84955884&lt;/D&gt;&lt;/FQL&gt;&lt;FQL&gt;&lt;Q&gt;PLTR-US^P_DCOUNTRY&lt;/Q&gt;&lt;R&gt;1&lt;/R&gt;&lt;C&gt;1&lt;/C&gt;&lt;D xsi:type="xsd:string"&gt;UNITED STATES&lt;/D&gt;&lt;/FQL&gt;&lt;FQL&gt;&lt;Q&gt;PLTR-US^FR_RBICS_NAME_CURR("IND")&lt;/Q&gt;&lt;R&gt;1&lt;/R&gt;&lt;C&gt;1&lt;/C&gt;&lt;D xsi:type="xsd:string"&gt;Government and Not-For-Profit Industry Software&lt;/D&gt;&lt;/FQL&gt;&lt;FQL&gt;&lt;Q&gt;WK-US^FE_RATING(MEAN,TEXTONLY,0,NOW,,,'')&lt;/Q&gt;&lt;R&gt;1&lt;/R&gt;&lt;C&gt;1&lt;/C&gt;&lt;D xsi:type="xsd:string"&gt;Buy&lt;/D&gt;&lt;/FQL&gt;&lt;FQL&gt;&lt;Q&gt;WK-US^FG_PRICE(0,,,USD)/FG_PRICE_MAVG(0,,,USD,200)&lt;/Q&gt;&lt;R&gt;1&lt;/R&gt;&lt;C&gt;1&lt;/C&gt;&lt;D xsi:type="xsd:double"&gt;0.737336846651826&lt;/D&gt;&lt;/FQL&gt;&lt;FQL&gt;&lt;Q&gt;WK-US^FG_PRICE(0,,,USD)/FG_PRICE_MAVG(0,,,USD,100)&lt;/Q&gt;&lt;R&gt;1&lt;/R&gt;&lt;C&gt;1&lt;/C&gt;&lt;D xsi:type="xsd:double"&gt;0.687715283488874&lt;/D&gt;&lt;/FQL&gt;&lt;FQL&gt;&lt;Q&gt;WK-US^FG_PRICE(0,,,USD)/FG_PRICE_MAVG(0,,,USD,50)&lt;/Q&gt;&lt;R&gt;1&lt;/R&gt;&lt;C&gt;1&lt;/C&gt;&lt;D xsi:type="xsd:double"&gt;0.731381461698174&lt;/D&gt;&lt;/FQL&gt;&lt;FQL&gt;&lt;Q&gt;WK-US^RTP_PRICE_TARGET(USD)/FG_PRICE(0,,,USD)&lt;/Q&gt;&lt;R&gt;1&lt;/R&gt;&lt;C&gt;1&lt;/C&gt;&lt;D xsi:type="xsd:double"&gt;1.55033871750433&lt;/D&gt;&lt;/FQL&gt;&lt;FQL&gt;&lt;Q&gt;WK-US^FG_PRICE(0,,,USD)/P_PRICE_HIGH(-1AY,0,USD,,,"PRICE","INTRA")&lt;/Q&gt;&lt;R&gt;1&lt;/R&gt;&lt;C&gt;1&lt;/C&gt;&lt;D xsi:type="xsd:double"&gt;0.594263350326999&lt;/D&gt;&lt;/FQL&gt;&lt;FQL&gt;&lt;Q&gt;WK-US^PERCENT_CHANGE(FE_VALUATION(FFEV_EBITDA,MEAN,NTMA,,0,,,''),MAX(FE_VALUATION(FFEV_EBITDA,MEAN,NTMA,,-1AY,0,,'')))&lt;/Q&gt;&lt;R&gt;1&lt;/R&gt;&lt;C&gt;1&lt;/C&gt;&lt;D xsi:type="xsd:double"&gt;-77.4428074352973&lt;/D&gt;&lt;/FQL&gt;&lt;FQL&gt;&lt;Q&gt;WK-US^PERCENT_CHANGE(FE_VALUATION(PE,MEAN,NTMA,,0,,,''),MAX(FE_VALUATION(PE,MEAN,NTMA,,-1AY,0,,'')))&lt;/Q&gt;&lt;R&gt;1&lt;/R&gt;&lt;C&gt;1&lt;/C&gt;&lt;D xsi:type="xsd:double"&gt;-73.1452825851411&lt;/D&gt;&lt;/FQL&gt;&lt;FQL&gt;&lt;Q&gt;WK-US^FE_VALUATION(FFEV_EBITDA,MEAN,NTMA,,0,,,'')&lt;/Q&gt;&lt;R&gt;1&lt;/R&gt;&lt;C&gt;1&lt;/C&gt;&lt;D xsi:type="xsd:double"&gt;18.165535&lt;/D&gt;&lt;/FQL&gt;&lt;FQL&gt;&lt;Q&gt;WK-US^FE_VALUATION(FFEV_SALES,MEAN,NTMA,,0,,,'')&lt;/Q&gt;&lt;R&gt;1&lt;/R&gt;&lt;C&gt;1&lt;/C&gt;&lt;D xsi:type="xsd:double"&gt;2.9676418&lt;/D&gt;&lt;/FQL&gt;&lt;FQL&gt;&lt;Q&gt;WK-US^FE_VALUATION(P_SALESPS,MEAN,NTMA,,0,,,'')&lt;/Q&gt;&lt;R&gt;1&lt;/R&gt;&lt;C&gt;1&lt;/C&gt;&lt;D xsi:type="xsd:double"&gt;3.087611&lt;/D&gt;&lt;/FQL&gt;&lt;FQL&gt;&lt;Q&gt;WK-US^FE_VALUATION(PE,MEAN,NTMA,,0,,,'')&lt;/Q&gt;&lt;R&gt;1&lt;/R&gt;&lt;C&gt;1&lt;/C&gt;&lt;D xsi:type="xsd:double"&gt;20.549168&lt;/D&gt;&lt;/FQL&gt;&lt;FQL&gt;&lt;Q&gt;WK-US^FE_ACTUAL(ACTUAL,SALES,ANN_ROLL,0,,,,'CURRENCY=USD')&lt;/Q&gt;&lt;R&gt;1&lt;/R&gt;&lt;C&gt;1&lt;/C&gt;&lt;D xsi:type="xsd:double"&gt;884.568&lt;/D&gt;&lt;/FQL&gt;&lt;FQL&gt;&lt;Q&gt;WK-US^FE_ACTUAL(ACTUAL,SALES,ANN_ROLL,-1,,,,'CURRENCY=USD')&lt;/Q&gt;&lt;R&gt;1&lt;/R&gt;&lt;C&gt;1&lt;/C&gt;&lt;D xsi:type="xsd:double"&gt;738.68&lt;/D&gt;&lt;/FQL&gt;&lt;FQL&gt;&lt;Q&gt;WK-US^FE_VALUATION(EBITDA_MARGIN,MEAN,ANN_ROLL,0,NOW,,,'')&lt;/Q&gt;&lt;R&gt;1&lt;/R&gt;&lt;C&gt;1&lt;/C&gt;&lt;D xsi:type="xsd:double"&gt;10.500719&lt;/D&gt;&lt;/FQL&gt;&lt;FQL&gt;&lt;Q&gt;WK-US^FE_VALUATION(ROIC,MEAN,NTMA,,0,,,'')&lt;/Q&gt;&lt;R&gt;1&lt;/R&gt;&lt;C&gt;1&lt;/C&gt;&lt;D xsi:type="xsd:double"&gt;26.25933&lt;/D&gt;&lt;/FQL&gt;&lt;FQL&gt;&lt;Q&gt;WK-US^FE_VALUATION(ROE,MEAN,NTMA,,0,,,'')&lt;/Q&gt;&lt;R&gt;1&lt;/R&gt;&lt;C&gt;1&lt;/C&gt;&lt;D xsi:type="xsd:double"&gt;308.23563&lt;/D&gt;&lt;/FQL&gt;&lt;FQL&gt;&lt;Q&gt;WK-US^FE_VALUATION(DIV_YLD,MEAN,NTMA,,NOW,,,'')&lt;/Q&gt;&lt;R&gt;1&lt;/R&gt;&lt;C&gt;1&lt;/C&gt;&lt;D xsi:type="xsd:double"&gt;0&lt;/D&gt;&lt;/FQL&gt;&lt;FQL&gt;&lt;Q&gt;WK-US^FE_VALUATION(MCAP_FCF,MEAN,NTMA,,NOW,,,'')&lt;/Q&gt;&lt;R&gt;1&lt;/R&gt;&lt;C&gt;1&lt;/C&gt;&lt;D xsi:type="xsd:double"&gt;6.3010397&lt;/D&gt;&lt;/FQL&gt;&lt;FQL&gt;&lt;Q&gt;WK-US^FE_VALUATION(NETDEBT_EBITDA,MEAN,NTMA,,NOW,,,'')&lt;/Q&gt;&lt;R&gt;1&lt;/R&gt;&lt;C&gt;1&lt;/C&gt;&lt;D xsi:type="xsd:double"&gt;-2.0960221&lt;/D&gt;&lt;/FQL&gt;&lt;FQL&gt;&lt;Q&gt;WK-US^FF_NET_MGN(LTM_R,0)&lt;/Q&gt;&lt;R&gt;1&lt;/R&gt;&lt;C&gt;1&lt;/C&gt;&lt;D xsi:type="xsd:double"&gt;-2.95839324958624&lt;/D&gt;&lt;/FQL&gt;&lt;FQL&gt;&lt;Q&gt;WK-US^FF_EBITDA_OPER_MGN(LTM_R,0)&lt;/Q&gt;&lt;R&gt;1&lt;/R&gt;&lt;C&gt;1&lt;/C&gt;&lt;D xsi:type="xsd:double"&gt;-3.55552088703186&lt;/D&gt;&lt;/FQL&gt;&lt;FQL&gt;&lt;Q&gt;WK-US^FF_GROSS_MGN(LTM_R,0)&lt;/Q&gt;&lt;R&gt;1&lt;/R&gt;&lt;C&gt;1&lt;/C&gt;&lt;D xsi:type="xsd:double"&gt;78.4719772815657&lt;/D&gt;&lt;/FQL&gt;&lt;FQL&gt;&lt;Q&gt;WK-US^POW(FE_ESTIMATE(EPS,MEAN,STMA,,NOW,,,'CURRENCY=USD')/FE_ESTIMATE(EPS,MEAN,LTMA,,NOW,,,'CURRENCY=USD'),0.5)-1&lt;/Q&gt;&lt;R&gt;1&lt;/R&gt;&lt;C&gt;1&lt;/C&gt;&lt;D xsi:type="xsd:double"&gt;0.357513351683879&lt;/D&gt;&lt;/FQL&gt;&lt;FQL&gt;&lt;Q&gt;WK-US^POW(FE_ESTIMATE(SALES,MEAN,STMA,,NOW,,,'CURRENCY=USD')/FE_ESTIMATE(SALES,MEAN,LTMA,,NOW,,,'CURRENCY=USD'),0.5)-1&lt;/Q&gt;&lt;R&gt;1&lt;/R&gt;&lt;C&gt;1&lt;/C&gt;&lt;D xsi:type="xsd:double"&gt;0.164636423953845&lt;/D&gt;&lt;/FQL&gt;&lt;FQL&gt;&lt;Q&gt;WK-US^FE_ACTUAL(ACTUAL,EPS,ANN_ROLL,0,,,,'CURRENCY=USD')&lt;/Q&gt;&lt;R&gt;1&lt;/R&gt;&lt;C&gt;1&lt;/C&gt;&lt;D xsi:type="xsd:double"&gt;1.78&lt;/D&gt;&lt;/FQL&gt;&lt;FQL&gt;&lt;Q&gt;WK-US^OS_SEC_FLT_PCT(0D,,MTD,SEC)&lt;/Q&gt;&lt;R&gt;1&lt;/R&gt;&lt;C&gt;1&lt;/C&gt;&lt;D xsi:type="xsd:double"&gt;94.5492&lt;/D&gt;&lt;/FQL&gt;&lt;FQL&gt;&lt;Q&gt;WK-US^AVG(P_VOLUME_FRQ(-1AM,NOW,D,,6))*P_PRICE_AVG(-1AM,NOW,,USD)&lt;/Q&gt;&lt;R&gt;1&lt;/R&gt;&lt;C&gt;1&lt;/C&gt;&lt;D xsi:type="xsd:double"&gt;79.7488164151445&lt;/D&gt;&lt;/FQL&gt;&lt;FQL&gt;&lt;Q&gt;WK-US^FCS_EV_DAILY(MV,NOW,,,USD,M)&lt;/Q&gt;&lt;R&gt;1&lt;/R&gt;&lt;C&gt;1&lt;/C&gt;&lt;D xsi:type="xsd:double"&gt;3464.56080472&lt;/D&gt;&lt;/FQL&gt;&lt;FQL&gt;&lt;Q&gt;WK-US^P_DCOUNTRY&lt;/Q&gt;&lt;R&gt;1&lt;/R&gt;&lt;C&gt;1&lt;/C&gt;&lt;D xsi:type="xsd:string"&gt;UNITED STATES&lt;/D&gt;&lt;/FQL&gt;&lt;FQL&gt;&lt;Q&gt;WK-US^FR_RBICS_NAME_CURR("IND")&lt;/Q&gt;&lt;R&gt;1&lt;/R&gt;&lt;C&gt;1&lt;/C&gt;&lt;D xsi:type="xsd:string"&gt;Enterprise Resource Planning Software&lt;/D&gt;&lt;/FQL&gt;&lt;FQL&gt;&lt;Q&gt;QLYS-US^FE_RATING(MEAN,TEXTONLY,0,NOW,,,'')&lt;/Q&gt;&lt;R&gt;1&lt;/R&gt;&lt;C&gt;1&lt;/C&gt;&lt;D xsi:type="xsd:string"&gt;Hold&lt;/D&gt;&lt;/FQL&gt;&lt;FQL&gt;&lt;Q&gt;QLYS-US^FG_PRICE(0,,,USD)/FG_PRICE_MAVG(0,,,USD,200)&lt;/Q&gt;&lt;R&gt;1&lt;/R&gt;&lt;C&gt;1&lt;/C&gt;&lt;D xsi:type="xsd:double"&gt;0.646419052112781&lt;/D&gt;&lt;/FQL&gt;&lt;FQL&gt;&lt;Q&gt;QLYS-US^FG_PRICE(0,,,USD)/FG_PRICE_MAVG(0,,,USD,100)&lt;/Q&gt;&lt;R&gt;1&lt;/R&gt;&lt;C&gt;1&lt;/C&gt;&lt;D xsi:type="xsd:double"&gt;0.657662031549297&lt;/D&gt;&lt;/FQL&gt;&lt;FQL&gt;&lt;Q&gt;QLYS-US^FG_PRICE(0,,,USD)/FG_PRICE_MAVG(0,,,USD,50)&lt;/Q&gt;&lt;R&gt;1&lt;/R&gt;&lt;C&gt;1&lt;/C&gt;&lt;D xsi:type="xsd:double"&gt;0.680329140464501&lt;/D&gt;&lt;/FQL&gt;&lt;FQL&gt;&lt;Q&gt;QLYS-US^RTP_PRICE_TARGET(USD)/FG_PRICE(0,,,USD)&lt;/Q&gt;&lt;R&gt;1&lt;/R&gt;&lt;C&gt;1&lt;/C&gt;&lt;D xsi:type="xsd:double"&gt;1.59066739606127&lt;/D&gt;&lt;/FQL&gt;&lt;FQL&gt;&lt;Q&gt;QLYS-US^FG_PRICE(0,,,USD)/P_PRICE_HIGH(-1AY,0,USD,,,"PRICE","INTRA")&lt;/Q&gt;&lt;R&gt;1&lt;/R&gt;&lt;C&gt;1&lt;/C&gt;&lt;D xsi:type="xsd:double"&gt;0.558500032160545&lt;/D&gt;&lt;/FQL&gt;&lt;FQL&gt;&lt;Q&gt;QLYS-US^PERCENT_CHANGE(FE_VALUATION(FFEV_EBITDA,MEAN,NTMA,,0,,,''),MAX(FE_VALUATION(FFEV_EBITDA,MEAN,NTMA,,-1AY,0,,'')))&lt;/Q&gt;&lt;R&gt;1&lt;/R&gt;&lt;C&gt;1&lt;/C&gt;&lt;D xsi:type="xsd:double"&gt;-51.9847894873894&lt;/D&gt;&lt;/FQL&gt;&lt;FQL&gt;&lt;Q&gt;QLYS-US^PERCENT_CHANGE(FE_VALUATION(PE,MEAN,NTMA,,0,,,''),MAX(FE_VALUATION(PE,MEAN,NTMA,,-1AY,0,,'')))&lt;/Q&gt;&lt;R&gt;1&lt;/R&gt;&lt;C&gt;1&lt;/C&gt;&lt;D xsi:type="xsd:double"&gt;-50.4367053328652&lt;/D&gt;&lt;/FQL&gt;&lt;FQL&gt;&lt;Q&gt;QLYS-US^FE_VALUATION(FFEV_EBITDA,MEAN,NTMA,,0,,,'')&lt;/Q&gt;&lt;R&gt;1&lt;/R&gt;&lt;C&gt;1&lt;/C&gt;&lt;D xsi:type="xsd:double"&gt;8.539159&lt;/D&gt;&lt;/FQL&gt;&lt;FQL&gt;&lt;Q&gt;QLYS-US^FE_VALUATION(FFEV_SALES,MEAN,NTMA,,0,,,'')&lt;/Q&gt;&lt;R&gt;1&lt;/R&gt;&lt;C&gt;1&lt;/C&gt;&lt;D xsi:type="xsd:double"&gt;3.802272&lt;/D&gt;&lt;/FQL&gt;&lt;FQL&gt;&lt;Q&gt;QLYS-US^FE_VALUATION(P_SALESPS,MEAN,NTMA,,0,,,'')&lt;/Q&gt;&lt;R&gt;1&lt;/R&gt;&lt;C&gt;1&lt;/C&gt;&lt;D xsi:type="xsd:double"&gt;4.249773&lt;/D&gt;&lt;/FQL&gt;&lt;FQL&gt;&lt;Q&gt;QLYS-US^FE_VALUATION(PE,MEAN,NTMA,,0,,,'')&lt;/Q&gt;&lt;R&gt;1&lt;/R&gt;&lt;C&gt;1&lt;/C&gt;&lt;D xsi:type="xsd:double"&gt;11.629527&lt;/D&gt;&lt;/FQL&gt;&lt;FQL&gt;&lt;Q&gt;QLYS-US^FE_ACTUAL(ACTUAL,SALES,ANN_ROLL,0,,,,'CURRENCY=USD')&lt;/Q&gt;&lt;R&gt;1&lt;/R&gt;&lt;C&gt;1&lt;/C&gt;&lt;D xsi:type="xsd:double"&gt;669.125&lt;/D&gt;&lt;/FQL&gt;&lt;FQL&gt;&lt;Q&gt;QLYS-US^FE_ACTUAL(ACTUAL,SALES,ANN_ROLL,-1,,,,'CURRENCY=USD')&lt;/Q&gt;&lt;R&gt;1&lt;/R&gt;&lt;C&gt;1&lt;/C&gt;&lt;D xsi:type="xsd:double"&gt;607.571&lt;/D&gt;&lt;/FQL&gt;&lt;FQL&gt;&lt;Q&gt;QLYS-US^FE_VALUATION(EBITDA_MARGIN,MEAN,ANN_ROLL,0,NOW,,,'')&lt;/Q&gt;&lt;R&gt;1&lt;/R&gt;&lt;C&gt;1&lt;/C&gt;&lt;D xsi:type="xsd:double"&gt;46.844574&lt;/D&gt;&lt;/FQL&gt;&lt;FQL&gt;&lt;Q&gt;QLYS-US^FE_VALUATION(ROIC,MEAN,NTMA,,0,,,'')&lt;/Q&gt;&lt;R&gt;1&lt;/R&gt;&lt;C&gt;1&lt;/C&gt;&lt;D xsi:type="xsd:double"&gt;35.78148&lt;/D&gt;&lt;/FQL&gt;&lt;FQL&gt;&lt;Q&gt;QLYS-US^FE_VALUATION(ROE,MEAN,NTMA,,0,,,'')&lt;/Q&gt;&lt;R&gt;1&lt;/R&gt;&lt;C&gt;1&lt;/C&gt;&lt;D xsi:type="xsd:double"&gt;36.514206&lt;/D&gt;&lt;/FQL&gt;&lt;FQL&gt;&lt;Q&gt;QLYS-US^FE_VALUATION(DIV_YLD,MEAN,NTMA,,NOW,,,'')&lt;/Q&gt;&lt;R&gt;1&lt;/R&gt;&lt;C&gt;1&lt;/C&gt;&lt;D xsi:type="xsd:double"&gt;0&lt;/D&gt;&lt;/FQL&gt;&lt;FQL&gt;&lt;Q&gt;QLYS-US^FE_VALUATION(MCAP_FCF,MEAN,NTMA,,NOW,,,'')&lt;/Q&gt;&lt;R&gt;1&lt;/R&gt;&lt;C&gt;1&lt;/C&gt;&lt;D xsi:type="xsd:double"&gt;9.681528&lt;/D&gt;&lt;/FQL&gt;&lt;FQL&gt;&lt;Q&gt;QLYS-US^FE_VALUATION(NETDEBT_EBITDA,MEAN,NTMA,,NOW,,,'')&lt;/Q&gt;&lt;R&gt;1&lt;/R&gt;&lt;C&gt;1&lt;/C&gt;&lt;D xsi:type="xsd:double"&gt;-2.324673&lt;/D&gt;&lt;/FQL&gt;&lt;FQL&gt;&lt;Q&gt;QLYS-US^FF_NET_MGN(LTM_R,0)&lt;/Q&gt;&lt;R&gt;1&lt;/R&gt;&lt;C&gt;1&lt;/C&gt;&lt;D xsi:type="xsd:double"&gt;29.646638144185&lt;/D&gt;&lt;/FQL&gt;&lt;FQL&gt;&lt;Q&gt;QLYS-US^FF_EBITDA_OPER_MGN(LTM_R,0)&lt;/Q&gt;&lt;R&gt;1&lt;/R&gt;&lt;C&gt;1&lt;/C&gt;&lt;D xsi:type="xsd:double"&gt;35.5318665482715&lt;/D&gt;&lt;/FQL&gt;&lt;FQL&gt;&lt;Q&gt;QLYS-US^FF_GROSS_MGN(LTM_R,0)&lt;/Q&gt;&lt;R&gt;1&lt;/R&gt;&lt;C&gt;1&lt;/C&gt;&lt;D xsi:type="xsd:double"&gt;82.8927895525199&lt;/D&gt;&lt;/FQL&gt;&lt;FQL&gt;&lt;Q&gt;QLYS-US^POW(FE_ESTIMATE(EPS,MEAN,STMA,,NOW,,,'CURRENCY=USD')/FE_ESTIMATE(EPS,MEAN,LTMA,,NOW,,,'CURRENCY=USD'),0.5)-1&lt;/Q&gt;&lt;R&gt;1&lt;/R&gt;&lt;C&gt;1&lt;/C&gt;&lt;D xsi:type="xsd:double"&gt;0.0633741110258421&lt;/D&gt;&lt;/FQL&gt;&lt;FQL&gt;&lt;Q&gt;QLYS-US^POW(FE_ESTIMATE(SALES,MEAN,STMA,,NOW,,,'CURRENCY=USD')/FE_ESTIMATE(SALES,MEAN,LTMA,,NOW,,,'CURRENCY=USD'),0.5)-1&lt;/Q&gt;&lt;R&gt;1&lt;/R&gt;&lt;C&gt;1&lt;/C&gt;&lt;D xsi:type="xsd:double"&gt;0.0735310894426859&lt;/D&gt;&lt;/FQL&gt;&lt;FQL&gt;&lt;Q&gt;QLYS-US^FE_ACTUAL(ACTUAL,EPS,ANN_ROLL,0,,,,'CURRENCY=USD')&lt;/Q&gt;&lt;R&gt;1&lt;/R&gt;&lt;C&gt;1&lt;/C&gt;&lt;D xsi:type="xsd:double"&gt;7.07&lt;/D&gt;&lt;/FQL&gt;&lt;FQL&gt;&lt;Q&gt;QLYS-US^OS_SEC_FLT_PCT(0D,,MTD,SEC)&lt;/Q&gt;&lt;R&gt;1&lt;/R&gt;&lt;C&gt;1&lt;/C&gt;&lt;D xsi:type="xsd:double"&gt;98.6738&lt;/D&gt;&lt;/FQL&gt;&lt;FQL&gt;&lt;Q&gt;QLYS-US^AVG(P_VOLUME_FRQ(-1AM,NOW,D,,6))*P_PRICE_AVG(-1AM,NOW,,USD)&lt;/Q&gt;&lt;R&gt;1&lt;/R&gt;&lt;C&gt;1&lt;/C&gt;&lt;D xsi:type="xsd:double"&gt;90.6999462786238&lt;/D&gt;&lt;/FQL&gt;&lt;FQL&gt;&lt;Q&gt;QLYS-US^FCS_EV_DAILY(MV,NOW,,,USD,M)&lt;/Q&gt;&lt;R&gt;1&lt;/R&gt;&lt;C&gt;1&lt;/C&gt;&lt;D xsi:type="xsd:double"&gt;3197.42149458&lt;/D&gt;&lt;/FQL&gt;&lt;FQL&gt;&lt;Q&gt;QLYS-US^P_DCOUNTRY&lt;/Q&gt;&lt;R&gt;1&lt;/R&gt;&lt;C&gt;1&lt;/C&gt;&lt;D xsi:type="xsd:string"&gt;UNITED STATES&lt;/D&gt;&lt;/FQL&gt;&lt;FQL&gt;&lt;Q&gt;QLYS-US^FR_RBICS_NAME_CURR("IND")&lt;/Q&gt;&lt;R&gt;1&lt;/R&gt;&lt;C&gt;1&lt;/C&gt;&lt;D xsi:type="xsd:string"&gt;Network Infrastructure Software&lt;/D&gt;&lt;/FQL&gt;&lt;FQL&gt;&lt;Q&gt;APP-US^FE_RATING(MEAN,TEXTONLY,0,NOW,,,'')&lt;/Q&gt;&lt;R&gt;1&lt;/R&gt;&lt;C&gt;1&lt;/C&gt;&lt;D xsi:type="xsd:string"&gt;Buy&lt;/D&gt;&lt;/FQL&gt;&lt;FQL&gt;&lt;Q&gt;APP-US^FG_PRICE(0,,,USD)/FG_PRICE_MAVG(0,,,USD,200)&lt;/Q&gt;&lt;R&gt;1&lt;/R&gt;&lt;C&gt;1&lt;/C&gt;&lt;D xsi:type="xsd:double"&gt;0.775440989910906&lt;/D&gt;&lt;/FQL&gt;&lt;FQL&gt;&lt;Q&gt;APP-US^FG_PRICE(0,,,USD)/FG_PRICE_MAVG(0,,,USD,100)&lt;/Q&gt;&lt;R&gt;1&lt;/R&gt;&lt;C&gt;1&lt;/C&gt;&lt;D xsi:type="xsd:double"&gt;0.670247878706031&lt;/D&gt;&lt;/FQL&gt;&lt;FQL&gt;&lt;Q&gt;APP-US^FG_PRICE(0,,,USD)/FG_PRICE_MAVG(0,,,USD,50)&lt;/Q&gt;&lt;R&gt;1&lt;/R&gt;&lt;C&gt;1&lt;/C&gt;&lt;D xsi:type="xsd:double"&gt;0.699067098672427&lt;/D&gt;&lt;/FQL&gt;&lt;FQL&gt;&lt;Q&gt;APP-US^RTP_PRICE_TARGET(USD)/FG_PRICE(0,,,USD)&lt;/Q&gt;&lt;R&gt;1&lt;/R&gt;&lt;C&gt;1&lt;/C&gt;&lt;D xsi:type="xsd:double"&gt;1.70164284624383&lt;/D&gt;&lt;/FQL&gt;&lt;FQL&gt;&lt;Q&gt;APP-US^FG_PRICE(0,,,USD)/P_PRICE_HIGH(-1AY,0,USD,,,"PRICE","INTRA")&lt;/Q&gt;&lt;R&gt;1&lt;/R&gt;&lt;C&gt;1&lt;/C&gt;&lt;D xsi:type="xsd:double"&gt;0.527380265822615&lt;/D&gt;&lt;/FQL&gt;&lt;FQL&gt;&lt;Q&gt;APP-US^PERCENT_CHANGE(FE_VALUATION(FFEV_EBITDA,MEAN,NTMA,,0,,,''),MAX(FE_VALUATION(FFEV_EBITDA,MEAN,NTMA,,-1AY,0,,'')))&lt;/Q&gt;&lt;R&gt;1&lt;/R&gt;&lt;C&gt;1&lt;/C&gt;&lt;D xsi:type="xsd:double"&gt;-55.7313307614555&lt;/D&gt;&lt;/FQL&gt;&lt;FQL&gt;&lt;Q&gt;APP-US^PERCENT_CHANGE(FE_VALUATION(PE,MEAN,NTMA,,0,,,''),MAX(FE_VALUATION(PE,MEAN,NTMA,,-1AY,0,,'')))&lt;/Q&gt;&lt;R&gt;1&lt;/R&gt;&lt;C&gt;1&lt;/C&gt;&lt;D xsi:type="xsd:double"&gt;-58.2313538353142&lt;/D&gt;&lt;/FQL&gt;&lt;FQL&gt;&lt;Q&gt;APP-US^FE_VALUATION(FFEV_EBITDA,MEAN,NTMA,,0,,,'')&lt;/Q&gt;&lt;R&gt;1&lt;/R&gt;&lt;C&gt;1&lt;/C&gt;&lt;D xsi:type="xsd:double"&gt;19.3847&lt;/D&gt;&lt;/FQL&gt;&lt;FQL&gt;&lt;Q&gt;APP-US^FE_VALUATION(FFEV_SALES,MEAN,NTMA,,0,,,'')&lt;/Q&gt;&lt;R&gt;1&lt;/R&gt;&lt;C&gt;1&lt;/C&gt;&lt;D xsi:type="xsd:double"&gt;16.355515&lt;/D&gt;&lt;/FQL&gt;&lt;FQL&gt;&lt;Q&gt;APP-US^FE_VALUATION(P_SALESPS,MEAN,NTMA,,0,,,'')&lt;/Q&gt;&lt;R&gt;1&lt;/R&gt;&lt;C&gt;1&lt;/C&gt;&lt;D xsi:type="xsd:double"&gt;16.01234&lt;/D&gt;&lt;/FQL&gt;&lt;FQL&gt;&lt;Q&gt;APP-US^FE_VALUATION(PE,MEAN,NTMA,,0,,,'')&lt;/Q&gt;&lt;R&gt;1&lt;/R&gt;&lt;C&gt;1&lt;/C&gt;&lt;D xsi:type="xsd:double"&gt;24.144264&lt;/D&gt;&lt;/FQL&gt;&lt;FQL&gt;&lt;Q&gt;APP-US^FE_ACTUAL(ACTUAL,SALES,ANN_ROLL,0,,,,'CURRENCY=USD')&lt;/Q&gt;&lt;R&gt;1&lt;/R&gt;&lt;C&gt;1&lt;/C&gt;&lt;D xsi:type="xsd:double"&gt;5480.717&lt;/D&gt;&lt;/FQL&gt;&lt;FQL&gt;&lt;Q&gt;APP-US^FE_ACTUAL(ACTUAL,SALES,ANN_ROLL,-1,,,,'CURRENCY=USD')&lt;/Q&gt;&lt;R&gt;1&lt;/R&gt;&lt;C&gt;1&lt;/C&gt;&lt;D xsi:type="xsd:double"&gt;4709.248&lt;/D&gt;&lt;/FQL&gt;&lt;FQL&gt;&lt;Q&gt;APP-US^FE_VALUATION(EBITDA_MARGIN,MEAN,ANN_ROLL,0,NOW,,,'')&lt;/Q&gt;&lt;R&gt;1&lt;/R&gt;&lt;C&gt;1&lt;/C&gt;&lt;D xsi:type="xsd:double"&gt;82.33325&lt;/D&gt;&lt;/FQL&gt;&lt;FQL&gt;&lt;Q&gt;APP-US^FE_VALUATION(ROIC,MEAN,NTMA,,0,,,'')&lt;/Q&gt;&lt;R&gt;1&lt;/R&gt;&lt;C&gt;1&lt;/C&gt;&lt;D xsi:type="xsd:double"&gt;54.05012&lt;/D&gt;&lt;/FQL&gt;&lt;FQL&gt;&lt;Q&gt;APP-US^FE_VALUATION(ROE,MEAN,NTMA,,0,,,'')&lt;/Q&gt;&lt;R&gt;1&lt;/R&gt;&lt;C&gt;1&lt;/C&gt;&lt;D xsi:type="xsd:double"&gt;103.1667&lt;/D&gt;&lt;/FQL&gt;&lt;FQL&gt;&lt;Q&gt;APP-US^FE_VALUATION(DIV_YLD,MEAN,NTMA,,NOW,,,'')&lt;/Q&gt;&lt;R&gt;1&lt;/R&gt;&lt;C&gt;1&lt;/C&gt;&lt;D xsi:type="xsd:double"&gt;0&lt;/D&gt;&lt;/FQL&gt;&lt;FQL&gt;&lt;Q&gt;APP-US^FE_VALUATION(MCAP_FCF,MEAN,NTMA,,NOW,,,'')&lt;/Q&gt;&lt;R&gt;1&lt;/R&gt;&lt;C&gt;1&lt;/C&gt;&lt;D xsi:type="xsd:double"&gt;4.0581355&lt;/D&gt;&lt;/FQL&gt;&lt;FQL&gt;&lt;Q&gt;APP-US^FE_VALUATION(NETDEBT_EBITDA,MEAN,NTMA,,NOW,,,'')&lt;/Q&gt;&lt;R&gt;1&lt;/R&gt;&lt;C&gt;1&lt;/C&gt;&lt;D xsi:type="xsd:double"&gt;-0.42884582&lt;/D&gt;&lt;/FQL&gt;&lt;FQL&gt;&lt;Q&gt;APP-US^FF_NET_MGN(LTM_R,0)&lt;/Q&gt;&lt;R&gt;1&lt;/R&gt;&lt;C&gt;1&lt;/C&gt;&lt;D xsi:type="xsd:double"&gt;56.5922762275559&lt;/D&gt;&lt;/FQL&gt;&lt;FQL&gt;&lt;Q&gt;APP-US^FF_EBITDA_OPER_MGN(LTM_R,0)&lt;/Q&gt;&lt;R&gt;1&lt;/R&gt;&lt;C&gt;1&lt;/C&gt;&lt;D xsi:type="xsd:double"&gt;75.7358376950906&lt;/D&gt;&lt;/FQL&gt;&lt;FQL&gt;&lt;Q&gt;APP-US^FF_GROSS_MGN(LTM_R,0)&lt;/Q&gt;&lt;R&gt;1&lt;/R&gt;&lt;C&gt;1&lt;/C&gt;&lt;D xsi:type="xsd:double"&gt;85.470904432216&lt;/D&gt;&lt;/FQL&gt;&lt;FQL&gt;&lt;Q&gt;APP-US^POW(FE_ESTIMATE(EPS,MEAN,STMA,,NOW,,,'CURRENCY=USD')/FE_ESTIMATE(EPS,MEAN,LTMA,,NOW,,,'CURRENCY=USD'),0.5)-1&lt;/Q&gt;&lt;R&gt;1&lt;/R&gt;&lt;C&gt;1&lt;/C&gt;&lt;D xsi:type="xsd:double"&gt;0.420910975395714&lt;/D&gt;&lt;/FQL&gt;&lt;FQL&gt;&lt;Q&gt;APP-US^POW(FE_ESTIMATE(SALES,MEAN,STMA,,NOW,,,'CURRENCY=USD')/FE_ESTIMATE(SALES,MEAN,LTMA,,NOW,,,'CURRENCY=USD'),0.5)-1&lt;/Q&gt;&lt;R&gt;1&lt;/R&gt;&lt;C&gt;1&lt;/C&gt;&lt;D xsi:type="xsd:double"&gt;0.348427936524603&lt;/D&gt;&lt;/FQL&gt;&lt;FQL&gt;&lt;Q&gt;APP-US^FE_ACTUAL(ACTUAL,EPS,ANN_ROLL,0,,,,'CURRENCY=USD')&lt;/Q&gt;&lt;R&gt;1&lt;/R&gt;&lt;C&gt;1&lt;/C&gt;&lt;D xsi:type="xsd:double"&gt;9.75&lt;/D&gt;&lt;/FQL&gt;&lt;FQL&gt;&lt;Q&gt;APP-US^OS_SEC_FLT_PCT(0D,,MTD,SEC)&lt;/Q&gt;&lt;R&gt;1&lt;/R&gt;&lt;C&gt;1&lt;/C&gt;&lt;D xsi:type="xsd:double"&gt;72.6322&lt;/D&gt;&lt;/FQL&gt;&lt;FQL&gt;&lt;Q&gt;APP-US^AVG(P_VOLUME_FRQ(-1AM,NOW,D,,6))*P_PRICE_AVG(-1AM,NOW,,USD)&lt;/Q&gt;&lt;R&gt;1&lt;/R&gt;&lt;C&gt;1&lt;/C&gt;&lt;D xsi:type="xsd:double"&gt;3372.03979317258&lt;/D&gt;&lt;/FQL&gt;&lt;FQL&gt;&lt;Q&gt;APP-US^FCS_EV_DAILY(MV,NOW,,,USD,M)&lt;/Q&gt;&lt;R&gt;1&lt;/R&gt;&lt;C&gt;1&lt;/C&gt;&lt;D xsi:type="xsd:double"&gt;133672.51070704&lt;/D&gt;&lt;/FQL&gt;&lt;FQL&gt;&lt;Q&gt;APP-US^P_DCOUNTRY&lt;/Q&gt;&lt;R&gt;1&lt;/R&gt;&lt;C&gt;1&lt;/C&gt;&lt;D xsi:type="xsd:string"&gt;UNITED STATES&lt;/D&gt;&lt;/FQL&gt;&lt;FQL&gt;&lt;Q&gt;APP-US^FR_RBICS_NAME_CURR("IND")&lt;/Q&gt;&lt;R&gt;1&lt;/R&gt;&lt;C&gt;1&lt;/C&gt;&lt;D xsi:type="xsd:string"&gt;Customer Relationship Management Software&lt;/D&gt;&lt;/FQL&gt;&lt;FQL&gt;&lt;Q&gt;NTNX-US^FE_RATING(MEAN,TEXTONLY,0,NOW,,,'')&lt;/Q&gt;&lt;R&gt;1&lt;/R&gt;&lt;C&gt;1&lt;/C&gt;&lt;D xsi:type="xsd:string"&gt;Overweight&lt;/D&gt;&lt;/FQL&gt;&lt;FQL&gt;&lt;Q&gt;NTNX-US^FG_PRICE(0,,,USD)/FG_PRICE_MAVG(0,,,USD,200)&lt;/Q&gt;&lt;R&gt;1&lt;/R&gt;&lt;C&gt;1&lt;/C&gt;&lt;D xsi:type="xsd:double"&gt;0.584449115028879&lt;/D&gt;&lt;/FQL&gt;&lt;FQL&gt;&lt;Q&gt;NTNX-US^FG_PRICE(0,,,USD)/FG_PRICE_MAVG(0,,,USD,100)&lt;/Q&gt;&lt;R&gt;1&lt;/R&gt;&lt;C&gt;1&lt;/C&gt;&lt;D xsi:type="xsd:double"&gt;0.689338737341184&lt;/D&gt;&lt;/FQL&gt;&lt;FQL&gt;&lt;Q&gt;NTNX-US^FG_PRICE(0,,,USD)/FG_PRICE_MAVG(0,,,USD,50)&lt;/Q&gt;&lt;R&gt;1&lt;/R&gt;&lt;C&gt;1&lt;/C&gt;&lt;D xsi:type="xsd:double"&gt;0.825952266678302&lt;/D&gt;&lt;/FQL&gt;&lt;FQL&gt;&lt;Q&gt;NTNX-US^RTP_PRICE_TARGET(USD)/FG_PRICE(0,,,USD)&lt;/Q&gt;&lt;R&gt;1&lt;/R&gt;&lt;C&gt;1&lt;/C&gt;&lt;D xsi:type="xsd:double"&gt;1.60104022715267&lt;/D&gt;&lt;/FQL&gt;&lt;FQL&gt;&lt;Q&gt;NTNX-US^FG_PRICE(0,,,USD)/P_PRICE_HIGH(-1AY,0,USD,,,"PRICE","INTRA")&lt;/Q&gt;&lt;R&gt;1&lt;/R&gt;&lt;C&gt;1&lt;/C&gt;&lt;D xsi:type="xsd:double"&gt;0.454174664107486&lt;/D&gt;&lt;/FQL&gt;&lt;FQL&gt;&lt;Q&gt;NTNX-US^PERCENT_CHANGE(FE_VALUATION(FFEV_EBITDA,MEAN,NTMA,,0,,,''),MAX(FE_VALUATION(FFEV_EBITDA,MEAN,NTMA,,-1AY,0,,'')))&lt;/Q&gt;&lt;R&gt;1&lt;/R&gt;&lt;C&gt;1&lt;/C&gt;&lt;D xsi:type="xsd:double"&gt;-63.9101111755098&lt;/D&gt;&lt;/FQL&gt;&lt;FQL&gt;&lt;Q&gt;NTNX-US^PERCENT_CHANGE(FE_VALUATION(PE,MEAN,NTMA,,0,,,''),MAX(FE_VALUATION(PE,MEAN,NTMA,,-1AY,0,,'')))&lt;/Q&gt;&lt;R&gt;1&lt;/R&gt;&lt;C&gt;1&lt;/C&gt;&lt;D xsi:type="xsd:double"&gt;-58.102081072477&lt;/D&gt;&lt;/FQL&gt;&lt;FQL&gt;&lt;Q&gt;NTNX-US^FE_VALUATION(FFEV_EBITDA,MEAN,NTMA,,0,,,'')&lt;/Q&gt;&lt;R&gt;1&lt;/R&gt;&lt;C&gt;1&lt;/C&gt;&lt;D xsi:type="xsd:double"&gt;13.97298&lt;/D&gt;&lt;/FQL&gt;&lt;FQL&gt;&lt;Q&gt;NTNX-US^FE_VALUATION(FFEV_SALES,MEAN,NTMA,,0,,,'')&lt;/Q&gt;&lt;R&gt;1&lt;/R&gt;&lt;C&gt;1&lt;/C&gt;&lt;D xsi:type="xsd:double"&gt;3.4821198&lt;/D&gt;&lt;/FQL&gt;&lt;FQL&gt;&lt;Q&gt;NTNX-US^FE_VALUATION(P_SALESPS,MEAN,NTMA,,0,,,'')&lt;/Q&gt;&lt;R&gt;1&lt;/R&gt;&lt;C&gt;1&lt;/C&gt;&lt;D xsi:type="xsd:double"&gt;3.3473253&lt;/D&gt;&lt;/FQL&gt;&lt;FQL&gt;&lt;Q&gt;NTNX-US^FE_VALUATION(PE,MEAN,NTMA,,0,,,'')&lt;/Q&gt;&lt;R&gt;1&lt;/R&gt;&lt;C&gt;1&lt;/C&gt;&lt;D xsi:type="xsd:double"&gt;19.05695&lt;/D&gt;&lt;/FQL&gt;&lt;FQL&gt;&lt;Q&gt;NTNX-US^FE_ACTUAL(ACTUAL,SALES,ANN_ROLL,0,,,,'CURRENCY=USD')&lt;/Q&gt;&lt;R&gt;1&lt;/R&gt;&lt;C&gt;1&lt;/C&gt;&lt;D xsi:type="xsd:double"&gt;2537.927&lt;/D&gt;&lt;/FQL&gt;&lt;FQL&gt;&lt;Q&gt;NTNX-US^FE_ACTUAL(ACTUAL,SALES,ANN_ROLL,-1,,,,'CURRENCY=USD')&lt;/Q&gt;&lt;R&gt;1&lt;/R&gt;&lt;C&gt;1&lt;/C&gt;&lt;D xsi:type="xsd:double"&gt;2148.816&lt;/D&gt;&lt;/FQL&gt;&lt;FQL&gt;&lt;Q&gt;NTNX-US^FE_VALUATION(EBITDA_MARGIN,MEAN,ANN_ROLL,0,NOW,,,'')&lt;/Q&gt;&lt;R&gt;1&lt;/R&gt;&lt;C&gt;1&lt;/C&gt;&lt;D xsi:type="xsd:double"&gt;23.989534&lt;/D&gt;&lt;/FQL&gt;&lt;FQL&gt;&lt;Q&gt;NTNX-US^FE_VALUATION(ROIC,MEAN,NTMA,,0,,,'')&lt;/Q&gt;&lt;R&gt;1&lt;/R&gt;&lt;C&gt;1&lt;/C&gt;&lt;D xsi:type="xsd:double"&gt;44.851734&lt;/D&gt;&lt;/FQL&gt;&lt;FQL&gt;&lt;Q&gt;NTNX-US^FE_VALUATION(ROE,MEAN,NTMA,,0,,,'')&lt;/Q&gt;&lt;R&gt;1&lt;/R&gt;&lt;C&gt;1&lt;/C&gt;&lt;D xsi:type="xsd:double"&gt;1583.1248&lt;/D&gt;&lt;/FQL&gt;&lt;FQL&gt;&lt;Q&gt;NTNX-US^FE_VALUATION(DIV_YLD,MEAN,NTMA,,NOW,,,'')&lt;/Q&gt;&lt;R&gt;1&lt;/R&gt;&lt;C&gt;1&lt;/C&gt;&lt;D xsi:type="xsd:double"&gt;0&lt;/D&gt;&lt;/FQL&gt;&lt;FQL&gt;&lt;Q&gt;NTNX-US^FE_VALUATION(MCAP_FCF,MEAN,NTMA,,NOW,,,'')&lt;/Q&gt;&lt;R&gt;1&lt;/R&gt;&lt;C&gt;1&lt;/C&gt;&lt;D xsi:type="xsd:double"&gt;8.521549&lt;/D&gt;&lt;/FQL&gt;&lt;FQL&gt;&lt;Q&gt;NTNX-US^FE_VALUATION(NETDEBT_EBITDA,MEAN,NTMA,,NOW,,,'')&lt;/Q&gt;&lt;R&gt;1&lt;/R&gt;&lt;C&gt;1&lt;/C&gt;&lt;D xsi:type="xsd:double"&gt;-2.2384424&lt;/D&gt;&lt;/FQL&gt;&lt;FQL&gt;&lt;Q&gt;NTNX-US^FF_NET_MGN(LTM_R,0)&lt;/Q&gt;&lt;R&gt;1&lt;/R&gt;&lt;C&gt;1&lt;/C&gt;&lt;D xsi:type="xsd:double"&gt;8.42529284096904&lt;/D&gt;&lt;/FQL&gt;&lt;FQL&gt;&lt;Q&gt;NTNX-US^FF_EBITDA_OPER_MGN(LTM_R,0)&lt;/Q&gt;&lt;R&gt;1&lt;/R&gt;&lt;C&gt;1&lt;/C&gt;&lt;D xsi:type="xsd:double"&gt;10.7718027603707&lt;/D&gt;&lt;/FQL&gt;&lt;FQL&gt;&lt;Q&gt;NTNX-US^FF_GROSS_MGN(LTM_R,0)&lt;/Q&gt;&lt;R&gt;1&lt;/R&gt;&lt;C&gt;1&lt;/C&gt;&lt;D xsi:type="xsd:double"&gt;87.0132226852087&lt;/D&gt;&lt;/FQL&gt;&lt;FQL&gt;&lt;Q&gt;NTNX-US^POW(FE_ESTIMATE(EPS,MEAN,STMA,,NOW,,,'CURRENCY=USD')/FE_ESTIMATE(EPS,MEAN,LTMA,,NOW,,,'CURRENCY=USD'),0.5)-1&lt;/Q&gt;&lt;R&gt;1&lt;/R&gt;&lt;C&gt;1&lt;/C&gt;&lt;D xsi:type="xsd:double"&gt;0.147733244268894&lt;/D&gt;&lt;/FQL&gt;&lt;FQL&gt;&lt;Q&gt;NTNX-US^POW(FE_ESTIMATE(SALES,MEAN,STMA,,NOW,,,'CURRENCY=USD')/FE_ESTIMATE(SALES,MEAN,LTMA,,NOW,,,'CURRENCY=USD'),0.5)-1&lt;/Q&gt;&lt;R&gt;1&lt;/R&gt;&lt;C&gt;1&lt;/C&gt;&lt;D xsi:type="xsd:double"&gt;0.127627465078782&lt;/D&gt;&lt;/FQL&gt;&lt;FQL&gt;&lt;Q&gt;NTNX-US^FE_ACTUAL(ACTUAL,EPS,ANN_ROLL,0,,,,'CURRENCY=USD')&lt;/Q&gt;&lt;R&gt;1&lt;/R&gt;&lt;C&gt;1&lt;/C&gt;&lt;D xsi:type="xsd:double"&gt;1.78&lt;/D&gt;&lt;/FQL&gt;&lt;FQL&gt;&lt;Q&gt;NTNX-US^OS_SEC_FLT_PCT(0D,,MTD,SEC)&lt;/Q&gt;&lt;R&gt;1&lt;/R&gt;&lt;C&gt;1&lt;/C&gt;&lt;D xsi:type="xsd:double"&gt;97.5413&lt;/D&gt;&lt;/FQL&gt;&lt;FQL&gt;&lt;Q&gt;NTNX-US^AVG(P_VOLUME_FRQ(-1AM,NOW,D,,6))*P_PRICE_AVG(-1AM,NOW,,USD)&lt;/Q&gt;&lt;R&gt;1&lt;/R&gt;&lt;C&gt;1&lt;/C&gt;&lt;D xsi:type="xsd:double"&gt;167.960632676743&lt;/D&gt;&lt;/FQL&gt;&lt;FQL&gt;&lt;Q&gt;NTNX-US^FCS_EV_DAILY(MV,NOW,,,USD,M)&lt;/Q&gt;&lt;R&gt;1&lt;/R&gt;&lt;C&gt;1&lt;/C&gt;&lt;D xsi:type="xsd:double"&gt;10743.04584264&lt;/D&gt;&lt;/FQL&gt;&lt;FQL&gt;&lt;Q&gt;NTNX-US^P_DCOUNTRY&lt;/Q&gt;&lt;R&gt;1&lt;/R&gt;&lt;C&gt;1&lt;/C&gt;&lt;D xsi:type="xsd:string"&gt;UNITED STATES&lt;/D&gt;&lt;/FQL&gt;&lt;FQL&gt;&lt;Q&gt;NTNX-US^FR_RBICS_NAME_CURR("IND")&lt;/Q&gt;&lt;R&gt;1&lt;/R&gt;&lt;C&gt;1&lt;/C&gt;&lt;D xsi:type="xsd:string"&gt;Data Storage Infrastructure Software&lt;/D&gt;&lt;/FQL&gt;&lt;FQL&gt;&lt;Q&gt;HUBS-US^FE_RATING(MEAN,TEXTONLY,0,NOW,,,'')&lt;/Q&gt;&lt;R&gt;1&lt;/R&gt;&lt;C&gt;1&lt;/C&gt;&lt;D xsi:type="xsd:string"&gt;Buy&lt;/D&gt;&lt;/FQL&gt;&lt;FQL&gt;&lt;Q&gt;HUBS-US^FG_PRICE(0,,,USD)/FG_PRICE_MAVG(0,,,USD,200)&lt;/Q&gt;&lt;R&gt;1&lt;/R&gt;&lt;C&gt;1&lt;/C&gt;&lt;D xsi:type="xsd:double"&gt;0.512324363435327&lt;/D&gt;&lt;/FQL&gt;&lt;FQL&gt;&lt;Q&gt;HUBS-US^FG_PRICE(0,,,USD)/FG_PRICE_MAVG(0,,,USD,100)&lt;/Q&gt;&lt;R&gt;1&lt;/R&gt;&lt;C&gt;1&lt;/C&gt;&lt;D xsi:type="xsd:double"&gt;0.627100557704305&lt;/D&gt;&lt;/FQL&gt;&lt;FQL&gt;&lt;Q&gt;HUBS-US^FG_PRICE(0,,,USD)/FG_PRICE_MAVG(0,,,USD,50)&lt;/Q&gt;&lt;R&gt;1&lt;/R&gt;&lt;C&gt;1&lt;/C&gt;&lt;D xsi:type="xsd:double"&gt;0.724801614381859&lt;/D&gt;&lt;/FQL&gt;&lt;FQL&gt;&lt;Q&gt;HUBS-US^RTP_PRICE_TARGET(USD)/FG_PRICE(0,,,USD)&lt;/Q&gt;&lt;R&gt;1&lt;/R&gt;&lt;C&gt;1&lt;/C&gt;&lt;D xsi:type="xsd:double"&gt;1.51851633705933&lt;/D&gt;&lt;/FQL&gt;&lt;FQL&gt;&lt;Q&gt;HUBS-US^FG_PRICE(0,,,USD)/P_PRICE_HIGH(-1AY,0,USD,,,"PRICE","INTRA")&lt;/Q&gt;&lt;R&gt;1&lt;/R&gt;&lt;C&gt;1&lt;/C&gt;&lt;D xsi:type="xsd:double"&gt;0.31494570368565&lt;/D&gt;&lt;/FQL&gt;&lt;FQL&gt;&lt;Q&gt;HUBS-US^PERCENT_CHANGE(FE_VALUATION(FFEV_EBITDA,MEAN,NTMA,,0,,,''),MAX(FE_VALUATION(FFEV_EBITDA,MEAN,NTMA,,-1AY,0,,'')))&lt;/Q&gt;&lt;R&gt;1&lt;/R&gt;&lt;C&gt;1&lt;/C&gt;&lt;D xsi:type="xsd:double"&gt;-78.2996517637306&lt;/D&gt;&lt;/FQL&gt;&lt;FQL&gt;&lt;Q&gt;HUBS-US^PERCENT_CHANGE(FE_VALUATION(PE,MEAN,NTMA,,0,,,''),MAX(FE_VALUATION(PE,MEAN,NTMA,,-1AY,0,,'')))&lt;/Q&gt;&lt;R&gt;1&lt;/R&gt;&lt;C&gt;1&lt;/C&gt;&lt;D xsi:type="xsd:double"&gt;-76.062537579343&lt;/D&gt;&lt;/FQL&gt;&lt;FQL&gt;&lt;Q&gt;HUBS-US^FE_VALUATION(FFEV_EBITDA,MEAN,NTMA,,0,,,'')&lt;/Q&gt;&lt;R&gt;1&lt;/R&gt;&lt;C&gt;1&lt;/C&gt;&lt;D xsi:type="xsd:double"&gt;11.89469&lt;/D&gt;&lt;/FQL&gt;&lt;FQL&gt;&lt;Q&gt;HUBS-US^FE_VALUATION(FFEV_SALES,MEAN,NTMA,,0,,,'')&lt;/Q&gt;&lt;R&gt;1&lt;/R&gt;&lt;C&gt;1&lt;/C&gt;&lt;D xsi:type="xsd:double"&gt;2.8859944&lt;/D&gt;&lt;/FQL&gt;&lt;FQL&gt;&lt;Q&gt;HUBS-US^FE_VALUATION(P_SALESPS,MEAN,NTMA,,0,,,'')&lt;/Q&gt;&lt;R&gt;1&lt;/R&gt;&lt;C&gt;1&lt;/C&gt;&lt;D xsi:type="xsd:double"&gt;3.238714&lt;/D&gt;&lt;/FQL&gt;&lt;FQL&gt;&lt;Q&gt;HUBS-US^FE_VALUATION(PE,MEAN,NTMA,,0,,,'')&lt;/Q&gt;&lt;R&gt;1&lt;/R&gt;&lt;C&gt;1&lt;/C&gt;&lt;D xsi:type="xsd:double"&gt;18.106287&lt;/D&gt;&lt;/FQL&gt;&lt;FQL&gt;&lt;Q&gt;HUBS-US^FE_ACTUAL(ACTUAL,SALES,ANN_ROLL,0,,,,'CURRENCY=USD')&lt;/Q&gt;&lt;R&gt;1&lt;/R&gt;&lt;C&gt;1&lt;/C&gt;&lt;D xsi:type="xsd:double"&gt;3131.266&lt;/D&gt;&lt;/FQL&gt;&lt;FQL&gt;&lt;Q&gt;HUBS-US^FE_ACTUAL(ACTUAL,SALES,ANN_ROLL,-1,,,,'CURRENCY=USD')&lt;/Q&gt;&lt;R&gt;1&lt;/R&gt;&lt;C&gt;1&lt;/C&gt;&lt;D xsi:type="xsd:double"&gt;2627.543&lt;/D&gt;&lt;/FQL&gt;&lt;FQL&gt;&lt;Q&gt;HUBS-US^FE_VALUATION(EBITDA_MARGIN,MEAN,ANN_ROLL,0,NOW,,,'')&lt;/Q&gt;&lt;R&gt;1&lt;/R&gt;&lt;C&gt;1&lt;/C&gt;&lt;D xsi:type="xsd:double"&gt;22.74478&lt;/D&gt;&lt;/FQL&gt;&lt;FQL&gt;&lt;Q&gt;HUBS-US^FE_VALUATION(ROIC,MEAN,NTMA,,0,,,'')&lt;/Q&gt;&lt;R&gt;1&lt;/R&gt;&lt;C&gt;1&lt;/C&gt;&lt;D xsi:type="xsd:double"&gt;23.986855&lt;/D&gt;&lt;/FQL&gt;&lt;FQL&gt;&lt;Q&gt;HUBS-US^FE_VALUATION(ROE,MEAN,NTMA,,0,,,'')&lt;/Q&gt;&lt;R&gt;1&lt;/R&gt;&lt;C&gt;1&lt;/C&gt;&lt;D xsi:type="xsd:double"&gt;25.60649&lt;/D&gt;&lt;/FQL&gt;&lt;FQL&gt;&lt;Q&gt;HUBS-US^FE_VALUATION(DIV_YLD,MEAN,NTMA,,NOW,,,'')&lt;/Q&gt;&lt;R&gt;1&lt;/R&gt;&lt;C&gt;1&lt;/C&gt;&lt;D xsi:type="xsd:double"&gt;0&lt;/D&gt;&lt;/FQL&gt;&lt;FQL&gt;&lt;Q&gt;HUBS-US^FE_VALUATION(MCAP_FCF,MEAN,NTMA,,NOW,,,'')&lt;/Q&gt;&lt;R&gt;1&lt;/R&gt;&lt;C&gt;1&lt;/C&gt;&lt;D xsi:type="xsd:double"&gt;6.2337174&lt;/D&gt;&lt;/FQL&gt;&lt;FQL&gt;&lt;Q&gt;HUBS-US^FE_VALUATION(NETDEBT_EBITDA,MEAN,NTMA,,NOW,,,'')&lt;/Q&gt;&lt;R&gt;1&lt;/R&gt;&lt;C&gt;1&lt;/C&gt;&lt;D xsi:type="xsd:double"&gt;-2.2464297&lt;/D&gt;&lt;/FQL&gt;&lt;FQL&gt;&lt;Q&gt;HUBS-US^FF_NET_MGN(LTM_R,0)&lt;/Q&gt;&lt;R&gt;1&lt;/R&gt;&lt;C&gt;1&lt;/C&gt;&lt;D xsi:type="xsd:double"&gt;1.46639517706711&lt;/D&gt;&lt;/FQL&gt;&lt;FQL&gt;&lt;Q&gt;HUBS-US^FF_EBITDA_OPER_MGN(LTM_R,0)&lt;/Q&gt;&lt;R&gt;1&lt;/R&gt;&lt;C&gt;1&lt;/C&gt;&lt;D xsi:type="xsd:double"&gt;5.60629217071905&lt;/D&gt;&lt;/FQL&gt;&lt;FQL&gt;&lt;Q&gt;HUBS-US^FF_GROSS_MGN(LTM_R,0)&lt;/Q&gt;&lt;R&gt;1&lt;/R&gt;&lt;C&gt;1&lt;/C&gt;&lt;D xsi:type="xsd:double"&gt;83.75894917555&lt;/D&gt;&lt;/FQL&gt;&lt;FQL&gt;&lt;Q&gt;HUBS-US^POW(FE_ESTIMATE(EPS,MEAN,STMA,,NOW,,,'CURRENCY=USD')/FE_ESTIMATE(EPS,MEAN,LTMA,,NOW,,,'CURRENCY=USD'),0.5)-1&lt;/Q&gt;&lt;R&gt;1&lt;/R&gt;&lt;C&gt;1&lt;/C&gt;&lt;D xsi:type="xsd:double"&gt;0.247642697249497&lt;/D&gt;&lt;/FQL&gt;&lt;FQL&gt;&lt;Q&gt;HUBS-US^POW(FE_ESTIMATE(SALES,MEAN,STMA,,NOW,,,'CURRENCY=USD')/FE_ESTIMATE(SALES,MEAN,LTMA,,NOW,,,'CURRENCY=USD'),0.5)-1&lt;/Q&gt;&lt;R&gt;1&lt;/R&gt;&lt;C&gt;1&lt;/C&gt;&lt;D xsi:type="xsd:double"&gt;0.168945379391184&lt;/D&gt;&lt;/FQL&gt;&lt;FQL&gt;&lt;Q&gt;HUBS-US^FE_ACTUAL(ACTUAL,EPS,ANN_ROLL,0,,,,'CURRENCY=USD')&lt;/Q&gt;&lt;R&gt;1&lt;/R&gt;&lt;C&gt;1&lt;/C&gt;&lt;D xsi:type="xsd:double"&gt;9.7&lt;/D&gt;&lt;/FQL&gt;&lt;FQL&gt;&lt;Q&gt;HUBS-US^OS_SEC_FLT_PCT(0D,,MTD,SEC)&lt;/Q&gt;&lt;R&gt;1&lt;/R&gt;&lt;C&gt;1&lt;/C&gt;&lt;D xsi:type="xsd:double"&gt;96.2729&lt;/D&gt;&lt;/FQL&gt;&lt;FQL&gt;&lt;Q&gt;HUBS-US^AVG(P_VOLUME_FRQ(-1AM,NOW,D,,6))*P_PRICE_AVG(-1AM,NOW,,USD)&lt;/Q&gt;&lt;R&gt;1&lt;/R&gt;&lt;C&gt;1&lt;/C&gt;&lt;D xsi:type="xsd:double"&gt;578.235085777142&lt;/D&gt;&lt;/FQL&gt;&lt;FQL&gt;&lt;Q&gt;HUBS-US^FCS_EV_DAILY(MV,NOW,,,USD,M)&lt;/Q&gt;&lt;R&gt;1&lt;/R&gt;&lt;C&gt;1&lt;/C&gt;&lt;D xsi:type="xsd:double"&gt;12609.6032736&lt;/D&gt;&lt;/FQL&gt;&lt;FQL&gt;&lt;Q&gt;HUBS-US^P_DCOUNTRY&lt;/Q&gt;&lt;R&gt;1&lt;/R&gt;&lt;C&gt;1&lt;/C&gt;&lt;D xsi:type="xsd:string"&gt;UNITED STATES&lt;/D&gt;&lt;/FQL&gt;&lt;FQL&gt;&lt;Q&gt;HUBS-US^FR_RBICS_NAME_CURR("IND")&lt;/Q&gt;&lt;R&gt;1&lt;/R&gt;&lt;C&gt;1&lt;/C&gt;&lt;D xsi:type="xsd:string"&gt;Customer Relationship Management Software&lt;/D&gt;&lt;/FQL&gt;&lt;FQL&gt;&lt;Q&gt;600588-CN^STRING_ARRAY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xsi:type="xsd:string"&gt;95.172406&lt;/D&gt;&lt;D xsi:type="xsd:string"&gt;3.014072&lt;/D&gt;&lt;D xsi:type="xsd:string"&gt;1.813522&lt;/D&gt;&lt;D xsi:type="xsd:string"&gt;@NA&lt;/D&gt;&lt;D xsi:type="xsd:string"&gt;@NA&lt;/D&gt;&lt;/FQL&gt;&lt;FQL&gt;&lt;Q&gt;600588-CN^STRING_ARRAY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xsi:type="xsd:string"&gt;General Enterprise Management Software&lt;/D&gt;&lt;D xsi:type="xsd:string"&gt;General and Mixed-Type Software&lt;/D&gt;&lt;D xsi:type="xsd:string"&gt;Enterprise Resource Planning Software&lt;/D&gt;&lt;D xsi:type="xsd:string"&gt;@NA&lt;/D&gt;&lt;D xsi:type="xsd:string"&gt;@NA&lt;/D&gt;&lt;/FQL&gt;&lt;FQL&gt;&lt;Q&gt;WTC-AU^STRING_ARRAY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xsi:type="xsd:string"&gt;@NA&lt;/D&gt;&lt;/FQL&gt;&lt;FQL&gt;&lt;Q&gt;WTC-AU^STRING_ARRAY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xsi:type="xsd:string"&gt;Enterprise Resource Planning Software&lt;/D&gt;&lt;D xsi:type="xsd:string"&gt;@NA&lt;/D&gt;&lt;D xsi:type="xsd:string"&gt;@NA&lt;/D&gt;&lt;D xsi:type="xsd:string"&gt;@NA&lt;/D&gt;&lt;D xsi:type="xsd:string"&gt;@NA&lt;/D&gt;&lt;/FQL&gt;&lt;FQL&gt;&lt;Q&gt;PSN-US^STRING_ARRAY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xsi:type="xsd:string"&gt;59.359586&lt;/D&gt;&lt;D xsi:type="xsd:string"&gt;40.640414&lt;/D&gt;&lt;D xsi:type="xsd:string"&gt;@NA&lt;/D&gt;&lt;D xsi:type="xsd:string"&gt;@NA&lt;/D&gt;&lt;D xsi:type="xsd:string"&gt;@NA&lt;/D&gt;&lt;/FQL&gt;&lt;FQL&gt;&lt;Q&gt;PSN-US^STRING_ARRAY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xsi:type="xsd:string"&gt;Industry-Specific Software&lt;/D&gt;&lt;D xsi:type="xsd:string"&gt;General Transportation and Related Services&lt;/D&gt;&lt;D xsi:type="xsd:string"&gt;@NA&lt;/D&gt;&lt;D xsi:type="xsd:string"&gt;@NA&lt;/D&gt;&lt;D xsi:type="xsd:string"&gt;@NA&lt;/D&gt;&lt;/FQL&gt;&lt;FQL&gt;&lt;Q&gt;TNE-AU^STRING_ARRAY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xsi:type="xsd:string"&gt;@NA&lt;/D&gt;&lt;/FQL&gt;&lt;FQL&gt;&lt;Q&gt;TNE-AU^STRING_ARRAY NAME= TRANSPOSE(TRANSPOSE(SA_SUBARRAY(FR_RBICS_REV_MATRIX_CURRENT("IND"),1,9))[13:13]);FLOAT_ARRAY PCT=TRANSPOSE(TR</t>
        </r>
      </text>
    </comment>
    <comment ref="A12" authorId="0" shapeId="0" xr:uid="{AD85D92C-8DE0-45CD-A25E-E76DD0862236}">
      <text>
        <r>
          <rPr>
            <b/>
            <sz val="9"/>
            <color indexed="81"/>
            <rFont val="Tahoma"/>
            <charset val="1"/>
          </rPr>
          <t>ANSPOSE(SA_SUBARRAY(FR_RBICS_REV_MATRIX_CURRENT("IND"),1,9))[14:14]);SORT_INDIRECT(NAME,PCT,2)[0:4]&lt;/Q&gt;&lt;R&gt;5&lt;/R&gt;&lt;C&gt;1&lt;/C&gt;&lt;D xsi:type="xsd:string"&gt;General Enterprise Management Software&lt;/D&gt;&lt;D xsi:type="xsd:string"&gt;@NA&lt;/D&gt;&lt;D xsi:type="xsd:string"&gt;@NA&lt;/D&gt;&lt;D xsi:type="xsd:string"&gt;@NA&lt;/D&gt;&lt;D xsi:type="xsd:string"&gt;@NA&lt;/D&gt;&lt;/FQL&gt;&lt;FQL&gt;&lt;Q&gt;MANH-US^STRING_ARRAY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xsi:type="xsd:string"&gt;97.649419&lt;/D&gt;&lt;D xsi:type="xsd:string"&gt;2.350581&lt;/D&gt;&lt;D xsi:type="xsd:string"&gt;@NA&lt;/D&gt;&lt;D xsi:type="xsd:string"&gt;@NA&lt;/D&gt;&lt;D xsi:type="xsd:string"&gt;@NA&lt;/D&gt;&lt;/FQL&gt;&lt;FQL&gt;&lt;Q&gt;MANH-US^STRING_ARRAY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xsi:type="xsd:string"&gt;Enterprise Resource Planning Software&lt;/D&gt;&lt;D xsi:type="xsd:string"&gt;Design, Integration and Implementation Consulting&lt;/D&gt;&lt;D xsi:type="xsd:string"&gt;@NA&lt;/D&gt;&lt;D xsi:type="xsd:string"&gt;@NA&lt;/D&gt;&lt;D xsi:type="xsd:string"&gt;@NA&lt;/D&gt;&lt;/FQL&gt;&lt;FQL&gt;&lt;Q&gt;SGE-GB^STRING_ARRAY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xsi:type="xsd:string"&gt;@NA&lt;/D&gt;&lt;/FQL&gt;&lt;FQL&gt;&lt;Q&gt;SGE-GB^STRING_ARRAY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xsi:type="xsd:string"&gt;Enterprise Resource Planning Software&lt;/D&gt;&lt;D xsi:type="xsd:string"&gt;@NA&lt;/D&gt;&lt;D xsi:type="xsd:string"&gt;@NA&lt;/D&gt;&lt;D xsi:type="xsd:string"&gt;@NA&lt;/D&gt;&lt;D xsi:type="xsd:string"&gt;@NA&lt;/D&gt;&lt;/FQL&gt;&lt;FQL&gt;&lt;Q&gt;HEXA.B-SE^STRING_ARRAY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xsi:type="xsd:string"&gt;60.975171&lt;/D&gt;&lt;D xsi:type="xsd:string"&gt;15.398900&lt;/D&gt;&lt;D xsi:type="xsd:string"&gt;10.931663&lt;/D&gt;&lt;D xsi:type="xsd:string"&gt;10.331229&lt;/D&gt;&lt;D xsi:type="xsd:string"&gt;2.303790&lt;/D&gt;&lt;/FQL&gt;&lt;FQL&gt;&lt;Q&gt;HEXA.B-SE^STRING_ARRAY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xsi:type="xsd:string"&gt;Computer Aided Design Software&lt;/D&gt;&lt;D xsi:type="xsd:string"&gt;Asset Management Software&lt;/D&gt;&lt;D xsi:type="xsd:string"&gt;Specialized Design and Engineering Software&lt;/D&gt;&lt;D xsi:type="xsd:string"&gt;Global Positioning Systems (GPS) Manufacturing&lt;/D&gt;&lt;D xsi:type="xsd:string"&gt;Industry-Specific Software&lt;/D&gt;&lt;/FQL&gt;&lt;FQL&gt;&lt;Q&gt;XRO-AU^STRING_ARRAY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xsi:type="xsd:string"&gt;@NA&lt;/D&gt;&lt;/FQL&gt;&lt;FQL&gt;&lt;Q&gt;XRO-AU^STRING_ARRAY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xsi:type="xsd:string"&gt;Enterprise Resource Planning Software&lt;/D&gt;&lt;D xsi:type="xsd:string"&gt;@NA&lt;/D&gt;&lt;D xsi:type="xsd:string"&gt;@NA&lt;/D&gt;&lt;D xsi:type="xsd:string"&gt;@NA&lt;/D&gt;&lt;D xsi:type="xsd:string"&gt;@NA&lt;/D&gt;&lt;/FQL&gt;&lt;FQL&gt;&lt;Q&gt;TYL-US^STRING_ARRAY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xsi:type="xsd:string"&gt;@NA&lt;/D&gt;&lt;/FQL&gt;&lt;FQL&gt;&lt;Q&gt;TYL-US^STRING_ARRAY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xsi:type="xsd:string"&gt;Government and Not-For-Profit Industry Software&lt;/D&gt;&lt;D xsi:type="xsd:string"&gt;@NA&lt;/D&gt;&lt;D xsi:type="xsd:string"&gt;@NA&lt;/D&gt;&lt;D xsi:type="xsd:string"&gt;@NA&lt;/D&gt;&lt;D xsi:type="xsd:string"&gt;@NA&lt;/D&gt;&lt;/FQL&gt;&lt;FQL&gt;&lt;Q&gt;AGYS-US^STRING_ARRAY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xsi:type="xsd:string"&gt;@NA&lt;/D&gt;&lt;/FQL&gt;&lt;FQL&gt;&lt;Q&gt;AGYS-US^STRING_ARRAY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xsi:type="xsd:string"&gt;Hospitality Industry Software&lt;/D&gt;&lt;D xsi:type="xsd:string"&gt;@NA&lt;/D&gt;&lt;D xsi:type="xsd:string"&gt;@NA&lt;/D&gt;&lt;D xsi:type="xsd:string"&gt;@NA&lt;/D&gt;&lt;D xsi:type="xsd:string"&gt;@NA&lt;/D&gt;&lt;/FQL&gt;&lt;FQL&gt;&lt;Q&gt;DOX-US^STRING_ARRAY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xsi:type="xsd:string"&gt;66.089135&lt;/D&gt;&lt;D xsi:type="xsd:string"&gt;33.910865&lt;/D&gt;&lt;D xsi:type="xsd:string"&gt;@NA&lt;/D&gt;&lt;D xsi:type="xsd:string"&gt;@NA&lt;/D&gt;&lt;D xsi:type="xsd:string"&gt;@NA&lt;/D&gt;&lt;/FQL&gt;&lt;FQL&gt;&lt;Q&gt;DOX-US^STRING_ARRAY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xsi:type="xsd:string"&gt;Design, Integration and Implementation Consulting&lt;/D&gt;&lt;D xsi:type="xsd:string"&gt;Telecommunications Industry Software&lt;/D&gt;&lt;D xsi:type="xsd:string"&gt;@NA&lt;/D&gt;&lt;D xsi:type="xsd:string"&gt;@NA&lt;/D&gt;&lt;D xsi:type="xsd:string"&gt;@NA&lt;/D&gt;&lt;/FQL&gt;&lt;FQL&gt;&lt;Q&gt;ACIW-US^STRING_ARRAY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xsi:type="xsd:string"&gt;55.976587&lt;/D&gt;&lt;D xsi:type="xsd:string"&gt;40.735927&lt;/D&gt;&lt;D xsi:type="xsd:string"&gt;3.287486&lt;/D&gt;&lt;D xsi:type="xsd:string"&gt;@NA&lt;/D&gt;&lt;D xsi:type="xsd:string"&gt;@NA&lt;/D&gt;&lt;/FQL&gt;&lt;FQL&gt;&lt;Q&gt;ACIW-US^STRING_ARRAY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xsi:type="xsd:string"&gt;Enterprise Resource Planning Software&lt;/D&gt;&lt;D xsi:type="xsd:string"&gt;Finance Industry Software&lt;/D&gt;&lt;D xsi:type="xsd:string"&gt;Other Enterprise Management Software&lt;/D&gt;&lt;D xsi:type="xsd:string"&gt;@NA&lt;/D&gt;&lt;D xsi:type="xsd:string"&gt;@NA&lt;/D&gt;&lt;/FQL&gt;&lt;FQL&gt;&lt;Q&gt;SSNC-US^STRING_ARRAY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xsi:type="xsd:string"&gt;@NA&lt;/D&gt;&lt;/FQL&gt;&lt;FQL&gt;&lt;Q&gt;SSNC-US^STRING_ARRAY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xsi:type="xsd:string"&gt;Finance Industry Software&lt;/D&gt;&lt;D xsi:type="xsd:string"&gt;@NA&lt;/D&gt;&lt;D xsi:type="xsd:string"&gt;@NA&lt;/D&gt;&lt;D xsi:type="xsd:string"&gt;@NA&lt;/D&gt;&lt;D xsi:type="xsd:string"&gt;@NA&lt;/D&gt;&lt;/FQL&gt;&lt;FQL&gt;&lt;Q&gt;CFLT-US^STRING_ARRAY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xsi:type="xsd:string"&gt;@NA&lt;/D&gt;&lt;/FQL&gt;&lt;FQL&gt;&lt;Q&gt;CFLT-US^STRING_ARRAY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xsi:type="xsd:string"&gt;Data Storage Infrastructure Software&lt;/D&gt;&lt;D xsi:type="xsd:string"&gt;@NA&lt;/D&gt;&lt;D xsi:type="xsd:string"&gt;@NA&lt;/D&gt;&lt;D xsi:type="xsd:string"&gt;@NA&lt;/D&gt;&lt;D xsi:type="xsd:string"&gt;@NA&lt;/D&gt;&lt;/FQL&gt;&lt;FQL&gt;&lt;Q&gt;TRMB-US^STRING_ARRAY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xsi:type="xsd:string"&gt;41.699020&lt;/D&gt;&lt;D xsi:type="xsd:string"&gt;36.885402&lt;/D&gt;&lt;D xsi:type="xsd:string"&gt;21.415578&lt;/D&gt;&lt;D xsi:type="xsd:string"&gt;@NA&lt;/D&gt;&lt;D xsi:type="xsd:string"&gt;@NA&lt;/D&gt;&lt;/FQL&gt;&lt;FQL&gt;&lt;Q&gt;TRMB-US^STRING_ARRAY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xsi:type="xsd:string"&gt;Global Positioning Systems (GPS) Manufacturing&lt;/D&gt;&lt;D xsi:type="xsd:string"&gt;Other Real Estate Investment and Services&lt;/D&gt;&lt;D xsi:type="xsd:string"&gt;General Transportation and Related Services&lt;/D&gt;&lt;D xsi:type="xsd:string"&gt;@NA&lt;/D&gt;&lt;D xsi:type="xsd:string"&gt;@NA&lt;/D&gt;&lt;/FQL&gt;&lt;FQL&gt;&lt;Q&gt;RMBS-US^STRING_ARRAY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xsi:type="xsd:string"&gt;59.360402&lt;/D&gt;&lt;D xsi:type="xsd:string"&gt;40.639598&lt;/D&gt;&lt;D xsi:type="xsd:string"&gt;@NA&lt;/D&gt;&lt;D xsi:type="xsd:string"&gt;@NA&lt;/D&gt;&lt;D xsi:type="xsd:string"&gt;@NA&lt;/D&gt;&lt;/FQL&gt;&lt;FQL&gt;&lt;Q&gt;RMBS-US^STRING_ARRAY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xsi:type="xsd:string"&gt;Electronic Design Automation Software&lt;/D&gt;&lt;D xsi:type="xsd:string"&gt;Other Memory Semiconductors&lt;/D&gt;&lt;D xsi:type="xsd:string"&gt;@NA&lt;/D&gt;&lt;D xsi:type="xsd:string"&gt;@NA&lt;/D&gt;&lt;D xsi:type="xsd:string"&gt;@NA&lt;/D&gt;&lt;/FQL&gt;&lt;FQL&gt;&lt;Q&gt;NCNO-US^STRING_ARRAY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xsi:type="xsd:string"&gt;@NA&lt;/D&gt;&lt;/FQL&gt;&lt;FQL&gt;&lt;Q&gt;NCNO-US^STRING_ARRAY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xsi:type="xsd:string"&gt;Finance Industry Software&lt;/D&gt;&lt;D xsi:type="xsd:string"&gt;@NA&lt;/D&gt;&lt;D xsi:type="xsd:string"&gt;@NA&lt;/D&gt;&lt;D xsi:type="xsd:string"&gt;@NA&lt;/D&gt;&lt;D xsi:type="xsd:string"&gt;@NA&lt;/D&gt;&lt;/FQL&gt;&lt;FQL&gt;&lt;Q&gt;TTAN-US^STRING_ARRAY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xsi:type="xsd:string"&gt;95.803482&lt;/D&gt;&lt;D xsi:type="xsd:string"&gt;4.196518&lt;/D&gt;&lt;D xsi:type="xsd:string"&gt;@NA&lt;/D&gt;&lt;D xsi:type="xsd:string"&gt;@NA&lt;/D&gt;&lt;D xsi:type="xsd:string"&gt;@NA&lt;/D&gt;&lt;/FQL&gt;&lt;FQL&gt;&lt;Q&gt;TTAN-US^STRING_ARRAY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xsi:type="xsd:string"&gt;General Enterprise Management Software&lt;/D&gt;&lt;D xsi:type="xsd:string"&gt;Business Process Outsourcing Services&lt;/D&gt;&lt;D xsi:type="xsd:string"&gt;@NA&lt;/D&gt;&lt;D xsi:type="xsd:string"&gt;@NA&lt;/D&gt;&lt;D xsi:type="xsd:string"&gt;@NA&lt;/D&gt;&lt;/FQL&gt;&lt;FQL&gt;&lt;Q&gt;MDB-US^STRING_ARRAY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xsi:type="xsd:string"&gt;@NA&lt;/D&gt;&lt;/FQL&gt;&lt;FQL&gt;&lt;Q&gt;MDB-US^STRING_ARRAY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xsi:type="xsd:string"&gt;Data Storage Infrastructure Software&lt;/D&gt;&lt;D xsi:type="xsd:string"&gt;@NA&lt;/D&gt;&lt;D xsi:type="xsd:string"&gt;@NA&lt;/D&gt;&lt;D xsi:type="xsd:string"&gt;@NA&lt;/D&gt;&lt;D xsi:type="xsd:string"&gt;@NA&lt;/D&gt;&lt;/FQL&gt;&lt;FQL&gt;&lt;Q&gt;SNPS-US^STRING_ARRAY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xsi:type="xsd:string"&gt;97.500000&lt;/D&gt;&lt;D xsi:type="xsd:string"&gt;2.500000&lt;/D&gt;&lt;D xsi:type="xsd:string"&gt;@NA&lt;/D&gt;&lt;D xsi:type="xsd:string"&gt;@NA&lt;/D&gt;&lt;D xsi:type="xsd:string"&gt;@NA&lt;/D&gt;&lt;/FQL&gt;&lt;FQL&gt;&lt;Q&gt;SNPS-US^STRING_ARRAY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xsi:type="xsd:string"&gt;Electronic Design Automation Software&lt;/D&gt;&lt;D xsi:type="xsd:string"&gt;Multi-Industry-Specific IT Services&lt;/D&gt;&lt;D xsi:type="xsd:string"&gt;@NA&lt;/D&gt;&lt;D xsi:type="xsd:string"&gt;@NA&lt;/D&gt;&lt;D xsi:type="xsd:string"&gt;@NA&lt;/D&gt;&lt;/FQL&gt;&lt;FQL&gt;&lt;Q&gt;SNOW-US^STRING_ARRAY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xsi:type="xsd:string"&gt;@NA&lt;/D&gt;&lt;/FQL&gt;&lt;FQL&gt;&lt;Q&gt;SNOW-US^STRING_ARRAY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xsi:type="xsd:string"&gt;Business Intelligence Software&lt;/D&gt;&lt;D xsi:type="xsd:string"&gt;@NA&lt;/D&gt;&lt;D xsi:type="xsd:string"&gt;@NA&lt;/D&gt;&lt;D xsi:type="xsd:string"&gt;@NA&lt;/D&gt;&lt;D xsi:type="xsd:string"&gt;@NA&lt;/D&gt;&lt;/FQL&gt;&lt;FQL&gt;&lt;Q&gt;GWRE-US^STRING_ARRAY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xsi:type="xsd:string"&gt;@NA&lt;/D&gt;&lt;/FQL&gt;&lt;FQL&gt;&lt;Q&gt;GWRE-US^STRING_ARRAY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xsi:type="xsd:string"&gt;Finance Industry Software&lt;/D&gt;&lt;D xsi:type="xsd:string"&gt;@NA&lt;/D&gt;&lt;D xsi:type="xsd:string"&gt;@NA&lt;/D&gt;&lt;D xsi:type="xsd:string"&gt;@NA&lt;/D&gt;&lt;D xsi:type="xsd:string"&gt;@NA&lt;/D&gt;&lt;/FQL&gt;&lt;FQL&gt;&lt;Q&gt;SAIL-US^STRING_ARRAY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xsi:type="xsd:string"&gt;@NA&lt;/D&gt;&lt;/FQL&gt;&lt;FQL&gt;&lt;Q&gt;SAIL-US^STRING_ARRAY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xsi:type="xsd:string"&gt;Network Infrastructure Software&lt;/D&gt;&lt;D xsi:type="xsd:string"&gt;@NA&lt;/D&gt;&lt;D xsi:type="xsd:string"&gt;@NA&lt;/D&gt;&lt;D xsi:type="xsd:string"&gt;@NA&lt;/D&gt;&lt;D xsi:type="xsd:string"&gt;@NA&lt;/D&gt;&lt;/FQL&gt;&lt;FQL&gt;&lt;Q&gt;ALRM-US^STRING_ARRAY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xsi:type="xsd:string"&gt;67.161084&lt;/D&gt;&lt;D xsi:type="xsd:string"&gt;32.272429&lt;/D&gt;&lt;D xsi:type="xsd:string"&gt;0.566487&lt;/D&gt;&lt;D xsi:type="xsd:string"&gt;@NA&lt;/D&gt;&lt;D xsi:type="xsd:string"&gt;@NA&lt;/D&gt;&lt;/FQL&gt;&lt;FQL&gt;&lt;Q&gt;ALRM-US^STRING_ARRAY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xsi:type="xsd:string"&gt;Other Enterprise Management Software&lt;/D&gt;&lt;D xsi:type="xsd:string"&gt;Building/Physical Electronic Security Equipment&lt;/D&gt;&lt;D xsi:type="xsd:string"&gt;Monitoring and Control Sensor/Instrument Products&lt;/D&gt;&lt;D xsi:type="xsd:string"&gt;@NA&lt;/D&gt;&lt;D xsi:type="xsd:string"&gt;@NA&lt;/D&gt;&lt;/FQL&gt;&lt;FQL&gt;&lt;Q&gt;ROP-US^STRING_ARRAY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xsi:type="xsd:string"&gt;@NA&lt;/D&gt;&lt;/FQL&gt;&lt;FQL&gt;&lt;Q&gt;ROP-US^STRING_ARRAY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xsi:type="xsd:string"&gt;Industry-Specific Software&lt;/D&gt;&lt;D xsi:type="xsd:string"&gt;@NA&lt;/D&gt;&lt;D xsi:type="xsd:string"&gt;@NA&lt;/D&gt;&lt;D xsi:type="xsd:string"&gt;@NA&lt;/D&gt;&lt;D xsi:type="xsd:string"&gt;@NA&lt;/D&gt;&lt;/FQL&gt;&lt;FQL&gt;&lt;Q&gt;7203-SA^STRING_ARRAY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xsi:type="xsd:string"&gt;73.843792&lt;/D&gt;&lt;D xsi:type="xsd:string"&gt;24.096315&lt;/D&gt;&lt;D xsi:type="xsd:string"&gt;2.059893&lt;/D&gt;&lt;D xsi:type="xsd:string"&gt;@NA&lt;/D&gt;&lt;D xsi:type="xsd:string"&gt;@NA&lt;/D&gt;&lt;/FQL&gt;&lt;FQL&gt;&lt;Q&gt;7203-SA^STRING_ARRAY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xsi:type="xsd:string"&gt;Industry-Specific Software&lt;/D&gt;&lt;D xsi:type="xsd:string"&gt;Business Process Outsourcing Services&lt;/D&gt;&lt;D xsi:type="xsd:string"&gt;Information Technology Consulting&lt;/D&gt;&lt;D xsi:type="xsd:string"&gt;@NA&lt;/D&gt;&lt;D xsi:type="xsd:string"&gt;@NA&lt;/D&gt;&lt;/FQL&gt;&lt;FQL&gt;&lt;Q&gt;CWAN-US^STRING_ARRAY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xsi:type="xsd:string"&gt;@NA&lt;/D&gt;&lt;/FQL&gt;&lt;FQL&gt;&lt;Q&gt;CWAN-US^STRING_ARRAY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xsi:type="xsd:string"&gt;Finance Industry Software&lt;/D&gt;&lt;D xsi:type="xsd:string"&gt;@NA&lt;/D&gt;&lt;D xsi:type="xsd:string"&gt;@NA&lt;/D&gt;&lt;D xsi:type="xsd:string"&gt;@NA&lt;/D&gt;&lt;D xsi:type="xsd:string"&gt;@NA&lt;/D&gt;&lt;/FQL&gt;&lt;FQL&gt;&lt;Q&gt;CRWV-US^STRING_ARRAY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xsi:type="xsd:string"&gt;@NA&lt;/D&gt;&lt;/FQL&gt;&lt;FQL&gt;&lt;Q&gt;CRWV-US^STRING_ARRAY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xsi:type="xsd:string"&gt;Colocation and Data Center Services&lt;/D&gt;&lt;D xsi:type="xsd:string"&gt;@NA&lt;/D&gt;&lt;D xsi:type="xsd:string"&gt;@NA&lt;/D&gt;&lt;D xsi:type="xsd:string"&gt;@NA&lt;/D&gt;&lt;D xsi:type="xsd:string"&gt;@NA&lt;/D&gt;&lt;/FQL&gt;&lt;FQL&gt;&lt;Q&gt;PRESIGHT-AE^STRING_ARRAY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xsi:type="xsd:string"&gt;89.465358&lt;/D&gt;&lt;D xsi:type="xsd:string"&gt;10.534642&lt;/D&gt;&lt;D xsi:type="xsd:string"&gt;@NA&lt;/D&gt;&lt;D xsi:type="xsd:string"&gt;@NA&lt;/D&gt;&lt;D xsi:type="xsd:string"&gt;@NA&lt;/D&gt;&lt;/FQL&gt;&lt;FQL&gt;&lt;Q&gt;PRESIGHT-AE^STRING_ARRAY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xsi:type="xsd:string"&gt;Business Intelligence Software&lt;/D&gt;&lt;D xsi:type="xsd:string"&gt;Design, Integration and Implementation Consulting&lt;/D&gt;&lt;D xsi:type="xsd:string"&gt;@NA&lt;/D&gt;&lt;D xsi:type="xsd:string"&gt;@NA&lt;/D&gt;&lt;D xsi:type="xsd:string"&gt;@NA&lt;/D&gt;&lt;/FQL&gt;&lt;FQL&gt;&lt;Q&gt;OTEX-US^STRING_ARRAY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xsi:type="xsd:string"&gt;@NA&lt;/D&gt;&lt;/FQL&gt;&lt;FQL&gt;&lt;Q&gt;OTEX-US^STRING_ARRAY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xsi:type="xsd:string"&gt;General Enterprise Management Software&lt;/D&gt;&lt;D xsi:type="xsd:string"&gt;@NA&lt;/D&gt;&lt;D xsi:type="xsd:string"&gt;@NA&lt;/D&gt;&lt;D xsi:type="xsd:string"&gt;@NA&lt;/D&gt;&lt;D xsi:type="xsd:string"&gt;@NA&lt;/D&gt;&lt;/FQL&gt;&lt;FQL&gt;&lt;Q&gt;CCC-US^STRING_ARRAY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xsi:type="xsd:string"&gt;@NA&lt;/D&gt;&lt;/FQL&gt;&lt;FQL&gt;&lt;Q&gt;CCC-US^STRING_ARRAY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xsi:type="xsd:string"&gt;Finance Industry Software&lt;/D&gt;&lt;D xsi:type="xsd:string"&gt;@NA&lt;/D&gt;&lt;D xsi:type="xsd:string"&gt;@NA&lt;/D&gt;&lt;D xsi:type="xsd:string"&gt;@NA&lt;/D&gt;&lt;D xsi:type="xsd:string"&gt;@NA&lt;/D&gt;&lt;/FQL&gt;&lt;FQL&gt;&lt;Q&gt;ORCL-US^STRING_ARRAY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xsi:type="xsd:string"&gt;76.706911&lt;/D&gt;&lt;D xsi:type="xsd:string"&gt;9.116884&lt;/D&gt;&lt;D xsi:type="xsd:string"&gt;9.061133&lt;/D&gt;&lt;D xsi:type="xsd:string"&gt;5.115072&lt;/D&gt;&lt;D xsi:type="xsd:string"&gt;@NA&lt;/D&gt;&lt;/FQL&gt;&lt;FQL&gt;&lt;Q&gt;ORCL-US^STRING_ARRAY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xsi:type="xsd:string"&gt;Diversified Hosting Services&lt;/D&gt;&lt;D xsi:type="xsd:string"&gt;Information Technology Consulting&lt;/D&gt;&lt;D xsi:type="xsd:string"&gt;Diversified IT Infrastructure Software&lt;/D&gt;&lt;D xsi:type="xsd:string"&gt;Server Computer Systems&lt;/D&gt;&lt;D xsi:type="xsd:string"&gt;@NA&lt;/D&gt;&lt;/FQL&gt;&lt;FQL&gt;&lt;Q&gt;CRWD-US^STRING_ARRAY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xsi:type="xsd:string"&gt;95.140054&lt;/D&gt;&lt;D xsi:type="xsd:string"&gt;4.859946&lt;/D&gt;&lt;D xsi:type="xsd:string"&gt;@NA&lt;/D&gt;&lt;D xsi:type="xsd:string"&gt;@NA&lt;/D&gt;&lt;D xsi:type="xsd:string"&gt;@NA&lt;/D&gt;&lt;/FQL&gt;&lt;FQL&gt;&lt;Q&gt;CRWD-US^STRING_ARRAY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xsi:type="xsd:string"&gt;Network Infrastructure Software&lt;/D&gt;&lt;D xsi:type="xsd:string"&gt;Security and Management Consulting&lt;/D&gt;&lt;D xsi:type="xsd:string"&gt;@NA&lt;/D&gt;&lt;D xsi:type="xsd:string"&gt;@NA&lt;/D&gt;&lt;D xsi:type="xsd:string"&gt;@NA&lt;/D&gt;&lt;/FQL&gt;&lt;FQL&gt;&lt;Q&gt;BLKB-US^STRING_ARRAY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xsi:type="xsd:string"&gt;97.716909&lt;/D&gt;&lt;D xsi:type="xsd:string"&gt;2.283091&lt;/D&gt;&lt;D xsi:type="xsd:string"&gt;@NA&lt;/D&gt;&lt;D xsi:type="xsd:string"&gt;@NA&lt;/D&gt;&lt;D xsi:type="xsd:string"&gt;@NA&lt;/D&gt;&lt;/FQL&gt;&lt;FQL&gt;&lt;Q&gt;BLKB-US^STRING_ARRAY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xsi:type="xsd:string"&gt;Government and Not-For-Profit Industry Software&lt;/D&gt;&lt;D xsi:type="xsd:string"&gt;General Enterprise and Technology Consulting&lt;/D&gt;&lt;D xsi:type="xsd:string"&gt;@NA&lt;/D&gt;&lt;D xsi:type="xsd:string"&gt;@NA&lt;/D&gt;&lt;D xsi:type="xsd:string"&gt;@NA&lt;/D&gt;&lt;/FQL&gt;&lt;FQL&gt;&lt;Q&gt;ALKT-US^STRING_ARRAY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xsi:type="xsd:string"&gt;@NA&lt;/D&gt;&lt;/FQL&gt;&lt;FQL&gt;&lt;Q&gt;ALKT-US^STRING_ARRAY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xsi:type="xsd:string"&gt;Finance Industry Software&lt;/D&gt;&lt;D xsi:type="xsd:string"&gt;@NA&lt;/D&gt;&lt;D xsi:type="xsd:string"&gt;@NA&lt;/D&gt;&lt;D xsi:type="xsd:string"&gt;@NA&lt;/D&gt;&lt;D xsi:type="xsd:string"&gt;@NA&lt;/D&gt;&lt;/FQL&gt;&lt;FQL&gt;&lt;Q&gt;300033-CN^STRING_ARRAY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xsi:type="xsd:string"&gt;@NA&lt;/D&gt;&lt;/FQL&gt;&lt;FQL&gt;&lt;Q&gt;300033-CN^STRING_ARRAY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xsi:type="xsd:string"&gt;Finance Industry Software&lt;/D&gt;&lt;D xsi:type="xsd:string"&gt;@NA&lt;/D&gt;&lt;D xsi:type="xsd:string"&gt;@NA&lt;/D&gt;&lt;D xsi:type="xsd:string"&gt;@NA&lt;/D&gt;&lt;D xsi:type="xsd:string"&gt;@NA&lt;/D&gt;&lt;/FQL&gt;&lt;FQL&gt;&lt;Q&gt;RBRK-US^STRING_ARRAY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xsi:type="xsd:string"&gt;@NA&lt;/D&gt;&lt;/FQL&gt;&lt;FQL&gt;&lt;Q&gt;RBRK-US^STRING_ARRAY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xsi:type="xsd:string"&gt;Network Infrastructure Software&lt;/D&gt;&lt;D xsi:type="xsd:string"&gt;@NA&lt;/D&gt;&lt;D xsi:type="xsd:string"&gt;@NA&lt;/D&gt;&lt;D xsi:type="xsd:string"&gt;@NA&lt;/D&gt;&lt;D xsi:type="xsd:string"&gt;@NA&lt;/D&gt;&lt;/FQL&gt;&lt;FQL&gt;&lt;Q&gt;MSFT-US^STRING_ARRAY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xsi:type="xsd:string"&gt;34.940226&lt;/D&gt;&lt;D xsi:type="xsd:string"&gt;33.781644&lt;/D&gt;&lt;D xsi:type="xsd:string"&gt;8.325524&lt;/D&gt;&lt;D xsi:type="xsd:string"&gt;6.322500&lt;/D&gt;&lt;D xsi:type="xsd:string"&gt;6.145731&lt;/D&gt;&lt;/FQL&gt;&lt;FQL&gt;&lt;Q&gt;MSFT-US^STRING_ARRAY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xsi:type="xsd:string"&gt;Diversified IT Infrastructure Software&lt;/D&gt;&lt;D xsi:type="xsd:string"&gt;Productivity Software&lt;/D&gt;&lt;D xsi:type="xsd:string"&gt;Electronic Gaming/Entertainment Electronics Makers&lt;/D&gt;&lt;D xsi:type="xsd:string"&gt;Consumer Content Providers&lt;/D&gt;&lt;D xsi:type="xsd:string"&gt;Multi-Type Home and Office Software&lt;/D&gt;&lt;/FQL&gt;&lt;FQL&gt;&lt;Q&gt;VERX-US^STRING_ARRAY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xsi:type="xsd:string"&gt;@NA&lt;/D&gt;&lt;/FQL&gt;&lt;FQL&gt;&lt;Q&gt;VERX-US^STRING_ARRAY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xsi:type="xsd:string"&gt;Enterprise Resource Planning Software&lt;/D&gt;&lt;D xsi:type="xsd:string"&gt;@NA&lt;/D&gt;&lt;D xsi:type="xsd:string"&gt;@NA&lt;/D&gt;&lt;D xsi:type="xsd:string"&gt;@NA&lt;/D&gt;&lt;D xsi:type="xsd:string"&gt;@NA&lt;/D&gt;&lt;/FQL&gt;&lt;FQL&gt;&lt;Q&gt;QTWO-US^STRING_ARRAY NAME= TRANSPOSE(TRANSPOSE(SA_SUBAR</t>
        </r>
      </text>
    </comment>
    <comment ref="A13" authorId="0" shapeId="0" xr:uid="{D59C55CB-D85E-48C1-BC62-66058AF2ABE6}">
      <text>
        <r>
          <rPr>
            <b/>
            <sz val="9"/>
            <color indexed="81"/>
            <rFont val="Tahoma"/>
            <charset val="1"/>
          </rPr>
          <t>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xsi:type="xsd:string"&gt;@NA&lt;/D&gt;&lt;/FQL&gt;&lt;FQL&gt;&lt;Q&gt;QTWO-US^STRING_ARRAY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xsi:type="xsd:string"&gt;Finance Industry Software&lt;/D&gt;&lt;D xsi:type="xsd:string"&gt;@NA&lt;/D&gt;&lt;D xsi:type="xsd:string"&gt;@NA&lt;/D&gt;&lt;D xsi:type="xsd:string"&gt;@NA&lt;/D&gt;&lt;D xsi:type="xsd:string"&gt;@NA&lt;/D&gt;&lt;/FQL&gt;&lt;FQL&gt;&lt;Q&gt;APPF-US^STRING_ARRAY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xsi:type="xsd:string"&gt;98.126253&lt;/D&gt;&lt;D xsi:type="xsd:string"&gt;1.873747&lt;/D&gt;&lt;D xsi:type="xsd:string"&gt;@NA&lt;/D&gt;&lt;D xsi:type="xsd:string"&gt;@NA&lt;/D&gt;&lt;D xsi:type="xsd:string"&gt;@NA&lt;/D&gt;&lt;/FQL&gt;&lt;FQL&gt;&lt;Q&gt;APPF-US^STRING_ARRAY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xsi:type="xsd:string"&gt;Other Real Estate Investment and Services&lt;/D&gt;&lt;D xsi:type="xsd:string"&gt;General or Multi-Industry Revenue&lt;/D&gt;&lt;D xsi:type="xsd:string"&gt;@NA&lt;/D&gt;&lt;D xsi:type="xsd:string"&gt;@NA&lt;/D&gt;&lt;D xsi:type="xsd:string"&gt;@NA&lt;/D&gt;&lt;/FQL&gt;&lt;FQL&gt;&lt;Q&gt;PAYX-US^STRING_ARRAY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xsi:type="xsd:string"&gt;97.097834&lt;/D&gt;&lt;D xsi:type="xsd:string"&gt;2.902166&lt;/D&gt;&lt;D xsi:type="xsd:string"&gt;@NA&lt;/D&gt;&lt;D xsi:type="xsd:string"&gt;@NA&lt;/D&gt;&lt;D xsi:type="xsd:string"&gt;@NA&lt;/D&gt;&lt;/FQL&gt;&lt;FQL&gt;&lt;Q&gt;PAYX-US^STRING_ARRAY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xsi:type="xsd:string"&gt;Enterprise Resource Planning Software&lt;/D&gt;&lt;D xsi:type="xsd:string"&gt;Corporate or Other Unallocated Revenue&lt;/D&gt;&lt;D xsi:type="xsd:string"&gt;@NA&lt;/D&gt;&lt;D xsi:type="xsd:string"&gt;@NA&lt;/D&gt;&lt;D xsi:type="xsd:string"&gt;@NA&lt;/D&gt;&lt;/FQL&gt;&lt;FQL&gt;&lt;Q&gt;SPSC-US^STRING_ARRAY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xsi:type="xsd:string"&gt;91.263710&lt;/D&gt;&lt;D xsi:type="xsd:string"&gt;8.736290&lt;/D&gt;&lt;D xsi:type="xsd:string"&gt;@NA&lt;/D&gt;&lt;D xsi:type="xsd:string"&gt;@NA&lt;/D&gt;&lt;D xsi:type="xsd:string"&gt;@NA&lt;/D&gt;&lt;/FQL&gt;&lt;FQL&gt;&lt;Q&gt;SPSC-US^STRING_ARRAY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xsi:type="xsd:string"&gt;Enterprise Resource Planning Software&lt;/D&gt;&lt;D xsi:type="xsd:string"&gt;Retail Industry Software&lt;/D&gt;&lt;D xsi:type="xsd:string"&gt;@NA&lt;/D&gt;&lt;D xsi:type="xsd:string"&gt;@NA&lt;/D&gt;&lt;D xsi:type="xsd:string"&gt;@NA&lt;/D&gt;&lt;/FQL&gt;&lt;FQL&gt;&lt;Q&gt;PANW-US^STRING_ARRAY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xsi:type="xsd:string"&gt;53.943502&lt;/D&gt;&lt;D xsi:type="xsd:string"&gt;46.056498&lt;/D&gt;&lt;D xsi:type="xsd:string"&gt;@NA&lt;/D&gt;&lt;D xsi:type="xsd:string"&gt;@NA&lt;/D&gt;&lt;D xsi:type="xsd:string"&gt;@NA&lt;/D&gt;&lt;/FQL&gt;&lt;FQL&gt;&lt;Q&gt;PANW-US^STRING_ARRAY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xsi:type="xsd:string"&gt;Network Infrastructure Software&lt;/D&gt;&lt;D xsi:type="xsd:string"&gt;Customer Premises Network Security Equipment&lt;/D&gt;&lt;D xsi:type="xsd:string"&gt;@NA&lt;/D&gt;&lt;D xsi:type="xsd:string"&gt;@NA&lt;/D&gt;&lt;D xsi:type="xsd:string"&gt;@NA&lt;/D&gt;&lt;/FQL&gt;&lt;FQL&gt;&lt;Q&gt;301269-CN^STRING_ARRAY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xsi:type="xsd:string"&gt;90.586389&lt;/D&gt;&lt;D xsi:type="xsd:string"&gt;9.413611&lt;/D&gt;&lt;D xsi:type="xsd:string"&gt;@NA&lt;/D&gt;&lt;D xsi:type="xsd:string"&gt;@NA&lt;/D&gt;&lt;D xsi:type="xsd:string"&gt;@NA&lt;/D&gt;&lt;/FQL&gt;&lt;FQL&gt;&lt;Q&gt;301269-CN^STRING_ARRAY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xsi:type="xsd:string"&gt;Electronic Design Automation Software&lt;/D&gt;&lt;D xsi:type="xsd:string"&gt;Other Design and Engineering Software&lt;/D&gt;&lt;D xsi:type="xsd:string"&gt;@NA&lt;/D&gt;&lt;D xsi:type="xsd:string"&gt;@NA&lt;/D&gt;&lt;D xsi:type="xsd:string"&gt;@NA&lt;/D&gt;&lt;/FQL&gt;&lt;FQL&gt;&lt;Q&gt;OS-US^STRING_ARRAY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xsi:type="xsd:string"&gt;@NA&lt;/D&gt;&lt;/FQL&gt;&lt;FQL&gt;&lt;Q&gt;OS-US^STRING_ARRAY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xsi:type="xsd:string"&gt;Enterprise Resource Planning Software&lt;/D&gt;&lt;D xsi:type="xsd:string"&gt;@NA&lt;/D&gt;&lt;D xsi:type="xsd:string"&gt;@NA&lt;/D&gt;&lt;D xsi:type="xsd:string"&gt;@NA&lt;/D&gt;&lt;D xsi:type="xsd:string"&gt;@NA&lt;/D&gt;&lt;/FQL&gt;&lt;FQL&gt;&lt;Q&gt;BSY-US^STRING_ARRAY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xsi:type="xsd:string"&gt;@NA&lt;/D&gt;&lt;/FQL&gt;&lt;FQL&gt;&lt;Q&gt;BSY-US^STRING_ARRAY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xsi:type="xsd:string"&gt;Computer Aided Design Software&lt;/D&gt;&lt;D xsi:type="xsd:string"&gt;@NA&lt;/D&gt;&lt;D xsi:type="xsd:string"&gt;@NA&lt;/D&gt;&lt;D xsi:type="xsd:string"&gt;@NA&lt;/D&gt;&lt;D xsi:type="xsd:string"&gt;@NA&lt;/D&gt;&lt;/FQL&gt;&lt;FQL&gt;&lt;Q&gt;4684-JP^STRING_ARRAY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xsi:type="xsd:string"&gt;93.498792&lt;/D&gt;&lt;D xsi:type="xsd:string"&gt;6.501208&lt;/D&gt;&lt;D xsi:type="xsd:string"&gt;@NA&lt;/D&gt;&lt;D xsi:type="xsd:string"&gt;@NA&lt;/D&gt;&lt;D xsi:type="xsd:string"&gt;@NA&lt;/D&gt;&lt;/FQL&gt;&lt;FQL&gt;&lt;Q&gt;4684-JP^STRING_ARRAY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xsi:type="xsd:string"&gt;Enterprise Resource Planning Software&lt;/D&gt;&lt;D xsi:type="xsd:string"&gt;Diversified Hardware Distributors&lt;/D&gt;&lt;D xsi:type="xsd:string"&gt;@NA&lt;/D&gt;&lt;D xsi:type="xsd:string"&gt;@NA&lt;/D&gt;&lt;D xsi:type="xsd:string"&gt;@NA&lt;/D&gt;&lt;/FQL&gt;&lt;FQL&gt;&lt;Q&gt;NICE-US^STRING_ARRAY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xsi:type="xsd:string"&gt;83.420625&lt;/D&gt;&lt;D xsi:type="xsd:string"&gt;16.579375&lt;/D&gt;&lt;D xsi:type="xsd:string"&gt;@NA&lt;/D&gt;&lt;D xsi:type="xsd:string"&gt;@NA&lt;/D&gt;&lt;D xsi:type="xsd:string"&gt;@NA&lt;/D&gt;&lt;/FQL&gt;&lt;FQL&gt;&lt;Q&gt;NICE-US^STRING_ARRAY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xsi:type="xsd:string"&gt;Customer Relationship Management Software&lt;/D&gt;&lt;D xsi:type="xsd:string"&gt;Enterprise Resource Planning Software&lt;/D&gt;&lt;D xsi:type="xsd:string"&gt;@NA&lt;/D&gt;&lt;D xsi:type="xsd:string"&gt;@NA&lt;/D&gt;&lt;D xsi:type="xsd:string"&gt;@NA&lt;/D&gt;&lt;/FQL&gt;&lt;FQL&gt;&lt;Q&gt;TOST-US^STRING_ARRAY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xsi:type="xsd:string"&gt;95.947581&lt;/D&gt;&lt;D xsi:type="xsd:string"&gt;4.052419&lt;/D&gt;&lt;D xsi:type="xsd:string"&gt;@NA&lt;/D&gt;&lt;D xsi:type="xsd:string"&gt;@NA&lt;/D&gt;&lt;D xsi:type="xsd:string"&gt;@NA&lt;/D&gt;&lt;/FQL&gt;&lt;FQL&gt;&lt;Q&gt;TOST-US^STRING_ARRAY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xsi:type="xsd:string"&gt;Retail Industry Software&lt;/D&gt;&lt;D xsi:type="xsd:string"&gt;Point-of-Sale (POS) Terminal Manufacturing&lt;/D&gt;&lt;D xsi:type="xsd:string"&gt;@NA&lt;/D&gt;&lt;D xsi:type="xsd:string"&gt;@NA&lt;/D&gt;&lt;D xsi:type="xsd:string"&gt;@NA&lt;/D&gt;&lt;/FQL&gt;&lt;FQL&gt;&lt;Q&gt;DDOG-US^STRING_ARRAY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xsi:type="xsd:string"&gt;@NA&lt;/D&gt;&lt;/FQL&gt;&lt;FQL&gt;&lt;Q&gt;DDOG-US^STRING_ARRAY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xsi:type="xsd:string"&gt;Network Infrastructure Software&lt;/D&gt;&lt;D xsi:type="xsd:string"&gt;@NA&lt;/D&gt;&lt;D xsi:type="xsd:string"&gt;@NA&lt;/D&gt;&lt;D xsi:type="xsd:string"&gt;@NA&lt;/D&gt;&lt;D xsi:type="xsd:string"&gt;@NA&lt;/D&gt;&lt;/FQL&gt;&lt;FQL&gt;&lt;Q&gt;VRNS-US^STRING_ARRAY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xsi:type="xsd:string"&gt;@NA&lt;/D&gt;&lt;/FQL&gt;&lt;FQL&gt;&lt;Q&gt;VRNS-US^STRING_ARRAY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xsi:type="xsd:string"&gt;Network Infrastructure Software&lt;/D&gt;&lt;D xsi:type="xsd:string"&gt;@NA&lt;/D&gt;&lt;D xsi:type="xsd:string"&gt;@NA&lt;/D&gt;&lt;D xsi:type="xsd:string"&gt;@NA&lt;/D&gt;&lt;D xsi:type="xsd:string"&gt;@NA&lt;/D&gt;&lt;/FQL&gt;&lt;FQL&gt;&lt;Q&gt;SAP-DE^STRING_ARRAY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xsi:type="xsd:string"&gt;@NA&lt;/D&gt;&lt;/FQL&gt;&lt;FQL&gt;&lt;Q&gt;SAP-DE^STRING_ARRAY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xsi:type="xsd:string"&gt;General Enterprise Management Software&lt;/D&gt;&lt;D xsi:type="xsd:string"&gt;@NA&lt;/D&gt;&lt;D xsi:type="xsd:string"&gt;@NA&lt;/D&gt;&lt;D xsi:type="xsd:string"&gt;@NA&lt;/D&gt;&lt;D xsi:type="xsd:string"&gt;@NA&lt;/D&gt;&lt;/FQL&gt;&lt;FQL&gt;&lt;Q&gt;DSY-FR^STRING_ARRAY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xsi:type="xsd:string"&gt;@NA&lt;/D&gt;&lt;/FQL&gt;&lt;FQL&gt;&lt;Q&gt;DSY-FR^STRING_ARRAY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xsi:type="xsd:string"&gt;Computer Aided Design Software&lt;/D&gt;&lt;D xsi:type="xsd:string"&gt;@NA&lt;/D&gt;&lt;D xsi:type="xsd:string"&gt;@NA&lt;/D&gt;&lt;D xsi:type="xsd:string"&gt;@NA&lt;/D&gt;&lt;D xsi:type="xsd:string"&gt;@NA&lt;/D&gt;&lt;/FQL&gt;&lt;FQL&gt;&lt;Q&gt;PTC-US^STRING_ARRAY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xsi:type="xsd:string"&gt;63.569417&lt;/D&gt;&lt;D xsi:type="xsd:string"&gt;36.430583&lt;/D&gt;&lt;D xsi:type="xsd:string"&gt;@NA&lt;/D&gt;&lt;D xsi:type="xsd:string"&gt;@NA&lt;/D&gt;&lt;D xsi:type="xsd:string"&gt;@NA&lt;/D&gt;&lt;/FQL&gt;&lt;FQL&gt;&lt;Q&gt;PTC-US^STRING_ARRAY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xsi:type="xsd:string"&gt;Manufacturing Industry Software&lt;/D&gt;&lt;D xsi:type="xsd:string"&gt;Computer Aided Design Software&lt;/D&gt;&lt;D xsi:type="xsd:string"&gt;@NA&lt;/D&gt;&lt;D xsi:type="xsd:string"&gt;@NA&lt;/D&gt;&lt;D xsi:type="xsd:string"&gt;@NA&lt;/D&gt;&lt;/FQL&gt;&lt;FQL&gt;&lt;Q&gt;S-US^STRING_ARRAY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xsi:type="xsd:string"&gt;@NA&lt;/D&gt;&lt;/FQL&gt;&lt;FQL&gt;&lt;Q&gt;S-US^STRING_ARRAY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xsi:type="xsd:string"&gt;Network Infrastructure Software&lt;/D&gt;&lt;D xsi:type="xsd:string"&gt;@NA&lt;/D&gt;&lt;D xsi:type="xsd:string"&gt;@NA&lt;/D&gt;&lt;D xsi:type="xsd:string"&gt;@NA&lt;/D&gt;&lt;D xsi:type="xsd:string"&gt;@NA&lt;/D&gt;&lt;/FQL&gt;&lt;FQL&gt;&lt;Q&gt;IOT-US^STRING_ARRAY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xsi:type="xsd:string"&gt;98.125039&lt;/D&gt;&lt;D xsi:type="xsd:string"&gt;1.874961&lt;/D&gt;&lt;D xsi:type="xsd:string"&gt;@NA&lt;/D&gt;&lt;D xsi:type="xsd:string"&gt;@NA&lt;/D&gt;&lt;D xsi:type="xsd:string"&gt;@NA&lt;/D&gt;&lt;/FQL&gt;&lt;FQL&gt;&lt;Q&gt;IOT-US^STRING_ARRAY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xsi:type="xsd:string"&gt;Asset Management Software&lt;/D&gt;&lt;D xsi:type="xsd:string"&gt;Automotive and Marine Electronics Manufacturing&lt;/D&gt;&lt;D xsi:type="xsd:string"&gt;@NA&lt;/D&gt;&lt;D xsi:type="xsd:string"&gt;@NA&lt;/D&gt;&lt;D xsi:type="xsd:string"&gt;@NA&lt;/D&gt;&lt;/FQL&gt;&lt;FQL&gt;&lt;Q&gt;CDNS-US^STRING_ARRAY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xsi:type="xsd:string"&gt;84.000000&lt;/D&gt;&lt;D xsi:type="xsd:string"&gt;16.000000&lt;/D&gt;&lt;D xsi:type="xsd:string"&gt;@NA&lt;/D&gt;&lt;D xsi:type="xsd:string"&gt;@NA&lt;/D&gt;&lt;D xsi:type="xsd:string"&gt;@NA&lt;/D&gt;&lt;/FQL&gt;&lt;FQL&gt;&lt;Q&gt;CDNS-US^STRING_ARRAY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xsi:type="xsd:string"&gt;Electronic Design Automation Software&lt;/D&gt;&lt;D xsi:type="xsd:string"&gt;Other Design and Engineering Software&lt;/D&gt;&lt;D xsi:type="xsd:string"&gt;@NA&lt;/D&gt;&lt;D xsi:type="xsd:string"&gt;@NA&lt;/D&gt;&lt;D xsi:type="xsd:string"&gt;@NA&lt;/D&gt;&lt;/FQL&gt;&lt;FQL&gt;&lt;Q&gt;PCTY-US^STRING_ARRAY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xsi:type="xsd:string"&gt;92.263141&lt;/D&gt;&lt;D xsi:type="xsd:string"&gt;7.736859&lt;/D&gt;&lt;D xsi:type="xsd:string"&gt;@NA&lt;/D&gt;&lt;D xsi:type="xsd:string"&gt;@NA&lt;/D&gt;&lt;D xsi:type="xsd:string"&gt;@NA&lt;/D&gt;&lt;/FQL&gt;&lt;FQL&gt;&lt;Q&gt;PCTY-US^STRING_ARRAY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xsi:type="xsd:string"&gt;Enterprise Resource Planning Software&lt;/D&gt;&lt;D xsi:type="xsd:string"&gt;Proprietary Trading&lt;/D&gt;&lt;D xsi:type="xsd:string"&gt;@NA&lt;/D&gt;&lt;D xsi:type="xsd:string"&gt;@NA&lt;/D&gt;&lt;D xsi:type="xsd:string"&gt;@NA&lt;/D&gt;&lt;/FQL&gt;&lt;FQL&gt;&lt;Q&gt;PEGA-US^STRING_ARRAY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xsi:type="xsd:string"&gt;@NA&lt;/D&gt;&lt;/FQL&gt;&lt;FQL&gt;&lt;Q&gt;PEGA-US^STRING_ARRAY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xsi:type="xsd:string"&gt;Customer Relationship Management Software&lt;/D&gt;&lt;D xsi:type="xsd:string"&gt;@NA&lt;/D&gt;&lt;D xsi:type="xsd:string"&gt;@NA&lt;/D&gt;&lt;D xsi:type="xsd:string"&gt;@NA&lt;/D&gt;&lt;D xsi:type="xsd:string"&gt;@NA&lt;/D&gt;&lt;/FQL&gt;&lt;FQL&gt;&lt;Q&gt;VEEV-US^STRING_ARRAY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xsi:type="xsd:string"&gt;@NA&lt;/D&gt;&lt;/FQL&gt;&lt;FQL&gt;&lt;Q&gt;VEEV-US^STRING_ARRAY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xsi:type="xsd:string"&gt;Healthcare and Pharma Industry Software&lt;/D&gt;&lt;D xsi:type="xsd:string"&gt;@NA&lt;/D&gt;&lt;D xsi:type="xsd:string"&gt;@NA&lt;/D&gt;&lt;D xsi:type="xsd:string"&gt;@NA&lt;/D&gt;&lt;D xsi:type="xsd:string"&gt;@NA&lt;/D&gt;&lt;/FQL&gt;&lt;FQL&gt;&lt;Q&gt;ZS-US^STRING_ARRAY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xsi:type="xsd:string"&gt;@NA&lt;/D&gt;&lt;/FQL&gt;&lt;FQL&gt;&lt;Q&gt;ZS-US^STRING_ARRAY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xsi:type="xsd:string"&gt;Network Infrastructure Software&lt;/D&gt;&lt;D xsi:type="xsd:string"&gt;@NA&lt;/D&gt;&lt;D xsi:type="xsd:string"&gt;@NA&lt;/D&gt;&lt;D xsi:type="xsd:string"&gt;@NA&lt;/D&gt;&lt;D xsi:type="xsd:string"&gt;@NA&lt;/D&gt;&lt;/FQL&gt;&lt;FQL&gt;&lt;Q&gt;INTA-US^STRING_ARRAY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xsi:type="xsd:string"&gt;@NA&lt;/D&gt;&lt;/FQL&gt;&lt;FQL&gt;&lt;Q&gt;INTA-US^STRING_ARRAY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xsi:type="xsd:string"&gt;Finance Industry Software&lt;/D&gt;&lt;D xsi:type="xsd:string"&gt;@NA&lt;/D&gt;&lt;D xsi:type="xsd:string"&gt;@NA&lt;/D&gt;&lt;D xsi:type="xsd:string"&gt;@NA&lt;/D&gt;&lt;D xsi:type="xsd:string"&gt;@NA&lt;/D&gt;&lt;/FQL&gt;&lt;FQL&gt;&lt;Q&gt;PCOR-US^STRING_ARRAY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xsi:type="xsd:string"&gt;@NA&lt;/D&gt;&lt;/FQL&gt;&lt;FQL&gt;&lt;Q&gt;PCOR-US^STRING_ARRAY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xsi:type="xsd:string"&gt;Other Real Estate Investment and Services&lt;/D&gt;&lt;D xsi:type="xsd:string"&gt;@NA&lt;/D&gt;&lt;D xsi:type="xsd:string"&gt;@NA&lt;/D&gt;&lt;D xsi:type="xsd:string"&gt;@NA&lt;/D&gt;&lt;D xsi:type="xsd:string"&gt;@NA&lt;/D&gt;&lt;/FQL&gt;&lt;FQL&gt;&lt;Q&gt;BL-US^STRING_ARRAY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xsi:type="xsd:string"&gt;@NA&lt;/D&gt;&lt;/FQL&gt;&lt;FQL&gt;&lt;Q&gt;BL-US^STRING_ARRAY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xsi:type="xsd:string"&gt;Enterprise Resource Planning Software&lt;/D&gt;&lt;D xsi:type="xsd:string"&gt;@NA&lt;/D&gt;&lt;D xsi:type="xsd:string"&gt;@NA&lt;/D&gt;&lt;D xsi:type="xsd:string"&gt;@NA&lt;/D&gt;&lt;D xsi:type="xsd:string"&gt;@NA&lt;/D&gt;&lt;/FQL&gt;&lt;FQL&gt;&lt;Q&gt;CRM-US^STRING_ARRAY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xsi:type="xsd:string"&gt;80.876105&lt;/D&gt;&lt;D xsi:type="xsd:string"&gt;19.123895&lt;/D&gt;&lt;D xsi:type="xsd:string"&gt;@NA&lt;/D&gt;&lt;D xsi:type="xsd:string"&gt;@NA&lt;/D&gt;&lt;D xsi:type="xsd:string"&gt;@NA&lt;/D&gt;&lt;/FQL&gt;&lt;FQL&gt;&lt;Q&gt;CRM-US^STRING_ARRAY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xsi:type="xsd:string"&gt;Customer Relationship Management Software&lt;/D&gt;&lt;D xsi:type="xsd:string"&gt;Specialized Design and Engineering Software&lt;/D&gt;&lt;D xsi:type="xsd:string"&gt;@NA&lt;/D&gt;&lt;D xsi:type="xsd:string"&gt;@NA&lt;/D&gt;&lt;D xsi:type="xsd:string"&gt;@NA&lt;/D&gt;&lt;/FQL&gt;&lt;FQL&gt;&lt;Q&gt;PAYC-US^STRING_ARRAY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xsi:type="xsd:string"&gt;@NA&lt;/D&gt;&lt;/FQL&gt;&lt;FQL&gt;&lt;Q&gt;PAYC-US^STRING_ARRAY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xsi:type="xsd:string"&gt;Enterprise Resource Planning Software&lt;/D&gt;&lt;D xsi:type="xsd:string"&gt;@NA&lt;/D&gt;&lt;D xsi:type="xsd:string"&gt;@NA&lt;/D&gt;&lt;D xsi:type="xsd:string"&gt;@NA&lt;/D&gt;&lt;D xsi:type="xsd:string"&gt;@NA&lt;/D&gt;&lt;/FQL&gt;&lt;FQL&gt;&lt;Q&gt;FTNT-US^STRING_ARRAY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xsi:type="xsd:string"&gt;67.952248&lt;/D&gt;&lt;D xsi:type="xsd:string"&gt;32.047752&lt;/D&gt;&lt;D xsi:type="xsd:string"&gt;@NA&lt;/D&gt;&lt;D xsi:type="xsd:string"&gt;@NA&lt;/D&gt;&lt;D xsi:type="xsd:string"&gt;@NA&lt;/D&gt;&lt;/FQL&gt;&lt;FQL&gt;&lt;Q&gt;FTNT-US^STRING_ARRAY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xsi:type="xsd:string"&gt;Network Infrastructure Software&lt;/D&gt;&lt;D xsi:type="xsd:string"&gt;Customer Premises Network Security Equipment&lt;/D&gt;&lt;D xsi:type="xsd:string"&gt;@NA&lt;/D&gt;&lt;D xsi:type="xsd:string"&gt;@NA&lt;/D&gt;&lt;D xsi:type="xsd:string"&gt;@NA&lt;/D&gt;&lt;/FQL&gt;&lt;FQL&gt;&lt;Q&gt;ESTC-US^STRING_ARRAY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xsi:type="xsd:string"&gt;@NA&lt;/D&gt;&lt;/FQL&gt;&lt;FQL&gt;&lt;Q&gt;ESTC-US^STRING_ARRAY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xsi:type="xsd:string"&gt;Business Intelligence Software&lt;/D&gt;&lt;D xsi:type="xsd:string"&gt;@NA&lt;/D&gt;&lt;D xsi:type="xsd:string"&gt;@NA&lt;/D&gt;&lt;D xsi:type="xsd:string"&gt;@NA&lt;/D&gt;&lt;D xsi:type="xsd:string"&gt;@NA&lt;/D&gt;&lt;/FQL&gt;&lt;FQL&gt;&lt;Q&gt;ADSK-US^STRING_ARRAY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xsi:type="xsd:string"&gt;92.937531&lt;/D&gt;&lt;D xsi:type="xsd:string"&gt;5.137824&lt;/D&gt;&lt;D xsi:type="xsd:string"&gt;1.924645&lt;/D&gt;&lt;D xsi:type="xsd:string"&gt;@NA&lt;/D&gt;&lt;D xsi:type="xsd:string"&gt;@NA&lt;/D&gt;&lt;/FQL&gt;&lt;FQL&gt;&lt;Q&gt;ADSK-US^STRING_ARRAY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xsi:type="xsd:string"&gt;Computer Aided Design Software&lt;/D&gt;&lt;D xsi:type="xsd:string"&gt;Specialized Design and Engineering Software&lt;/D&gt;&lt;D xsi:type="xsd:string"&gt;Other Design and Engineering Software&lt;/D&gt;&lt;D xsi:type="xsd:string"&gt;@NA&lt;/D&gt;&lt;D xsi:type="xsd:string"&gt;@NA&lt;/D&gt;&lt;/FQL&gt;&lt;FQL&gt;&lt;Q&gt;AVPT-US^STRING_ARRAY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xsi:type="xsd:string"&gt;86.675220&lt;/D&gt;&lt;D xsi:type="xsd:string"&gt;13.324780&lt;/D&gt;&lt;D xsi:type="xsd:string"&gt;@NA&lt;/D&gt;&lt;D xsi:type="xsd:string"&gt;@NA&lt;/D&gt;&lt;D xsi:type="xsd:string"&gt;@NA&lt;/D&gt;&lt;/FQL&gt;&lt;FQL&gt;&lt;Q&gt;AVPT-US^STRING_ARRAY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xsi:type="xsd:string"&gt;Data Storage Infrastructure Software&lt;/D&gt;&lt;D xsi:type="xsd:string"&gt;Software Design and Engineering Consulting&lt;/D&gt;&lt;D xsi:type="xsd:string"&gt;@NA&lt;/D&gt;&lt;D xsi:type="xsd:string"&gt;@NA&lt;/D&gt;&lt;D xsi:type="xsd:string"&gt;@NA&lt;/D&gt;&lt;/FQL&gt;&lt;FQL&gt;&lt;Q&gt;INTU-US^STRING_ARRAY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xsi:type="xsd:string"&gt;58.823217&lt;/D&gt;&lt;D xsi:type="xsd:string"&gt;37.879029&lt;/D&gt;&lt;D xsi:type="xsd:string"&gt;3.297754&lt;/D&gt;&lt;D xsi:type="xsd:string"&gt;@NA&lt;/D&gt;&lt;D xsi:type="xsd:string"&gt;@NA&lt;/D&gt;&lt;/FQL&gt;&lt;FQL&gt;&lt;Q&gt;INTU-US^STRING_ARRAY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xsi:type="xsd:string"&gt;Enterprise Resource Planning Software&lt;/D&gt;&lt;D xsi:type="xsd:string"&gt;Productivity Software&lt;/D&gt;&lt;D xsi:type="xsd:string"&gt;Accounting, Tax Preparers and Bookkeeping Services&lt;/D&gt;&lt;D xsi:type="xsd:string"&gt;@NA&lt;/D&gt;&lt;D xsi:type="xsd:string"&gt;@NA&lt;/D&gt;&lt;/FQL&gt;&lt;FQL&gt;&lt;Q&gt;PATH-US^STRING_ARRAY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xsi:type="xsd:string"&gt;@NA&lt;/D&gt;&lt;/FQL&gt;&lt;FQL&gt;&lt;Q&gt;PATH-US^STRING_ARRAY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xsi:type="xsd:string"&gt;Enterprise Resource Planning Software&lt;/D&gt;&lt;D xsi:type="xsd:string"&gt;@NA&lt;/D&gt;&lt;D xsi:type="xsd:string"&gt;@NA&lt;/D&gt;&lt;D xsi:type="xsd:string"&gt;@NA&lt;/D&gt;&lt;D xsi:type="xsd:string"&gt;@NA&lt;/D&gt;&lt;/FQL&gt;&lt;FQL&gt;&lt;Q&gt;WDAY-US^STRING_ARRAY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xsi:type="xsd:string"&gt;@NA&lt;/D&gt;&lt;/FQL&gt;&lt;FQL&gt;&lt;Q&gt;WDAY-US^STRING_ARRAY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xsi:type="xsd:string"&gt;Enterprise Resource Planning Software&lt;/D&gt;&lt;D xsi:type="xsd:string"&gt;@NA&lt;/D&gt;&lt;D xsi:type="xsd:string"&gt;@NA&lt;/D&gt;&lt;D xsi:type="xsd:string"&gt;@NA&lt;/D&gt;&lt;D xsi:type="xsd:string"&gt;@NA&lt;/D&gt;&lt;/FQL&gt;&lt;FQL&gt;&lt;Q&gt;CVLT-US^STRING_ARRAY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xsi:type="xsd:string"&gt;@NA&lt;/D&gt;&lt;/FQL&gt;&lt;FQL&gt;&lt;Q&gt;CVLT-US^STRING_ARRAY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xsi:type="xsd:string"&gt;Data Storage Infrastructure Softw</t>
        </r>
      </text>
    </comment>
    <comment ref="A14" authorId="0" shapeId="0" xr:uid="{E937F28A-0F9C-4C60-8061-2CD6FD3A847D}">
      <text>
        <r>
          <rPr>
            <b/>
            <sz val="9"/>
            <color indexed="81"/>
            <rFont val="Tahoma"/>
            <charset val="1"/>
          </rPr>
          <t>are&lt;/D&gt;&lt;D xsi:type="xsd:string"&gt;@NA&lt;/D&gt;&lt;D xsi:type="xsd:string"&gt;@NA&lt;/D&gt;&lt;D xsi:type="xsd:string"&gt;@NA&lt;/D&gt;&lt;D xsi:type="xsd:string"&gt;@NA&lt;/D&gt;&lt;/FQL&gt;&lt;FQL&gt;&lt;Q&gt;DOCU-US^STRING_ARRAY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xsi:type="xsd:string"&gt;@NA&lt;/D&gt;&lt;/FQL&gt;&lt;FQL&gt;&lt;Q&gt;DOCU-US^STRING_ARRAY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xsi:type="xsd:string"&gt;Content Management Software&lt;/D&gt;&lt;D xsi:type="xsd:string"&gt;@NA&lt;/D&gt;&lt;D xsi:type="xsd:string"&gt;@NA&lt;/D&gt;&lt;D xsi:type="xsd:string"&gt;@NA&lt;/D&gt;&lt;D xsi:type="xsd:string"&gt;@NA&lt;/D&gt;&lt;/FQL&gt;&lt;FQL&gt;&lt;Q&gt;FICO-US^STRING_ARRAY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xsi:type="xsd:string"&gt;58.696729&lt;/D&gt;&lt;D xsi:type="xsd:string"&gt;41.303271&lt;/D&gt;&lt;D xsi:type="xsd:string"&gt;@NA&lt;/D&gt;&lt;D xsi:type="xsd:string"&gt;@NA&lt;/D&gt;&lt;D xsi:type="xsd:string"&gt;@NA&lt;/D&gt;&lt;/FQL&gt;&lt;FQL&gt;&lt;Q&gt;FICO-US^STRING_ARRAY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xsi:type="xsd:string"&gt;Other Business Administrative Services&lt;/D&gt;&lt;D xsi:type="xsd:string"&gt;General and Mixed-Type Software&lt;/D&gt;&lt;D xsi:type="xsd:string"&gt;@NA&lt;/D&gt;&lt;D xsi:type="xsd:string"&gt;@NA&lt;/D&gt;&lt;D xsi:type="xsd:string"&gt;@NA&lt;/D&gt;&lt;/FQL&gt;&lt;FQL&gt;&lt;Q&gt;TENB-US^STRING_ARRAY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xsi:type="xsd:string"&gt;@NA&lt;/D&gt;&lt;/FQL&gt;&lt;FQL&gt;&lt;Q&gt;TENB-US^STRING_ARRAY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xsi:type="xsd:string"&gt;Network Infrastructure Software&lt;/D&gt;&lt;D xsi:type="xsd:string"&gt;@NA&lt;/D&gt;&lt;D xsi:type="xsd:string"&gt;@NA&lt;/D&gt;&lt;D xsi:type="xsd:string"&gt;@NA&lt;/D&gt;&lt;D xsi:type="xsd:string"&gt;@NA&lt;/D&gt;&lt;/FQL&gt;&lt;FQL&gt;&lt;Q&gt;NOW-US^STRING_ARRAY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xsi:type="xsd:string"&gt;@NA&lt;/D&gt;&lt;/FQL&gt;&lt;FQL&gt;&lt;Q&gt;NOW-US^STRING_ARRAY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xsi:type="xsd:string"&gt;General Enterprise Management Software&lt;/D&gt;&lt;D xsi:type="xsd:string"&gt;@NA&lt;/D&gt;&lt;D xsi:type="xsd:string"&gt;@NA&lt;/D&gt;&lt;D xsi:type="xsd:string"&gt;@NA&lt;/D&gt;&lt;D xsi:type="xsd:string"&gt;@NA&lt;/D&gt;&lt;/FQL&gt;&lt;FQL&gt;&lt;Q&gt;DT-US^STRING_ARRAY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xsi:type="xsd:string"&gt;@NA&lt;/D&gt;&lt;/FQL&gt;&lt;FQL&gt;&lt;Q&gt;DT-US^STRING_ARRAY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xsi:type="xsd:string"&gt;Network Infrastructure Software&lt;/D&gt;&lt;D xsi:type="xsd:string"&gt;@NA&lt;/D&gt;&lt;D xsi:type="xsd:string"&gt;@NA&lt;/D&gt;&lt;D xsi:type="xsd:string"&gt;@NA&lt;/D&gt;&lt;D xsi:type="xsd:string"&gt;@NA&lt;/D&gt;&lt;/FQL&gt;&lt;FQL&gt;&lt;Q&gt;PLTR-US^STRING_ARRAY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xsi:type="xsd:string"&gt;54.775822&lt;/D&gt;&lt;D xsi:type="xsd:string"&gt;45.224178&lt;/D&gt;&lt;D xsi:type="xsd:string"&gt;@NA&lt;/D&gt;&lt;D xsi:type="xsd:string"&gt;@NA&lt;/D&gt;&lt;D xsi:type="xsd:string"&gt;@NA&lt;/D&gt;&lt;/FQL&gt;&lt;FQL&gt;&lt;Q&gt;PLTR-US^STRING_ARRAY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xsi:type="xsd:string"&gt;Government and Not-For-Profit Industry Software&lt;/D&gt;&lt;D xsi:type="xsd:string"&gt;Business Intelligence Software&lt;/D&gt;&lt;D xsi:type="xsd:string"&gt;@NA&lt;/D&gt;&lt;D xsi:type="xsd:string"&gt;@NA&lt;/D&gt;&lt;D xsi:type="xsd:string"&gt;@NA&lt;/D&gt;&lt;/FQL&gt;&lt;FQL&gt;&lt;Q&gt;WK-US^STRING_ARRAY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xsi:type="xsd:string"&gt;@NA&lt;/D&gt;&lt;/FQL&gt;&lt;FQL&gt;&lt;Q&gt;WK-US^STRING_ARRAY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xsi:type="xsd:string"&gt;Enterprise Resource Planning Software&lt;/D&gt;&lt;D xsi:type="xsd:string"&gt;@NA&lt;/D&gt;&lt;D xsi:type="xsd:string"&gt;@NA&lt;/D&gt;&lt;D xsi:type="xsd:string"&gt;@NA&lt;/D&gt;&lt;D xsi:type="xsd:string"&gt;@NA&lt;/D&gt;&lt;/FQL&gt;&lt;FQL&gt;&lt;Q&gt;QLYS-US^STRING_ARRAY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xsi:type="xsd:string"&gt;@NA&lt;/D&gt;&lt;/FQL&gt;&lt;FQL&gt;&lt;Q&gt;QLYS-US^STRING_ARRAY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xsi:type="xsd:string"&gt;Network Infrastructure Software&lt;/D&gt;&lt;D xsi:type="xsd:string"&gt;@NA&lt;/D&gt;&lt;D xsi:type="xsd:string"&gt;@NA&lt;/D&gt;&lt;D xsi:type="xsd:string"&gt;@NA&lt;/D&gt;&lt;D xsi:type="xsd:string"&gt;@NA&lt;/D&gt;&lt;/FQL&gt;&lt;FQL&gt;&lt;Q&gt;APP-US^STRING_ARRAY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xsi:type="xsd:string"&gt;68.462268&lt;/D&gt;&lt;D xsi:type="xsd:string"&gt;31.537732&lt;/D&gt;&lt;D xsi:type="xsd:string"&gt;@NA&lt;/D&gt;&lt;D xsi:type="xsd:string"&gt;@NA&lt;/D&gt;&lt;D xsi:type="xsd:string"&gt;@NA&lt;/D&gt;&lt;/FQL&gt;&lt;FQL&gt;&lt;Q&gt;APP-US^STRING_ARRAY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xsi:type="xsd:string"&gt;Customer Relationship Management Software&lt;/D&gt;&lt;D xsi:type="xsd:string"&gt;Handheld/Smart Phone Games Software&lt;/D&gt;&lt;D xsi:type="xsd:string"&gt;@NA&lt;/D&gt;&lt;D xsi:type="xsd:string"&gt;@NA&lt;/D&gt;&lt;D xsi:type="xsd:string"&gt;@NA&lt;/D&gt;&lt;/FQL&gt;&lt;FQL&gt;&lt;Q&gt;NTNX-US^STRING_ARRAY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xsi:type="xsd:string"&gt;@NA&lt;/D&gt;&lt;/FQL&gt;&lt;FQL&gt;&lt;Q&gt;NTNX-US^STRING_ARRAY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xsi:type="xsd:string"&gt;Data Storage Infrastructure Software&lt;/D&gt;&lt;D xsi:type="xsd:string"&gt;@NA&lt;/D&gt;&lt;D xsi:type="xsd:string"&gt;@NA&lt;/D&gt;&lt;D xsi:type="xsd:string"&gt;@NA&lt;/D&gt;&lt;D xsi:type="xsd:string"&gt;@NA&lt;/D&gt;&lt;/FQL&gt;&lt;FQL&gt;&lt;Q&gt;HUBS-US^STRING_ARRAY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xsi:type="xsd:string"&gt;100.000000&lt;/D&gt;&lt;D xsi:type="xsd:string"&gt;@NA&lt;/D&gt;&lt;D xsi:type="xsd:string"&gt;@NA&lt;/D&gt;&lt;D xsi:type="xsd:string"&gt;@NA&lt;/D&gt;&lt;D xsi:type="xsd:string"&gt;@NA&lt;/D&gt;&lt;/FQL&gt;&lt;FQL&gt;&lt;Q&gt;HUBS-US^STRING_ARRAY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xsi:type="xsd:string"&gt;Customer Relationship Management Software&lt;/D&gt;&lt;D xsi:type="xsd:string"&gt;@NA&lt;/D&gt;&lt;D xsi:type="xsd:string"&gt;@NA&lt;/D&gt;&lt;D xsi:type="xsd:string"&gt;@NA&lt;/D&gt;&lt;D xsi:type="xsd:string"&gt;@NA&lt;/D&gt;&lt;/FQL&gt;&lt;FQL&gt;&lt;Q&gt;^STRING_ARRAY NAME= TRANSPOSE(TRANSPOSE(SA_SUBARRAY(FR_RBICS_REV_MATRIX_CURRENT("IND"),1,9))[14:14]);FLOAT_ARRAY PCT=TRANSPOSE(TRANSPOSE(SA_SUBARRAY(FR_RBICS_REV_MATRIX_CURRENT("IND"),1,9))[14:14]);SORT_INDIRECT(NAME,PCT,2)[0:4]&lt;/Q&gt;&lt;R&gt;5&lt;/R&gt;&lt;C&gt;1&lt;/C&gt;&lt;D xsi:type="xsd:string"&gt;@NA&lt;/D&gt;&lt;D xsi:type="xsd:string"&gt;@NA&lt;/D&gt;&lt;D xsi:type="xsd:string"&gt;@NA&lt;/D&gt;&lt;D xsi:type="xsd:string"&gt;@NA&lt;/D&gt;&lt;D xsi:type="xsd:string"&gt;@NA&lt;/D&gt;&lt;/FQL&gt;&lt;FQL&gt;&lt;Q&gt;^STRING_ARRAY NAME= TRANSPOSE(TRANSPOSE(SA_SUBARRAY(FR_RBICS_REV_MATRIX_CURRENT("IND"),1,9))[13:13]);FLOAT_ARRAY PCT=TRANSPOSE(TRANSPOSE(SA_SUBARRAY(FR_RBICS_REV_MATRIX_CURRENT("IND"),1,9))[14:14]);SORT_INDIRECT(NAME,PCT,2)[0:4]&lt;/Q&gt;&lt;R&gt;5&lt;/R&gt;&lt;C&gt;1&lt;/C&gt;&lt;D xsi:type="xsd:string"&gt;@NA&lt;/D&gt;&lt;D xsi:type="xsd:string"&gt;@NA&lt;/D&gt;&lt;D xsi:type="xsd:string"&gt;@NA&lt;/D&gt;&lt;D xsi:type="xsd:string"&gt;@NA&lt;/D&gt;&lt;D xsi:type="xsd:string"&gt;@NA&lt;/D&gt;&lt;/FQL&gt;&lt;FQL&gt;&lt;Q&gt;402340-KR^TRANSPOSE(TRANSPOSE(FF_GEOREV_COUNTRY_REV_PCT_MATRIX)[2:2])[0:4]&lt;/Q&gt;&lt;R&gt;5&lt;/R&gt;&lt;C&gt;1&lt;/C&gt;&lt;D xsi:type="xsd:string"&gt;93.445228&lt;/D&gt;&lt;D xsi:type="xsd:string"&gt;1.747196&lt;/D&gt;&lt;D xsi:type="xsd:string"&gt;1.12505&lt;/D&gt;&lt;D xsi:type="xsd:string"&gt;0.278709&lt;/D&gt;&lt;D xsi:type="xsd:string"&gt;0.249531&lt;/D&gt;&lt;/FQL&gt;&lt;FQL&gt;&lt;Q&gt;402340-KR^TRANSPOSE(TRANSPOSE(FF_GEOREV_COUNTRY_REV_PCT_MATRIX)[1:1])[0:4]&lt;/Q&gt;&lt;R&gt;5&lt;/R&gt;&lt;C&gt;1&lt;/C&gt;&lt;D xsi:type="xsd:string"&gt;Republic of Korea (South Korea)&lt;/D&gt;&lt;D xsi:type="xsd:string"&gt;United States&lt;/D&gt;&lt;D xsi:type="xsd:string"&gt;Mainland China&lt;/D&gt;&lt;D xsi:type="xsd:string"&gt;Germany&lt;/D&gt;&lt;D xsi:type="xsd:string"&gt;Japan&lt;/D&gt;&lt;/FQL&gt;&lt;FQL&gt;&lt;Q&gt;600536-CN^TRANSPOSE(TRANSPOSE(FF_GEOREV_COUNTRY_REV_PCT_MATRIX)[2:2])[0:4]&lt;/Q&gt;&lt;R&gt;5&lt;/R&gt;&lt;C&gt;1&lt;/C&gt;&lt;D xsi:type="xsd:string"&gt;96.525745&lt;/D&gt;&lt;D xsi:type="xsd:string"&gt;2.118656&lt;/D&gt;&lt;D xsi:type="xsd:string"&gt;0.339638&lt;/D&gt;&lt;D xsi:type="xsd:string"&gt;0.284781&lt;/D&gt;&lt;D xsi:type="xsd:string"&gt;0.085594&lt;/D&gt;&lt;/FQL&gt;&lt;FQL&gt;&lt;Q&gt;600536-CN^TRANSPOSE(TRANSPOSE(FF_GEOREV_COUNTRY_REV_PCT_MATRIX)[1:1])[0:4]&lt;/Q&gt;&lt;R&gt;5&lt;/R&gt;&lt;C&gt;1&lt;/C&gt;&lt;D xsi:type="xsd:string"&gt;Mainland China&lt;/D&gt;&lt;D xsi:type="xsd:string"&gt;Hong Kong&lt;/D&gt;&lt;D xsi:type="xsd:string"&gt;United States&lt;/D&gt;&lt;D xsi:type="xsd:string"&gt;Macau&lt;/D&gt;&lt;D xsi:type="xsd:string"&gt;Europe Unallocated Revenue&lt;/D&gt;&lt;/FQL&gt;&lt;FQL&gt;&lt;Q&gt;600588-CN^TRANSPOSE(TRANSPOSE(FF_GEOREV_COUNTRY_REV_PCT_MATRIX)[2:2])[0:4]&lt;/Q&gt;&lt;R&gt;5&lt;/R&gt;&lt;C&gt;1&lt;/C&gt;&lt;D xsi:type="xsd:string"&gt;95.193&lt;/D&gt;&lt;D xsi:type="xsd:string"&gt;2.089403&lt;/D&gt;&lt;D xsi:type="xsd:string"&gt;0.772877&lt;/D&gt;&lt;D xsi:type="xsd:string"&gt;0.280849&lt;/D&gt;&lt;D xsi:type="xsd:string"&gt;0.123288&lt;/D&gt;&lt;/FQL&gt;&lt;FQL&gt;&lt;Q&gt;600588-CN^TRANSPOSE(TRANSPOSE(FF_GEOREV_COUNTRY_REV_PCT_MATRIX)[1:1])[0:4]&lt;/Q&gt;&lt;R&gt;5&lt;/R&gt;&lt;C&gt;1&lt;/C&gt;&lt;D xsi:type="xsd:string"&gt;Mainland China&lt;/D&gt;&lt;D xsi:type="xsd:string"&gt;Hong Kong&lt;/D&gt;&lt;D xsi:type="xsd:string"&gt;United States&lt;/D&gt;&lt;D xsi:type="xsd:string"&gt;Macau&lt;/D&gt;&lt;D xsi:type="xsd:string"&gt;Germany&lt;/D&gt;&lt;/FQL&gt;&lt;FQL&gt;&lt;Q&gt;WTC-AU^TRANSPOSE(TRANSPOSE(FF_GEOREV_COUNTRY_REV_PCT_MATRIX)[2:2])[0:4]&lt;/Q&gt;&lt;R&gt;5&lt;/R&gt;&lt;C&gt;1&lt;/C&gt;&lt;D xsi:type="xsd:string"&gt;20.331636&lt;/D&gt;&lt;D xsi:type="xsd:string"&gt;5.253317&lt;/D&gt;&lt;D xsi:type="xsd:string"&gt;4.435773&lt;/D&gt;&lt;D xsi:type="xsd:string"&gt;4.435152&lt;/D&gt;&lt;D xsi:type="xsd:string"&gt;3.862244&lt;/D&gt;&lt;/FQL&gt;&lt;FQL&gt;&lt;Q&gt;WTC-AU^TRANSPOSE(TRANSPOSE(FF_GEOREV_COUNTRY_REV_PCT_MATRIX)[1:1])[0:4]&lt;/Q&gt;&lt;R&gt;5&lt;/R&gt;&lt;C&gt;1&lt;/C&gt;&lt;D xsi:type="xsd:string"&gt;United States&lt;/D&gt;&lt;D xsi:type="xsd:string"&gt;Mainland China&lt;/D&gt;&lt;D xsi:type="xsd:string"&gt;India&lt;/D&gt;&lt;D xsi:type="xsd:string"&gt;Japan&lt;/D&gt;&lt;D xsi:type="xsd:string"&gt;Canada&lt;/D&gt;&lt;/FQL&gt;&lt;FQL&gt;&lt;Q&gt;PSN-US^TRANSPOSE(TRANSPOSE(FF_GEOREV_COUNTRY_REV_PCT_MATRIX)[2:2])[0:4]&lt;/Q&gt;&lt;R&gt;5&lt;/R&gt;&lt;C&gt;1&lt;/C&gt;&lt;D xsi:type="xsd:string"&gt;73.850079&lt;/D&gt;&lt;D xsi:type="xsd:string"&gt;7.577207&lt;/D&gt;&lt;D xsi:type="xsd:string"&gt;3.521314&lt;/D&gt;&lt;D xsi:type="xsd:string"&gt;2.654936&lt;/D&gt;&lt;D xsi:type="xsd:string"&gt;1.4291&lt;/D&gt;&lt;/FQL&gt;&lt;FQL&gt;&lt;Q&gt;PSN-US^TRANSPOSE(TRANSPOSE(FF_GEOREV_COUNTRY_REV_PCT_MATRIX)[1:1])[0:4]&lt;/Q&gt;&lt;R&gt;5&lt;/R&gt;&lt;C&gt;1&lt;/C&gt;&lt;D xsi:type="xsd:string"&gt;United States&lt;/D&gt;&lt;D xsi:type="xsd:string"&gt;Canada&lt;/D&gt;&lt;D xsi:type="xsd:string"&gt;Turkey&lt;/D&gt;&lt;D xsi:type="xsd:string"&gt;Saudi Arabia&lt;/D&gt;&lt;D xsi:type="xsd:string"&gt;Israel&lt;/D&gt;&lt;/FQL&gt;&lt;FQL&gt;&lt;Q&gt;TNE-AU^TRANSPOSE(TRANSPOSE(FF_GEOREV_COUNTRY_REV_PCT_MATRIX)[2:2])[0:4]&lt;/Q&gt;&lt;R&gt;5&lt;/R&gt;&lt;C&gt;1&lt;/C&gt;&lt;D xsi:type="xsd:string"&gt;81.418943&lt;/D&gt;&lt;D xsi:type="xsd:string"&gt;8.384433&lt;/D&gt;&lt;D xsi:type="xsd:string"&gt;5.876825&lt;/D&gt;&lt;D xsi:type="xsd:string"&gt;1.279469&lt;/D&gt;&lt;D xsi:type="xsd:string"&gt;1.27929&lt;/D&gt;&lt;/FQL&gt;&lt;FQL&gt;&lt;Q&gt;TNE-AU^TRANSPOSE(TRANSPOSE(FF_GEOREV_COUNTRY_REV_PCT_MATRIX)[1:1])[0:4]&lt;/Q&gt;&lt;R&gt;5&lt;/R&gt;&lt;C&gt;1&lt;/C&gt;&lt;D xsi:type="xsd:string"&gt;Australia&lt;/D&gt;&lt;D xsi:type="xsd:string"&gt;United Kingdom&lt;/D&gt;&lt;D xsi:type="xsd:string"&gt;Mainland China&lt;/D&gt;&lt;D xsi:type="xsd:string"&gt;India&lt;/D&gt;&lt;D xsi:type="xsd:string"&gt;Japan&lt;/D&gt;&lt;/FQL&gt;&lt;FQL&gt;&lt;Q&gt;MANH-US^TRANSPOSE(TRANSPOSE(FF_GEOREV_COUNTRY_REV_PCT_MATRIX)[2:2])[0:4]&lt;/Q&gt;&lt;R&gt;5&lt;/R&gt;&lt;C&gt;1&lt;/C&gt;&lt;D xsi:type="xsd:string"&gt;65&lt;/D&gt;&lt;D xsi:type="xsd:string"&gt;8.612231&lt;/D&gt;&lt;D xsi:type="xsd:string"&gt;5.476363&lt;/D&gt;&lt;D xsi:type="xsd:string"&gt;4.431109&lt;/D&gt;&lt;D xsi:type="xsd:string"&gt;3.706413&lt;/D&gt;&lt;/FQL&gt;&lt;FQL&gt;&lt;Q&gt;MANH-US^TRANSPOSE(TRANSPOSE(FF_GEOREV_COUNTRY_REV_PCT_MATRIX)[1:1])[0:4]&lt;/Q&gt;&lt;R&gt;5&lt;/R&gt;&lt;C&gt;1&lt;/C&gt;&lt;D xsi:type="xsd:string"&gt;United States&lt;/D&gt;&lt;D xsi:type="xsd:string"&gt;Canada&lt;/D&gt;&lt;D xsi:type="xsd:string"&gt;Germany&lt;/D&gt;&lt;D xsi:type="xsd:string"&gt;United Kingdom&lt;/D&gt;&lt;D xsi:type="xsd:string"&gt;France&lt;/D&gt;&lt;/FQL&gt;&lt;FQL&gt;&lt;Q&gt;SGE-GB^TRANSPOSE(TRANSPOSE(FF_GEOREV_COUNTRY_REV_PCT_MATRIX)[2:2])[0:4]&lt;/Q&gt;&lt;R&gt;5&lt;/R&gt;&lt;C&gt;1&lt;/C&gt;&lt;D xsi:type="xsd:string"&gt;39.673696&lt;/D&gt;&lt;D xsi:type="xsd:string"&gt;21.59279&lt;/D&gt;&lt;D xsi:type="xsd:string"&gt;12.892957&lt;/D&gt;&lt;D xsi:type="xsd:string"&gt;5.610824&lt;/D&gt;&lt;D xsi:type="xsd:string"&gt;5.203027&lt;/D&gt;&lt;/FQL&gt;&lt;FQL&gt;&lt;Q&gt;SGE-GB^TRANSPOSE(TRANSPOSE(FF_GEOREV_COUNTRY_REV_PCT_MATRIX)[1:1])[0:4]&lt;/Q&gt;&lt;R&gt;5&lt;/R&gt;&lt;C&gt;1&lt;/C&gt;&lt;D xsi:type="xsd:string"&gt;United States&lt;/D&gt;&lt;D xsi:type="xsd:string"&gt;United Kingdom&lt;/D&gt;&lt;D xsi:type="xsd:string"&gt;France&lt;/D&gt;&lt;D xsi:type="xsd:string"&gt;Canada&lt;/D&gt;&lt;D xsi:type="xsd:string"&gt;Spain&lt;/D&gt;&lt;/FQL&gt;&lt;FQL&gt;&lt;Q&gt;HEXA.B-SE^TRANSPOSE(TRANSPOSE(FF_GEOREV_COUNTRY_REV_PCT_MATRIX)[2:2])[0:4]&lt;/Q&gt;&lt;R&gt;5&lt;/R&gt;&lt;C&gt;1&lt;/C&gt;&lt;D xsi:type="xsd:string"&gt;29.412527&lt;/D&gt;&lt;D xsi:type="xsd:string"&gt;12.612941&lt;/D&gt;&lt;D xsi:type="xsd:string"&gt;4.457413&lt;/D&gt;&lt;D xsi:type="xsd:string"&gt;3.772799&lt;/D&gt;&lt;D xsi:type="xsd:string"&gt;3.613606&lt;/D&gt;&lt;/FQL&gt;&lt;FQL&gt;&lt;Q&gt;HEXA.B-SE^TRANSPOSE(TRANSPOSE(FF_GEOREV_COUNTRY_REV_PCT_MATRIX)[1:1])[0:4]&lt;/Q&gt;&lt;R&gt;5&lt;/R&gt;&lt;C&gt;1&lt;/C&gt;&lt;D xsi:type="xsd:string"&gt;United States&lt;/D&gt;&lt;D xsi:type="xsd:string"&gt;Mainland China&lt;/D&gt;&lt;D xsi:type="xsd:string"&gt;Germany&lt;/D&gt;&lt;D xsi:type="xsd:string"&gt;Japan&lt;/D&gt;&lt;D xsi:type="xsd:string"&gt;India&lt;/D&gt;&lt;/FQL&gt;&lt;FQL&gt;&lt;Q&gt;XRO-AU^TRANSPOSE(TRANSPOSE(FF_GEOREV_COUNTRY_REV_PCT_MATRIX)[2:2])[0:4]&lt;/Q&gt;&lt;R&gt;5&lt;/R&gt;&lt;C&gt;1&lt;/C&gt;&lt;D xsi:type="xsd:string"&gt;45.4302&lt;/D&gt;&lt;D xsi:type="xsd:string"&gt;27.490854&lt;/D&gt;&lt;D xsi:type="xsd:string"&gt;10.54806&lt;/D&gt;&lt;D xsi:type="xsd:string"&gt;5.68646&lt;/D&gt;&lt;D xsi:type="xsd:string"&gt;3.999565&lt;/D&gt;&lt;/FQL&gt;&lt;FQL&gt;&lt;Q&gt;XRO-AU^TRANSPOSE(TRANSPOSE(FF_GEOREV_COUNTRY_REV_PCT_MATRIX)[1:1])[0:4]&lt;/Q&gt;&lt;R&gt;5&lt;/R&gt;&lt;C&gt;1&lt;/C&gt;&lt;D xsi:type="xsd:string"&gt;Australia&lt;/D&gt;&lt;D xsi:type="xsd:string"&gt;United Kingdom&lt;/D&gt;&lt;D xsi:type="xsd:string"&gt;New Zealand&lt;/D&gt;&lt;D xsi:type="xsd:string"&gt;United States&lt;/D&gt;&lt;D xsi:type="xsd:string"&gt;Singapore&lt;/D&gt;&lt;/FQL&gt;&lt;FQL&gt;&lt;Q&gt;TYL-US^TRANSPOSE(TRANSPOSE(FF_GEOREV_COUNTRY_REV_PCT_MATRIX)[2:2])[0:4]&lt;/Q&gt;&lt;R&gt;5&lt;/R&gt;&lt;C&gt;1&lt;/C&gt;&lt;D xsi:type="xsd:string"&gt;78.533999&lt;/D&gt;&lt;D xsi:type="xsd:string"&gt;9.883109&lt;/D&gt;&lt;D xsi:type="xsd:string"&gt;5.728642&lt;/D&gt;&lt;D xsi:type="xsd:string"&gt;4.560796&lt;/D&gt;&lt;D xsi:type="xsd:string"&gt;0.329065&lt;/D&gt;&lt;/FQL&gt;&lt;FQL&gt;&lt;Q&gt;TYL-US^TRANSPOSE(TRANSPOSE(FF_GEOREV_COUNTRY_REV_PCT_MATRIX)[1:1])[0:4]&lt;/Q&gt;&lt;R&gt;5&lt;/R&gt;&lt;C&gt;1&lt;/C&gt;&lt;D xsi:type="xsd:string"&gt;United States&lt;/D&gt;&lt;D xsi:type="xsd:string"&gt;United Kingdom&lt;/D&gt;&lt;D xsi:type="xsd:string"&gt;Canada&lt;/D&gt;&lt;D xsi:type="xsd:string"&gt;Australia&lt;/D&gt;&lt;D xsi:type="xsd:string"&gt;Dominican Republic&lt;/D&gt;&lt;/FQL&gt;&lt;FQL&gt;&lt;Q&gt;AGYS-US^TRANSPOSE(TRANSPOSE(FF_GEOREV_COUNTRY_REV_PCT_MATRIX)[2:2])[0:4]&lt;/Q&gt;&lt;R&gt;5&lt;/R&gt;&lt;C&gt;1&lt;/C&gt;&lt;D xsi:type="xsd:string"&gt;90&lt;/D&gt;&lt;D xsi:type="xsd:string"&gt;5.817246&lt;/D&gt;&lt;D xsi:type="xsd:string"&gt;1.235796&lt;/D&gt;&lt;D xsi:type="xsd:string"&gt;1.097135&lt;/D&gt;&lt;D xsi:type="xsd:string"&gt;0.703803&lt;/D&gt;&lt;/FQL&gt;&lt;FQL&gt;&lt;Q&gt;AGYS-US^TRANSPOSE(TRANSPOSE(FF_GEOREV_COUNTRY_REV_PCT_MATRIX)[1:1])[0:4]&lt;/Q&gt;&lt;R&gt;5&lt;/R&gt;&lt;C&gt;1&lt;/C&gt;&lt;D xsi:type="xsd:string"&gt;United States&lt;/D&gt;&lt;D xsi:type="xsd:string"&gt;Mainland China&lt;/D&gt;&lt;D xsi:type="xsd:string"&gt;India&lt;/D&gt;&lt;D xsi:type="xsd:string"&gt;United Kingdom&lt;/D&gt;&lt;D xsi:type="xsd:string"&gt;Canada&lt;/D&gt;&lt;/FQL&gt;&lt;FQL&gt;&lt;Q&gt;DOX-US^TRANSPOSE(TRANSPOSE(FF_GEOREV_COUNTRY_REV_PCT_MATRIX)[2:2])[0:4]&lt;/Q&gt;&lt;R&gt;5&lt;/R&gt;&lt;C&gt;1&lt;/C&gt;&lt;D xsi:type="xsd:string"&gt;65.819772&lt;/D&gt;&lt;D xsi:type="xsd:string"&gt;6.452665&lt;/D&gt;&lt;D xsi:type="xsd:string"&gt;1.934543&lt;/D&gt;&lt;D xsi:type="xsd:string"&gt;1.78467&lt;/D&gt;&lt;D xsi:type="xsd:string"&gt;1.565304&lt;/D&gt;&lt;/FQL&gt;&lt;FQL&gt;&lt;Q&gt;DOX-US^TRANSPOSE(TRANSPOSE(FF_GEOREV_COUNTRY_REV_PCT_MATRIX)[1:1])[0:4]&lt;/Q&gt;&lt;R&gt;5&lt;/R&gt;&lt;C&gt;1&lt;/C&gt;&lt;D xsi:type="xsd:string"&gt;United States&lt;/D&gt;&lt;D xsi:type="xsd:string"&gt;Mainland China&lt;/D&gt;&lt;D xsi:type="xsd:string"&gt;Germany&lt;/D&gt;&lt;D xsi:type="xsd:string"&gt;France&lt;/D&gt;&lt;D xsi:type="xsd:string"&gt;United Kingdom&lt;/D&gt;&lt;/FQL&gt;&lt;FQL&gt;&lt;Q&gt;ACIW-US^TRANSPOSE(TRANSPOSE(FF_GEOREV_COUNTRY_REV_PCT_MATRIX)[2:2])[0:4]&lt;/Q&gt;&lt;R&gt;5&lt;/R&gt;&lt;C&gt;1&lt;/C&gt;&lt;D xsi:type="xsd:string"&gt;58.399173&lt;/D&gt;&lt;D xsi:type="xsd:string"&gt;9.523495&lt;/D&gt;&lt;D xsi:type="xsd:string"&gt;2.359261&lt;/D&gt;&lt;D xsi:type="xsd:string"&gt;2.112266&lt;/D&gt;&lt;D xsi:type="xsd:string"&gt;2.023139&lt;/D&gt;&lt;/FQL&gt;&lt;FQL&gt;&lt;Q&gt;ACIW-US^TRANSPOSE(TRANSPOSE(FF_GEOREV_COUNTRY_REV_PCT_MATRIX)[1:1])[0:4]&lt;/Q&gt;&lt;R&gt;5&lt;/R&gt;&lt;C&gt;1&lt;/C&gt;&lt;D xsi:type="xsd:string"&gt;United States&lt;/D&gt;&lt;D xsi:type="xsd:string"&gt;Mainland China&lt;/D&gt;&lt;D xsi:type="xsd:string"&gt;Germany&lt;/D&gt;&lt;D xsi:type="xsd:string"&gt;Japan&lt;/D&gt;&lt;D xsi:type="xsd:string"&gt;India&lt;/D&gt;&lt;/FQL&gt;&lt;FQL&gt;&lt;Q&gt;SSNC-US^TRANSPOSE(TRANSPOSE(FF_GEOREV_COUNTRY_REV_PCT_MATRIX)[2:2])[0:4]&lt;/Q&gt;&lt;R&gt;5&lt;/R&gt;&lt;C&gt;1&lt;/C&gt;&lt;D xsi:type="xsd:string"&gt;69.153349&lt;/D&gt;&lt;D xsi:type="xsd:string"&gt;11.448487&lt;/D&gt;&lt;D xsi:type="xsd:string"&gt;3.792928&lt;/D&gt;&lt;D xsi:type="xsd:string"&gt;1.220555&lt;/D&gt;&lt;D xsi:type="xsd:string"&gt;0.921426&lt;/D&gt;&lt;/FQL&gt;&lt;FQL&gt;&lt;Q&gt;SSNC-US^TRANSPOSE(TRANSPOSE(FF_GEOREV_COUNTRY_REV_PCT_MATRIX)[1:1])[0:4]&lt;/Q&gt;&lt;R&gt;5&lt;/R&gt;&lt;C&gt;1&lt;/C&gt;&lt;D xsi:type="xsd:string"&gt;United States&lt;/D&gt;&lt;D xsi:type="xsd:string"&gt;United Kingdom&lt;/D&gt;&lt;D xsi:type="xsd:string"&gt;Canada&lt;/D&gt;&lt;D xsi:type="xsd:string"&gt;Germany&lt;/D&gt;&lt;D xsi:type="xsd:string"&gt;Mainland China&lt;/D&gt;&lt;/FQL&gt;&lt;FQL&gt;&lt;Q&gt;CFLT-US^TRANSPOSE(TRANSPOSE(FF_GEOREV_COUNTRY_REV_PCT_MATRIX)[2:2])[0:4]&lt;/Q&gt;&lt;R&gt;5&lt;/R&gt;&lt;C&gt;1&lt;/C&gt;&lt;D xsi:type="xsd:string"&gt;57.023025&lt;/D&gt;&lt;D xsi:type="xsd:string"&gt;9.898434&lt;/D&gt;&lt;D xsi:type="xsd:string"&gt;2.44212&lt;/D&gt;&lt;D xsi:type="xsd:string"&gt;2.155031&lt;/D&gt;&lt;D xsi:type="xsd:string"&gt;2.154729&lt;/D&gt;&lt;/FQL&gt;&lt;FQL&gt;&lt;Q&gt;CFLT-US^TRANSPOSE(TRANSPOSE(FF_GEOREV_COUNTRY_REV_PCT_MATRIX)[1:1])[0:4]&lt;/Q&gt;&lt;R&gt;5&lt;/R&gt;&lt;C&gt;1&lt;/C&gt;&lt;D xsi:type="xsd:string"&gt;United States&lt;/D&gt;&lt;D xsi:type="xsd:string"&gt;Mainland China&lt;/D&gt;&lt;D xsi:type="xsd:string"&gt;Germany&lt;/D&gt;&lt;D xsi:type="xsd:string"&gt;India&lt;/D&gt;&lt;D xsi:type="xsd:string"&gt;Japan&lt;/D&gt;&lt;/FQL&gt;&lt;FQL&gt;&lt;Q&gt;TRMB-US^TRANSPOSE(TRANSPOSE(FF_GEOREV_COUNTRY_REV_PCT_MATRIX)[2:2])[0:4]&lt;/Q&gt;&lt;R&gt;5&lt;/R&gt;&lt;C&gt;1&lt;/C&gt;&lt;D xsi:type="xsd:string"&gt;51.888253&lt;/D&gt;&lt;D xsi:type="xsd:string"&gt;4.547552&lt;/D&gt;&lt;D xsi:type="xsd:string"&gt;4.058504&lt;/D&gt;&lt;D xsi:type="xsd:string"&gt;3.715401&lt;/D&gt;&lt;D xsi:type="xsd:string"&gt;2.648218&lt;/D&gt;&lt;/FQL&gt;&lt;FQL&gt;&lt;Q&gt;TRMB-US^TRANSPOSE(TRANSPOSE(FF_GEOREV_COUNTRY_REV_PCT_MATRIX)[1:1])[0:4]&lt;/Q&gt;&lt;R&gt;5&lt;/R&gt;&lt;C&gt;1&lt;/C&gt;&lt;D xsi:type="xsd:string"&gt;United States&lt;/D&gt;&lt;D xsi:type="xsd:string"&gt;Canada&lt;/D&gt;&lt;D xsi:type="xsd:string"&gt;Mainland China&lt;/D&gt;&lt;D xsi:type="xsd:string"&gt;Germany&lt;/D&gt;&lt;D xsi:type="xsd:string"&gt;Italy&lt;/D&gt;&lt;/FQL&gt;&lt;FQL&gt;&lt;Q&gt;RMBS-US^TRANSPOSE(TRANSPOSE(FF_GEOREV_COUNTRY_REV_PCT_MATRIX)[2:2])[0:4]&lt;/Q&gt;&lt;R&gt;5&lt;/R&gt;&lt;C&gt;1&lt;/C&gt;&lt;D xsi:type="xsd:string"&gt;46.529401&lt;/D&gt;&lt;D xsi:type="xsd:string"&gt;23.150658&lt;/D&gt;&lt;D xsi:type="xsd:string"&gt;17.537555&lt;/D&gt;&lt;D xsi:type="xsd:string"&gt;3.029478&lt;/D&gt;&lt;D xsi:type="xsd:string"&gt;0.747426&lt;/D&gt;&lt;/FQL&gt;&lt;FQL&gt;&lt;Q&gt;RMBS-US^TRANSPOSE(TRANSPOSE(FF_GEOREV_COUNTRY_REV_PCT_MATRIX)[1:1])[0:4]&lt;/Q&gt;&lt;R&gt;5&lt;/R&gt;&lt;C&gt;1&lt;/C&gt;&lt;D xsi:type="xsd:string"&gt;Republic of Korea (South Korea)&lt;/D&gt;&lt;D xsi:type="xsd:string"&gt;Singapore&lt;/D&gt;&lt;D xsi:type="xsd:string"&gt;United States&lt;/D&gt;&lt;D xsi:type="xsd:string"&gt;Mainland China&lt;/D&gt;&lt;D xsi:type="xsd:string"&gt;Germany&lt;/D&gt;&lt;/FQL&gt;&lt;FQL&gt;&lt;Q&gt;NCNO-US^TRANSPOSE(TRANSPOSE(FF_GEOREV_COUNTRY_REV_PCT_MATRIX)[2:2])[0:4]&lt;/Q&gt;&lt;R&gt;5&lt;/R&gt;&lt;C&gt;1&lt;/C&gt;&lt;D xsi:type="xsd:string"&gt;84.859484&lt;/D&gt;&lt;D xsi:type="xsd:string"&gt;6.988477&lt;/D&gt;&lt;D xsi:type="xsd:string"&gt;1.950421&lt;/D&gt;&lt;D xsi:type="xsd:string"&gt;0.483179&lt;/D&gt;&lt;D xsi:type="xsd:string"&gt;0.432594&lt;/D&gt;&lt;/FQL&gt;&lt;FQL&gt;&lt;Q&gt;NCNO-US^TRANSPOSE(TRANSPOSE(FF_GEOREV_COUNTRY_REV_PCT_MATRIX)[1:1])[0:4]&lt;/Q&gt;&lt;R&gt;5&lt;/R&gt;&lt;C&gt;1&lt;/C&gt;&lt;D xsi:type="xsd:string"&gt;United States&lt;/D&gt;&lt;D xsi:type="xsd:string"&gt;United Kingdom&lt;/D&gt;&lt;D xsi:type="xsd:string"&gt;Mainland China&lt;/D&gt;&lt;D xsi:type="xsd:string"&gt;Germany&lt;/D&gt;&lt;D xsi:type="xsd:string"&gt;Japan&lt;/D&gt;&lt;/FQL&gt;&lt;FQL&gt;&lt;Q&gt;TTAN-US^TRANSPOSE(TRANSPOSE(FF_GEOREV_COUNTRY_REV_PCT_MATRIX)[2:2])[0:4]&lt;/Q&gt;&lt;R&gt;5&lt;/R&gt;&lt;C&gt;1&lt;/C&gt;&lt;D xsi:type="xsd:string"&gt;100&lt;/D&gt;&lt;D xsi:type="xsd:string"&gt;@NA&lt;/D&gt;&lt;D xsi:type="xsd:string"&gt;@NA&lt;/D&gt;&lt;D xsi:type="xsd:string"&gt;@NA&lt;/D&gt;&lt;D xsi:type="xsd:string"&gt;@NA&lt;/D&gt;&lt;/FQL&gt;&lt;FQL&gt;&lt;Q&gt;TTAN-US^TRANSPOSE(TRANSPOSE(FF_GEOREV_COUNTRY_REV_PCT_MATRIX)[1:1])[0:4]&lt;/Q&gt;&lt;R&gt;5&lt;/R&gt;&lt;C&gt;1&lt;/C&gt;&lt;D xsi:type="xsd:string"&gt;United States&lt;/D&gt;&lt;D xsi:type="xsd:string"&gt;@NA&lt;/D&gt;&lt;D xsi:type="xsd:string"&gt;@NA&lt;/D&gt;&lt;D xsi:type="xsd:string"&gt;@NA&lt;/D&gt;&lt;D xsi:type="xsd:string"&gt;@NA&lt;/D&gt;&lt;/FQL&gt;&lt;FQL&gt;&lt;Q&gt;MDB-US^TRANSPOSE(TRANSPOSE(FF_GEOREV_COUNTRY_REV_PCT_MATRIX)[2:2])[0:4]&lt;/Q&gt;&lt;R&gt;5&lt;/R&gt;&lt;C&gt;1&lt;/C&gt;&lt;D xsi:type="xsd:string"&gt;54&lt;/D&gt;&lt;D xsi:type="xsd:string"&gt;2.122561&lt;/D&gt;&lt;D xsi:type="xsd:string"&gt;1.949801&lt;/D&gt;&lt;D xsi:type="xsd:string"&gt;1.892162&lt;/D&gt;&lt;D xsi:type="xsd:string"&gt;1.831708&lt;/D&gt;&lt;/FQL&gt;&lt;FQL&gt;&lt;Q&gt;MDB-US^TRANSPOSE(TRANSPOSE(FF_GEOREV_COUNTRY_REV_PCT_MATRIX)[1:1])[0:4]&lt;/Q&gt;&lt;R&gt;5&lt;/R&gt;&lt;C&gt;1&lt;/C&gt;&lt;D xsi:type="xsd:string"&gt;United States&lt;/D&gt;&lt;D xsi:type="xsd:string"&gt;Mainland China&lt;/D&gt;&lt;D xsi:type="xsd:string"&gt;Germany&lt;/D&gt;&lt;D xsi:type="xsd:string"&gt;Japan&lt;/D&gt;&lt;D xsi:type="xsd:string"&gt;Italy&lt;/D&gt;&lt;/FQL&gt;&lt;FQL&gt;&lt;Q&gt;SNPS-US^TRANSPOSE(TRANSPOSE(FF_GEOREV_COUNTRY_REV_PCT_MATRIX)[2:2])[0:4]&lt;/Q&gt;&lt;R&gt;5&lt;/R&gt;&lt;C&gt;1&lt;/C&gt;&lt;D xsi:type="xsd:string"&gt;43.946935&lt;/D&gt;&lt;D xsi:type="xsd:string"&gt;13.424654&lt;/D&gt;&lt;D xsi:type="xsd:string"&gt;11.264262&lt;/D&gt;&lt;D xsi:type="xsd:string"&gt;2.276122&lt;/D&gt;&lt;D xsi:type="xsd:string"&gt;2.275804&lt;/D&gt;&lt;/FQL&gt;&lt;FQL&gt;&lt;Q&gt;SNPS-US^TRANSPOSE(TRANSPOSE(FF_GEOREV_COUNTRY_REV_PCT_MATRIX)[1:1])[0:4]&lt;/Q&gt;&lt;R&gt;5&lt;/R&gt;&lt;C&gt;1&lt;/C&gt;&lt;D xsi:type="xsd:string"&gt;United States&lt;/D&gt;&lt;D xsi:type="xsd:string"&gt;Republic of Korea (South Korea)&lt;/D&gt;&lt;D xsi:type="xsd:string"&gt;Mainland China&lt;/D&gt;&lt;D xsi:type="xsd:string"&gt;India&lt;/D&gt;&lt;D xsi:type="xsd:string"&gt;Japan&lt;/D&gt;&lt;/FQL&gt;&lt;FQL&gt;&lt;Q&gt;SNOW-US^TRANSPOSE(TRANSPOSE(FF_GEOREV_COUNTRY_REV_PCT_MATRIX)[2:2])[0:4]&lt;/Q&gt;&lt;R&gt;5&lt;/R&gt;&lt;C&gt;1&lt;/C&gt;&lt;D xsi:type="xsd:string"&gt;76.154507&lt;/D&gt;&lt;D xsi:type="xsd:string"&gt;1.121046&lt;/D&gt;&lt;D xsi:type="xsd:string"&gt;1.053148&lt;/D&gt;&lt;D xsi:type="xsd:string"&gt;0.930468&lt;/D&gt;&lt;D xsi:type="xsd:string"&gt;0.91902&lt;/D&gt;&lt;/FQL&gt;&lt;FQL&gt;&lt;Q&gt;SNOW-US^TRANSPOSE(TRANSPOSE(FF_GEOREV_COUNTRY_REV_PCT_MATRIX)[1:1])[0:4]&lt;/Q&gt;&lt;R&gt;5&lt;/R&gt;&lt;C&gt;1&lt;/C&gt;&lt;D xsi:type="xsd:string"&gt;United States&lt;/D&gt;&lt;D xsi:type="xsd:string"&gt;Germany&lt;/D&gt;&lt;D xsi:type="xsd:string"&gt;Italy&lt;/D&gt;&lt;D xsi:type="xsd:string"&gt;Russian Federation&lt;/D&gt;&lt;D xsi:type="xsd:string"&gt;Mainland China&lt;/D&gt;&lt;/FQL&gt;&lt;FQL&gt;&lt;Q&gt;GWRE-US^TRANSPOSE(TRANSPOSE(FF_GEOREV_COUNTRY_REV_PCT_MATRIX)[2:2])[0:4]&lt;/Q&gt;&lt;R&gt;5&lt;/R&gt;&lt;C&gt;1&lt;/C&gt;&lt;D xsi:type="xsd:string"&gt;64.106884&lt;/D&gt;&lt;D xsi:type="xsd:string"&gt;11.757657&lt;/D&gt;&lt;D xsi:type="xsd:string"&gt;1.460689&lt;/D&gt;&lt;D xsi:type="xsd:string"&gt;1.332446&lt;/D&gt;&lt;D xsi:type="xsd:string"&gt;1.23337&lt;/D&gt;&lt;/FQL&gt;&lt;FQL&gt;&lt;Q&gt;GWRE-US^TRANSPOSE(TRANSPOSE(FF_GEOREV_COUNTRY_REV_PCT_MATRIX)[1:1])[0:4]&lt;/Q&gt;&lt;R&gt;5&lt;/R&gt;&lt;C&gt;1&lt;/C&gt;&lt;D xsi:type="xsd:string"&gt;United States&lt;/D&gt;&lt;D xsi:type="xsd:string"&gt;Canada&lt;/D&gt;&lt;D xsi:type="xsd:string"&gt;Mainland China&lt;/D&gt;&lt;D xsi:type="xsd:string"&gt;France&lt;/D&gt;&lt;D xsi:type="xsd:string"&gt;India&lt;/D&gt;&lt;/FQL&gt;&lt;FQL&gt;&lt;Q&gt;SAIL-US^TRANSPOSE(TRANSPOSE(FF_GEOREV_COUNTRY_REV_PCT_MATRIX)[2:2])[0:4]&lt;/Q&gt;&lt;R&gt;5&lt;/R&gt;&lt;C&gt;1&lt;/C&gt;&lt;D xsi:type="xsd:string"&gt;68.066215&lt;/D&gt;&lt;D xsi:type="xsd:string"&gt;5.080082&lt;/D&gt;&lt;D xsi:type="xsd:string"&gt;1.368429&lt;/D&gt;&lt;D xsi:type="xsd:string"&gt;1.285547&lt;/D&gt;&lt;D xsi:type="xsd:string"&gt;1.135795&lt;/D&gt;&lt;/FQL&gt;&lt;FQL&gt;&lt;Q&gt;SAIL-US^TRANSPOSE(TRANSPOSE(FF_GEOREV_COUNTRY_REV_PCT_MATRIX)[1:1])[0:4]&lt;/Q&gt;&lt;R&gt;5&lt;/R&gt;&lt;C&gt;1&lt;/C&gt;&lt;D xsi:type="xsd:string"&gt;United States&lt;/D&gt;&lt;D xsi:type="xsd:string"&gt;Mainland China&lt;/D&gt;&lt;D xsi:type="xsd:string"&gt;Germany&lt;/D&gt;&lt;D xsi:type="xsd:string"&gt;Italy&lt;/D&gt;&lt;D xsi:type="xsd:string"&gt;Russian Federation&lt;/D&gt;&lt;/FQL&gt;&lt;FQL&gt;&lt;Q&gt;ALRM-US^TRANSPOSE(TRANSPOSE(FF_GEOREV_COUNTRY_REV_PCT_MATRIX)[2:2])[0:4]&lt;/Q&gt;&lt;R&gt;5&lt;/R&gt;&lt;C&gt;1&lt;/C&gt;&lt;D xsi:type="xsd:string"&gt;82.728608&lt;/D&gt;&lt;D xsi:type="xsd:string"&gt;12.271392&lt;/D&gt;&lt;D xsi:type="xsd:string"&gt;1.183129&lt;/D&gt;&lt;D xsi:type="xsd:string"&gt;0.291899&lt;/D&gt;&lt;D xsi:type="xsd:string"&gt;0.257584&lt;/D&gt;&lt;/FQL&gt;&lt;FQL&gt;&lt;Q&gt;ALRM-US^TRANSPOSE(TRANSPOSE(FF_GEOREV_COUNTRY_REV_PCT_MATRIX)[1:1])[0:4]&lt;/Q&gt;&lt;R&gt;5&lt;/R&gt;&lt;C&gt;1&lt;/C&gt;&lt;D xsi:type="xsd:string"&gt;United States&lt;/D&gt;&lt;D xsi:type="xsd:string"&gt;Canada&lt;/D&gt;&lt;D xsi:type="xsd:string"&gt;Mainland China&lt;/D&gt;&lt;D xsi:type="xsd:string"&gt;Germany&lt;/D&gt;&lt;D xsi:type="xsd:string"&gt;India&lt;/D&gt;&lt;/FQL&gt;&lt;FQL&gt;&lt;Q&gt;ROP-US^TRANSPOSE(TRANSPOSE(FF_GEOREV_COUNTRY_REV_PCT_MATRIX)[2:2])[0:4]&lt;/Q&gt;&lt;R&gt;5&lt;/R&gt;&lt;C&gt;1&lt;/C&gt;&lt;D xsi:type="xsd:string"&gt;86.969946&lt;/D&gt;&lt;D xsi:type="xsd:string"&gt;3.691237&lt;/D&gt;&lt;D xsi:type="xsd:string"&gt;0.852029&lt;/D&gt;&lt;D xsi:type="xsd:string"&gt;0.786021&lt;/D&gt;&lt;D xsi:type="xsd:string"&gt;0.689406&lt;/D&gt;&lt;/FQL&gt;&lt;FQL&gt;&lt;Q&gt;ROP-US^TRANSPOSE(TRANSPOSE(FF_GEOREV_COUNTRY_REV_PCT_MATRIX)[1:1])[0:4]&lt;/Q&gt;&lt;R&gt;5&lt;/R&gt;&lt;C&gt;1&lt;/C&gt;&lt;D xsi:type="xsd:string"&gt;United States&lt;/D&gt;&lt;D xsi:type="xsd:string"&gt;Canada&lt;/D&gt;&lt;D xsi:type="xsd:string"&gt;Germany&lt;/D&gt;&lt;D xsi:type="xsd:string"&gt;France&lt;/D&gt;&lt;D xsi:type="xsd:string"&gt;United Kingdom&lt;/D&gt;&lt;/FQL&gt;&lt;FQL&gt;&lt;Q&gt;7203-SA^TRANSPOSE(TRANSPOSE(FF_GEOREV_COUNTRY_REV_PCT_MATRIX)[2:2])[0:4]&lt;/Q&gt;&lt;R&gt;5&lt;/R&gt;&lt;C&gt;1&lt;/C&gt;&lt;D xsi:type="xsd:string"&gt;100&lt;/D&gt;&lt;D xsi:type="xsd:string"&gt;@NA&lt;/D&gt;&lt;D xsi:type="xsd:string"&gt;@NA&lt;/D&gt;&lt;D xsi:type="xsd:string"&gt;@NA&lt;/D&gt;&lt;D xsi:type="xsd:string"&gt;@NA&lt;/D&gt;&lt;/FQL&gt;&lt;FQL&gt;&lt;Q&gt;7203-SA^TRANSPOSE(TRANSPOSE(FF_GEOREV_COUNTRY_REV_PCT_MATRIX)[1:1])[0:4]&lt;/Q&gt;&lt;R&gt;5&lt;/R&gt;&lt;C&gt;1&lt;/C&gt;&lt;D xsi:type="xsd:string"&gt;Saudi Arabia&lt;/D&gt;&lt;D xsi:type="xsd:string"&gt;@NA&lt;/D&gt;&lt;D xsi:type="xsd:string"&gt;@NA&lt;/D&gt;&lt;D xsi:type="xsd:string"&gt;@NA&lt;/D&gt;&lt;D xsi:type="xsd:string"&gt;@NA&lt;/D&gt;&lt;/FQL&gt;&lt;FQL&gt;&lt;Q&gt;CWAN-US^TRANSPOSE(TRANSPOSE(FF_GEOREV_COUNTRY_REV_PCT_MATRIX)[2:2])[0:4]&lt;/Q&gt;&lt;R&gt;5&lt;/R&gt;&lt;C&gt;1&lt;/C&gt;&lt;D xsi:type="xsd:string"&gt;74.569164&lt;/D&gt;&lt;D xsi:type="xsd:string"&gt;7.069756&lt;/D&gt;&lt;D xsi:type="xsd:string"&gt;6.238654&lt;/D&gt;&lt;D xsi:type="xsd:string"&gt;5.720377&lt;/D&gt;&lt;D xsi:type="xsd:string"&gt;4.784824&lt;/D&gt;&lt;/FQL&gt;&lt;FQL&gt;&lt;Q&gt;CWAN-US^TRANSPOSE(TRANSPOSE(FF_GEOREV_COUNTRY_REV_PCT_MATRIX)[1:1])[0:4]&lt;/Q&gt;&lt;R&gt;5&lt;/R&gt;&lt;C&gt;1&lt;/C&gt;&lt;D xsi:type="xsd:string"&gt;United States&lt;/D&gt;&lt;D xsi:type="xsd:string"&gt;Germany&lt;/D&gt;&lt;D xsi:type="xsd:string"&gt;India&lt;/D&gt;&lt;D xsi:type="xsd:string"&gt;United Kingdom&lt;/D&gt;&lt;D xsi:type="xsd:string"&gt;France&lt;/D&gt;&lt;/FQL&gt;&lt;FQL&gt;&lt;Q&gt;CRWV-US^TRANSPOSE(TRANSPOSE(FF_GEOREV_COUNTRY_REV_PCT_MATRIX)[2:2])[0:4]&lt;/Q&gt;&lt;R&gt;5&lt;/R&gt;&lt;C&gt;1&lt;/C&gt;&lt;D xsi:type="xsd:string"&gt;93.831242&lt;/D&gt;&lt;D xsi:type="xsd:string"&gt;1.412187&lt;/D&gt;&lt;D xsi:type="xsd:string"&gt;0.349842&lt;/D&gt;&lt;D xsi:type="xsd:string"&gt;0.313216&lt;/D&gt;&lt;D xsi:type="xsd:string"&gt;0.3&lt;/D&gt;&lt;/FQL&gt;&lt;FQL&gt;&lt;Q&gt;CRWV-US^TRANSPOSE(TRANSPOSE(FF_GEOREV_COUNTRY_REV_PCT_MATRIX)[1:1])[0:4]&lt;/Q&gt;&lt;R&gt;5&lt;/R&gt;&lt;C&gt;1&lt;/C&gt;&lt;D xsi:type="xsd:string"&gt;United States&lt;/D&gt;&lt;D xsi:type="xsd:string"&gt;Mainland China&lt;/D&gt;&lt;D xsi:type="xsd:string"&gt;Germany&lt;/D&gt;&lt;D xsi:type="xsd:string"&gt;Japan&lt;/D&gt;&lt;D xsi:type="xsd:string"&gt;India&lt;/D&gt;&lt;/FQL&gt;&lt;FQL&gt;&lt;Q&gt;PRESIGHT-AE^TRANSPOSE(TRANSPOSE(FF_GEOREV_COUNTRY_REV_PCT_MATRIX)[2:2])[0:4]&lt;/Q&gt;&lt;R&gt;5&lt;/R&gt;&lt;C&gt;1&lt;/C&gt;&lt;D xsi:type="xsd:string"&gt;61.467269&lt;/D&gt;&lt;D xsi:type="xsd:string"&gt;10.360827&lt;/D&gt;&lt;D xsi:type="xsd:string"&gt;6.53145&lt;/D&gt;&lt;D xsi:type="xsd:string"&gt;1.611425&lt;/D&gt;&lt;D xsi:type="xsd:string"&gt;1.42199&lt;/D&gt;&lt;/FQL&gt;&lt;FQL&gt;&lt;Q&gt;PRESIGHT-AE^TRANSPOSE(TRANSPOSE(FF_GEOREV_COUNTRY_REV_PCT_MATRIX)[1:1])[0:4]&lt;/Q&gt;&lt;R&gt;5&lt;/R&gt;&lt;C&gt;1&lt;/C&gt;&lt;D xsi:type="xsd:string"&gt;United Arab Emirates&lt;/D&gt;&lt;D xsi:type="xsd:string"&gt;United States&lt;/D&gt;&lt;D xsi:type="xsd:string"&gt;Mainland China&lt;/D&gt;&lt;D xsi:type="xsd:string"&gt;Germany&lt;/D&gt;&lt;D xsi:type="xsd:string"&gt;India&lt;/D&gt;&lt;/FQL&gt;&lt;FQL&gt;&lt;Q&gt;OTEX-US^TRANSPOSE(TRANSPOSE(FF_GEOREV_COUNTRY_REV_PCT_MATRIX)[2:2])[0:4]&lt;/Q&gt;&lt;R&gt;5&lt;/R&gt;&lt;C&gt;1&lt;/C&gt;&lt;D xsi:type="xsd:string"&gt;52.388004&lt;/D&gt;&lt;D xsi:type="xsd:string"&gt;4.373961&lt;/D&gt;&lt;D xsi:type="xsd:string"&gt;3.643926&lt;/D&gt;&lt;D xsi:type="xsd:string"&gt;3.422273&lt;/D&gt;&lt;D xsi:type="xsd:string"&gt;3.396576&lt;/D&gt;&lt;/FQL&gt;&lt;FQL&gt;&lt;Q&gt;OTEX-US^TRANSPOSE(TRANSPOSE(FF_GEOREV_COUNTRY_REV_PCT_MATRIX)[1:1])[0:4]&lt;/Q&gt;&lt;R&gt;5&lt;/R&gt;&lt;C&gt;1&lt;/C&gt;&lt;D xsi:type="xsd:string"&gt;United States&lt;/D&gt;&lt;D xsi:type="xsd:string"&gt;Canada&lt;/D&gt;&lt;D xsi:type="xsd:string"&gt;Mainland China&lt;/D&gt;&lt;D xsi:type="xsd:string"&gt;United Kingdom&lt;/D&gt;&lt;D xsi:type="xsd:string"&gt;Germany&lt;/D&gt;&lt;/FQL&gt;&lt;FQL&gt;&lt;Q&gt;CCC-US^TRANSPOSE(TRANSPOSE(FF_GEOREV_COUNTRY_REV_PCT_MATRIX)[2:2])[0:4]&lt;/Q&gt;&lt;R&gt;5&lt;/R&gt;&lt;C&gt;1&lt;/C&gt;&lt;D xsi:type="xsd:string"&gt;99.352886&lt;/D&gt;&lt;D xsi:type="xsd:string"&gt;0.631441&lt;/D&gt;&lt;D xsi:type="xsd:string"&gt;0.013921&lt;/D&gt;&lt;D xsi:type="xsd:string"&gt;0.001752&lt;/D&gt;&lt;D xsi:type="xsd:string"&gt;@NA&lt;/D&gt;&lt;/FQL&gt;&lt;FQL&gt;&lt;Q&gt;CCC-US^TRANSPOSE(TRANSPOSE(FF_GEOREV_COUNTRY_REV_PCT_MATRIX)[1:1])[0:4]&lt;/Q&gt;&lt;R&gt;5&lt;/R&gt;&lt;C&gt;1&lt;/C&gt;&lt;D xsi:type="xsd:string"&gt;United States&lt;/D&gt;&lt;D xsi:type="xsd:string"&gt;Mainland China&lt;/D&gt;&lt;D xsi:type="xsd:string"&gt;Hong Kong&lt;/D&gt;&lt;D xsi:type="xsd:string"&gt;Asia/Pacific Unallocated Revenue&lt;/D&gt;&lt;D xsi:type="xsd:string"&gt;@NA&lt;/D&gt;&lt;/FQL&gt;&lt;FQL&gt;&lt;Q&gt;ORCL-US^TRANSPOSE(TRANSPOSE(FF_GEOREV_COUNTRY_REV_PCT_MATRIX)[2:2])[0:4]&lt;/Q&gt;&lt;R&gt;5&lt;/R&gt;&lt;C&gt;1&lt;/C&gt;&lt;D xsi:type="xsd:string"&gt;55.880765&lt;/D&gt;&lt;D xsi:type="xsd:string"&gt;4.519242&lt;/D&gt;&lt;D xsi:type="xsd:string"&gt;3.16556&lt;/D&gt;&lt;D xsi:type="xsd:string"&gt;3.064513&lt;/D&gt;&lt;D xsi:type="xsd:string"&gt;2.399658&lt;/D&gt;&lt;/FQL&gt;&lt;FQL&gt;&lt;Q&gt;ORCL-US^TRANSPOSE(TRANSPOSE(FF_GEOREV_COUNTRY_REV_PCT_MATRIX)[1:1])[0:4]&lt;/Q&gt;&lt;R&gt;5&lt;/R&gt;&lt;C&gt;1&lt;/C&gt;&lt;D xsi:type="xsd:string"&gt;United States&lt;/D&gt;&lt;D xsi:type="xsd:string"&gt;United Kingdom&lt;/D&gt;&lt;D xsi:type="xsd:string"&gt;Germany&lt;/D&gt;&lt;D xsi:type="xsd:string"&gt;Japan&lt;/D&gt;&lt;D xsi:type="xsd:string"&gt;Mainland China&lt;/D&gt;&lt;/FQL&gt;&lt;FQL&gt;&lt;Q&gt;CRWD-US^TRANSPOSE(TRANSPOSE(FF_GEOREV_COUNTRY_REV_PCT_MATRIX)[2:2])[0:4]&lt;/Q&gt;&lt;R&gt;5&lt;/R&gt;&lt;C&gt;1&lt;/C&gt;&lt;D xsi:type="xsd:string"&gt;67.860323&lt;/D&gt;&lt;D xsi:type="xsd:string"&gt;1.804129&lt;/D&gt;&lt;D xsi:type="xsd:string"&gt;1.608295&lt;/D&gt;&lt;D xsi:type="xsd:string"&gt;1.544469&lt;/D&gt;&lt;D xsi:type="xsd:string"&gt;1.540433&lt;/D&gt;&lt;/FQL&gt;&lt;FQL&gt;&lt;Q&gt;CRWD-US^TRANSPOSE(TRANSPOSE(FF_GEOREV_COUNTRY_REV_PCT_MATRIX)[1:1])[0:4]&lt;/Q&gt;&lt;R&gt;5&lt;/R&gt;&lt;C&gt;1&lt;/C&gt;&lt;D xsi:type="xsd:string"&gt;United States&lt;/D&gt;&lt;D xsi:type="xsd:string"&gt;Mainland China&lt;/D&gt;&lt;D xsi:type="xsd:string"&gt;Japan&lt;/D&gt;&lt;D xsi:type="xsd:string"&gt;Brazil&lt;/D&gt;&lt;D xsi:type="xsd:string"&gt;India&lt;/D&gt;&lt;/FQL&gt;&lt;FQL&gt;&lt;Q&gt;BLKB-US^TRANSPOSE(TRANSPOSE(FF_GEOREV_COUNTRY_REV_PCT_MATRIX)[2:2])[0:4]&lt;/Q&gt;&lt;R&gt;5&lt;/R&gt;&lt;C&gt;1&lt;/C&gt;&lt;D xsi:type="xsd:string"&gt;84.462386&lt;/D&gt;&lt;D xsi:type="xsd:string"&gt;9.637839&lt;/D&gt;&lt;D xsi:type="xsd:string"&gt;2.981002&lt;/D&gt;&lt;D xsi:type="xsd:string"&gt;1.584361&lt;/D&gt;&lt;D xsi:type="xsd:string"&gt;1.261372&lt;/D&gt;&lt;/FQL&gt;&lt;FQL&gt;&lt;Q&gt;BLKB-US^TRANSPOSE(TRANSPOSE(FF_GEOREV_COUNTRY_REV_PCT_MATRIX)[1:1])[0:4]&lt;/Q&gt;&lt;R&gt;5&lt;/R&gt;&lt;C&gt;1&lt;/C&gt;&lt;D xsi:type="xsd:string"&gt;United States&lt;/D&gt;&lt;D xsi:type="xsd:string"&gt;United Kingdom&lt;/D&gt;&lt;D xsi:type="xsd:string"&gt;India&lt;/D&gt;&lt;D xsi:type="xsd:string"&gt;Canada&lt;/D&gt;&lt;D xsi:type="xsd:string"&gt;Australia&lt;/D&gt;&lt;/FQL&gt;&lt;FQL&gt;&lt;Q&gt;ALKT-US^TRANSPOSE(TRANSPOSE(FF_GEOREV_COUNTRY_REV_PCT_MATRIX)[2:2])[0:4]&lt;/Q&gt;&lt;R&gt;5&lt;/R&gt;&lt;C&gt;1&lt;/C&gt;&lt;D xsi:type="xsd:string"&gt;100&lt;/D&gt;&lt;D xsi:type="xsd:string"&gt;@NA&lt;/D&gt;&lt;D xsi:type="xsd:string"&gt;@NA&lt;/D&gt;&lt;D xsi:type="xsd:string"&gt;@NA&lt;/D&gt;&lt;D xsi:type="xsd:string"&gt;@NA&lt;/D&gt;&lt;/FQL&gt;&lt;FQL&gt;&lt;Q&gt;ALKT-US^TRANSPOSE(TRANSPOSE(FF_GEOREV_COUNTRY_REV_PCT_MATRIX)[1:1])[0:4]&lt;/Q&gt;&lt;R&gt;5&lt;/R&gt;&lt;C&gt;1&lt;/C&gt;&lt;D xsi:type="xsd:string"&gt;United States&lt;/D&gt;&lt;D xsi:type="xsd:string"&gt;@NA&lt;/D&gt;&lt;D xsi:type="xsd:string"&gt;@NA&lt;/D&gt;&lt;D xsi:type="xsd:string"&gt;@NA&lt;/D&gt;&lt;D xsi:type="xsd:string"&gt;@NA&lt;/</t>
        </r>
      </text>
    </comment>
    <comment ref="A15" authorId="0" shapeId="0" xr:uid="{F25C03C9-B531-474A-97DF-E417152C0C56}">
      <text>
        <r>
          <rPr>
            <b/>
            <sz val="9"/>
            <color indexed="81"/>
            <rFont val="Tahoma"/>
            <charset val="1"/>
          </rPr>
          <t>D&gt;&lt;/FQL&gt;&lt;FQL&gt;&lt;Q&gt;300033-CN^TRANSPOSE(TRANSPOSE(FF_GEOREV_COUNTRY_REV_PCT_MATRIX)[2:2])[0:4]&lt;/Q&gt;&lt;R&gt;5&lt;/R&gt;&lt;C&gt;1&lt;/C&gt;&lt;D xsi:type="xsd:string"&gt;97.122632&lt;/D&gt;&lt;D xsi:type="xsd:string"&gt;2.131757&lt;/D&gt;&lt;D xsi:type="xsd:string"&gt;0.286542&lt;/D&gt;&lt;D xsi:type="xsd:string"&gt;0.145605&lt;/D&gt;&lt;D xsi:type="xsd:string"&gt;0.055554&lt;/D&gt;&lt;/FQL&gt;&lt;FQL&gt;&lt;Q&gt;300033-CN^TRANSPOSE(TRANSPOSE(FF_GEOREV_COUNTRY_REV_PCT_MATRIX)[1:1])[0:4]&lt;/Q&gt;&lt;R&gt;5&lt;/R&gt;&lt;C&gt;1&lt;/C&gt;&lt;D xsi:type="xsd:string"&gt;Mainland China&lt;/D&gt;&lt;D xsi:type="xsd:string"&gt;Hong Kong&lt;/D&gt;&lt;D xsi:type="xsd:string"&gt;Macau&lt;/D&gt;&lt;D xsi:type="xsd:string"&gt;United States&lt;/D&gt;&lt;D xsi:type="xsd:string"&gt;Europe Unallocated Revenue&lt;/D&gt;&lt;/FQL&gt;&lt;FQL&gt;&lt;Q&gt;RBRK-US^TRANSPOSE(TRANSPOSE(FF_GEOREV_COUNTRY_REV_PCT_MATRIX)[2:2])[0:4]&lt;/Q&gt;&lt;R&gt;5&lt;/R&gt;&lt;C&gt;1&lt;/C&gt;&lt;D xsi:type="xsd:string"&gt;69.133624&lt;/D&gt;&lt;D xsi:type="xsd:string"&gt;1.70818&lt;/D&gt;&lt;D xsi:type="xsd:string"&gt;1.604721&lt;/D&gt;&lt;D xsi:type="xsd:string"&gt;1.417788&lt;/D&gt;&lt;D xsi:type="xsd:string"&gt;1.300458&lt;/D&gt;&lt;/FQL&gt;&lt;FQL&gt;&lt;Q&gt;RBRK-US^TRANSPOSE(TRANSPOSE(FF_GEOREV_COUNTRY_REV_PCT_MATRIX)[1:1])[0:4]&lt;/Q&gt;&lt;R&gt;5&lt;/R&gt;&lt;C&gt;1&lt;/C&gt;&lt;D xsi:type="xsd:string"&gt;United States&lt;/D&gt;&lt;D xsi:type="xsd:string"&gt;Germany&lt;/D&gt;&lt;D xsi:type="xsd:string"&gt;Italy&lt;/D&gt;&lt;D xsi:type="xsd:string"&gt;Russian Federation&lt;/D&gt;&lt;D xsi:type="xsd:string"&gt;United Kingdom&lt;/D&gt;&lt;/FQL&gt;&lt;FQL&gt;&lt;Q&gt;MSFT-US^TRANSPOSE(TRANSPOSE(FF_GEOREV_COUNTRY_REV_PCT_MATRIX)[2:2])[0:4]&lt;/Q&gt;&lt;R&gt;5&lt;/R&gt;&lt;C&gt;1&lt;/C&gt;&lt;D xsi:type="xsd:string"&gt;51.307663&lt;/D&gt;&lt;D xsi:type="xsd:string"&gt;11.214794&lt;/D&gt;&lt;D xsi:type="xsd:string"&gt;2.766889&lt;/D&gt;&lt;D xsi:type="xsd:string"&gt;2.441621&lt;/D&gt;&lt;D xsi:type="xsd:string"&gt;2.441279&lt;/D&gt;&lt;/FQL&gt;&lt;FQL&gt;&lt;Q&gt;MSFT-US^TRANSPOSE(TRANSPOSE(FF_GEOREV_COUNTRY_REV_PCT_MATRIX)[1:1])[0:4]&lt;/Q&gt;&lt;R&gt;5&lt;/R&gt;&lt;C&gt;1&lt;/C&gt;&lt;D xsi:type="xsd:string"&gt;United States&lt;/D&gt;&lt;D xsi:type="xsd:string"&gt;Mainland China&lt;/D&gt;&lt;D xsi:type="xsd:string"&gt;Germany&lt;/D&gt;&lt;D xsi:type="xsd:string"&gt;India&lt;/D&gt;&lt;D xsi:type="xsd:string"&gt;Japan&lt;/D&gt;&lt;/FQL&gt;&lt;FQL&gt;&lt;Q&gt;VERX-US^TRANSPOSE(TRANSPOSE(FF_GEOREV_COUNTRY_REV_PCT_MATRIX)[2:2])[0:4]&lt;/Q&gt;&lt;R&gt;5&lt;/R&gt;&lt;C&gt;1&lt;/C&gt;&lt;D xsi:type="xsd:string"&gt;90&lt;/D&gt;&lt;D xsi:type="xsd:string"&gt;1.570341&lt;/D&gt;&lt;D xsi:type="xsd:string"&gt;1.270615&lt;/D&gt;&lt;D xsi:type="xsd:string"&gt;1.062809&lt;/D&gt;&lt;D xsi:type="xsd:string"&gt;0.801868&lt;/D&gt;&lt;/FQL&gt;&lt;FQL&gt;&lt;Q&gt;VERX-US^TRANSPOSE(TRANSPOSE(FF_GEOREV_COUNTRY_REV_PCT_MATRIX)[1:1])[0:4]&lt;/Q&gt;&lt;R&gt;5&lt;/R&gt;&lt;C&gt;1&lt;/C&gt;&lt;D xsi:type="xsd:string"&gt;United States&lt;/D&gt;&lt;D xsi:type="xsd:string"&gt;Germany&lt;/D&gt;&lt;D xsi:type="xsd:string"&gt;United Kingdom&lt;/D&gt;&lt;D xsi:type="xsd:string"&gt;France&lt;/D&gt;&lt;D xsi:type="xsd:string"&gt;Italy&lt;/D&gt;&lt;/FQL&gt;&lt;FQL&gt;&lt;Q&gt;QTWO-US^TRANSPOSE(TRANSPOSE(FF_GEOREV_COUNTRY_REV_PCT_MATRIX)[2:2])[0:4]&lt;/Q&gt;&lt;R&gt;5&lt;/R&gt;&lt;C&gt;1&lt;/C&gt;&lt;D xsi:type="xsd:string"&gt;100&lt;/D&gt;&lt;D xsi:type="xsd:string"&gt;@NA&lt;/D&gt;&lt;D xsi:type="xsd:string"&gt;@NA&lt;/D&gt;&lt;D xsi:type="xsd:string"&gt;@NA&lt;/D&gt;&lt;D xsi:type="xsd:string"&gt;@NA&lt;/D&gt;&lt;/FQL&gt;&lt;FQL&gt;&lt;Q&gt;QTWO-US^TRANSPOSE(TRANSPOSE(FF_GEOREV_COUNTRY_REV_PCT_MATRIX)[1:1])[0:4]&lt;/Q&gt;&lt;R&gt;5&lt;/R&gt;&lt;C&gt;1&lt;/C&gt;&lt;D xsi:type="xsd:string"&gt;United States&lt;/D&gt;&lt;D xsi:type="xsd:string"&gt;@NA&lt;/D&gt;&lt;D xsi:type="xsd:string"&gt;@NA&lt;/D&gt;&lt;D xsi:type="xsd:string"&gt;@NA&lt;/D&gt;&lt;D xsi:type="xsd:string"&gt;@NA&lt;/D&gt;&lt;/FQL&gt;&lt;FQL&gt;&lt;Q&gt;APPF-US^TRANSPOSE(TRANSPOSE(FF_GEOREV_COUNTRY_REV_PCT_MATRIX)[2:2])[0:4]&lt;/Q&gt;&lt;R&gt;5&lt;/R&gt;&lt;C&gt;1&lt;/C&gt;&lt;D xsi:type="xsd:string"&gt;100&lt;/D&gt;&lt;D xsi:type="xsd:string"&gt;@NA&lt;/D&gt;&lt;D xsi:type="xsd:string"&gt;@NA&lt;/D&gt;&lt;D xsi:type="xsd:string"&gt;@NA&lt;/D&gt;&lt;D xsi:type="xsd:string"&gt;@NA&lt;/D&gt;&lt;/FQL&gt;&lt;FQL&gt;&lt;Q&gt;APPF-US^TRANSPOSE(TRANSPOSE(FF_GEOREV_COUNTRY_REV_PCT_MATRIX)[1:1])[0:4]&lt;/Q&gt;&lt;R&gt;5&lt;/R&gt;&lt;C&gt;1&lt;/C&gt;&lt;D xsi:type="xsd:string"&gt;United States&lt;/D&gt;&lt;D xsi:type="xsd:string"&gt;@NA&lt;/D&gt;&lt;D xsi:type="xsd:string"&gt;@NA&lt;/D&gt;&lt;D xsi:type="xsd:string"&gt;@NA&lt;/D&gt;&lt;D xsi:type="xsd:string"&gt;@NA&lt;/D&gt;&lt;/FQL&gt;&lt;FQL&gt;&lt;Q&gt;PAYX-US^TRANSPOSE(TRANSPOSE(FF_GEOREV_COUNTRY_REV_PCT_MATRIX)[2:2])[0:4]&lt;/Q&gt;&lt;R&gt;5&lt;/R&gt;&lt;C&gt;1&lt;/C&gt;&lt;D xsi:type="xsd:string"&gt;99&lt;/D&gt;&lt;D xsi:type="xsd:string"&gt;0.138324&lt;/D&gt;&lt;D xsi:type="xsd:string"&gt;0.108219&lt;/D&gt;&lt;D xsi:type="xsd:string"&gt;0.093889&lt;/D&gt;&lt;D xsi:type="xsd:string"&gt;0.08707&lt;/D&gt;&lt;/FQL&gt;&lt;FQL&gt;&lt;Q&gt;PAYX-US^TRANSPOSE(TRANSPOSE(FF_GEOREV_COUNTRY_REV_PCT_MATRIX)[1:1])[0:4]&lt;/Q&gt;&lt;R&gt;5&lt;/R&gt;&lt;C&gt;1&lt;/C&gt;&lt;D xsi:type="xsd:string"&gt;United States&lt;/D&gt;&lt;D xsi:type="xsd:string"&gt;Germany&lt;/D&gt;&lt;D xsi:type="xsd:string"&gt;United Kingdom&lt;/D&gt;&lt;D xsi:type="xsd:string"&gt;France&lt;/D&gt;&lt;D xsi:type="xsd:string"&gt;Italy&lt;/D&gt;&lt;/FQL&gt;&lt;FQL&gt;&lt;Q&gt;SPSC-US^TRANSPOSE(TRANSPOSE(FF_GEOREV_COUNTRY_REV_PCT_MATRIX)[2:2])[0:4]&lt;/Q&gt;&lt;R&gt;5&lt;/R&gt;&lt;C&gt;1&lt;/C&gt;&lt;D xsi:type="xsd:string"&gt;84&lt;/D&gt;&lt;D xsi:type="xsd:string"&gt;3.685112&lt;/D&gt;&lt;D xsi:type="xsd:string"&gt;0.909183&lt;/D&gt;&lt;D xsi:type="xsd:string"&gt;0.802301&lt;/D&gt;&lt;D xsi:type="xsd:string"&gt;0.802189&lt;/D&gt;&lt;/FQL&gt;&lt;FQL&gt;&lt;Q&gt;SPSC-US^TRANSPOSE(TRANSPOSE(FF_GEOREV_COUNTRY_REV_PCT_MATRIX)[1:1])[0:4]&lt;/Q&gt;&lt;R&gt;5&lt;/R&gt;&lt;C&gt;1&lt;/C&gt;&lt;D xsi:type="xsd:string"&gt;United States&lt;/D&gt;&lt;D xsi:type="xsd:string"&gt;Mainland China&lt;/D&gt;&lt;D xsi:type="xsd:string"&gt;Germany&lt;/D&gt;&lt;D xsi:type="xsd:string"&gt;India&lt;/D&gt;&lt;D xsi:type="xsd:string"&gt;Japan&lt;/D&gt;&lt;/FQL&gt;&lt;FQL&gt;&lt;Q&gt;PANW-US^TRANSPOSE(TRANSPOSE(FF_GEOREV_COUNTRY_REV_PCT_MATRIX)[2:2])[0:4]&lt;/Q&gt;&lt;R&gt;5&lt;/R&gt;&lt;C&gt;1&lt;/C&gt;&lt;D xsi:type="xsd:string"&gt;62.746841&lt;/D&gt;&lt;D xsi:type="xsd:string"&gt;2.204016&lt;/D&gt;&lt;D xsi:type="xsd:string"&gt;1.861018&lt;/D&gt;&lt;D xsi:type="xsd:string"&gt;1.860757&lt;/D&gt;&lt;D xsi:type="xsd:string"&gt;1.814664&lt;/D&gt;&lt;/FQL&gt;&lt;FQL&gt;&lt;Q&gt;PANW-US^TRANSPOSE(TRANSPOSE(FF_GEOREV_COUNTRY_REV_PCT_MATRIX)[1:1])[0:4]&lt;/Q&gt;&lt;R&gt;5&lt;/R&gt;&lt;C&gt;1&lt;/C&gt;&lt;D xsi:type="xsd:string"&gt;United States&lt;/D&gt;&lt;D xsi:type="xsd:string"&gt;Mainland China&lt;/D&gt;&lt;D xsi:type="xsd:string"&gt;India&lt;/D&gt;&lt;D xsi:type="xsd:string"&gt;Japan&lt;/D&gt;&lt;D xsi:type="xsd:string"&gt;France&lt;/D&gt;&lt;/FQL&gt;&lt;FQL&gt;&lt;Q&gt;301269-CN^TRANSPOSE(TRANSPOSE(FF_GEOREV_COUNTRY_REV_PCT_MATRIX)[2:2])[0:4]&lt;/Q&gt;&lt;R&gt;5&lt;/R&gt;&lt;C&gt;1&lt;/C&gt;&lt;D xsi:type="xsd:string"&gt;95.275828&lt;/D&gt;&lt;D xsi:type="xsd:string"&gt;1.49081&lt;/D&gt;&lt;D xsi:type="xsd:string"&gt;0.237811&lt;/D&gt;&lt;D xsi:type="xsd:string"&gt;0.212914&lt;/D&gt;&lt;D xsi:type="xsd:string"&gt;0.20393&lt;/D&gt;&lt;/FQL&gt;&lt;FQL&gt;&lt;Q&gt;301269-CN^TRANSPOSE(TRANSPOSE(FF_GEOREV_COUNTRY_REV_PCT_MATRIX)[1:1])[0:4]&lt;/Q&gt;&lt;R&gt;5&lt;/R&gt;&lt;C&gt;1&lt;/C&gt;&lt;D xsi:type="xsd:string"&gt;Mainland China&lt;/D&gt;&lt;D xsi:type="xsd:string"&gt;United States&lt;/D&gt;&lt;D xsi:type="xsd:string"&gt;Germany&lt;/D&gt;&lt;D xsi:type="xsd:string"&gt;Japan&lt;/D&gt;&lt;D xsi:type="xsd:string"&gt;India&lt;/D&gt;&lt;/FQL&gt;&lt;FQL&gt;&lt;Q&gt;OS-US^TRANSPOSE(TRANSPOSE(FF_GEOREV_COUNTRY_REV_PCT_MATRIX)[2:2])[0:4]&lt;/Q&gt;&lt;R&gt;5&lt;/R&gt;&lt;C&gt;1&lt;/C&gt;&lt;D xsi:type="xsd:string"&gt;68.398286&lt;/D&gt;&lt;D xsi:type="xsd:string"&gt;7.234442&lt;/D&gt;&lt;D xsi:type="xsd:string"&gt;1.792193&lt;/D&gt;&lt;D xsi:type="xsd:string"&gt;1.604565&lt;/D&gt;&lt;D xsi:type="xsd:string"&gt;1.536861&lt;/D&gt;&lt;/FQL&gt;&lt;FQL&gt;&lt;Q&gt;OS-US^TRANSPOSE(TRANSPOSE(FF_GEOREV_COUNTRY_REV_PCT_MATRIX)[1:1])[0:4]&lt;/Q&gt;&lt;R&gt;5&lt;/R&gt;&lt;C&gt;1&lt;/C&gt;&lt;D xsi:type="xsd:string"&gt;United States&lt;/D&gt;&lt;D xsi:type="xsd:string"&gt;Mainland China&lt;/D&gt;&lt;D xsi:type="xsd:string"&gt;Germany&lt;/D&gt;&lt;D xsi:type="xsd:string"&gt;Japan&lt;/D&gt;&lt;D xsi:type="xsd:string"&gt;India&lt;/D&gt;&lt;/FQL&gt;&lt;FQL&gt;&lt;Q&gt;BSY-US^TRANSPOSE(TRANSPOSE(FF_GEOREV_COUNTRY_REV_PCT_MATRIX)[2:2])[0:4]&lt;/Q&gt;&lt;R&gt;5&lt;/R&gt;&lt;C&gt;1&lt;/C&gt;&lt;D xsi:type="xsd:string"&gt;41.51098&lt;/D&gt;&lt;D xsi:type="xsd:string"&gt;3.244601&lt;/D&gt;&lt;D xsi:type="xsd:string"&gt;2.892407&lt;/D&gt;&lt;D xsi:type="xsd:string"&gt;2.81783&lt;/D&gt;&lt;D xsi:type="xsd:string"&gt;2.770362&lt;/D&gt;&lt;/FQL&gt;&lt;FQL&gt;&lt;Q&gt;BSY-US^TRANSPOSE(TRANSPOSE(FF_GEOREV_COUNTRY_REV_PCT_MATRIX)[1:1])[0:4]&lt;/Q&gt;&lt;R&gt;5&lt;/R&gt;&lt;C&gt;1&lt;/C&gt;&lt;D xsi:type="xsd:string"&gt;United States&lt;/D&gt;&lt;D xsi:type="xsd:string"&gt;Mainland China&lt;/D&gt;&lt;D xsi:type="xsd:string"&gt;Japan&lt;/D&gt;&lt;D xsi:type="xsd:string"&gt;Brazil&lt;/D&gt;&lt;D xsi:type="xsd:string"&gt;India&lt;/D&gt;&lt;/FQL&gt;&lt;FQL&gt;&lt;Q&gt;4684-JP^TRANSPOSE(TRANSPOSE(FF_GEOREV_COUNTRY_REV_PCT_MATRIX)[2:2])[0:4]&lt;/Q&gt;&lt;R&gt;5&lt;/R&gt;&lt;C&gt;1&lt;/C&gt;&lt;D xsi:type="xsd:string"&gt;100&lt;/D&gt;&lt;D xsi:type="xsd:string"&gt;@NA&lt;/D&gt;&lt;D xsi:type="xsd:string"&gt;@NA&lt;/D&gt;&lt;D xsi:type="xsd:string"&gt;@NA&lt;/D&gt;&lt;D xsi:type="xsd:string"&gt;@NA&lt;/D&gt;&lt;/FQL&gt;&lt;FQL&gt;&lt;Q&gt;4684-JP^TRANSPOSE(TRANSPOSE(FF_GEOREV_COUNTRY_REV_PCT_MATRIX)[1:1])[0:4]&lt;/Q&gt;&lt;R&gt;5&lt;/R&gt;&lt;C&gt;1&lt;/C&gt;&lt;D xsi:type="xsd:string"&gt;Japan&lt;/D&gt;&lt;D xsi:type="xsd:string"&gt;@NA&lt;/D&gt;&lt;D xsi:type="xsd:string"&gt;@NA&lt;/D&gt;&lt;D xsi:type="xsd:string"&gt;@NA&lt;/D&gt;&lt;D xsi:type="xsd:string"&gt;@NA&lt;/D&gt;&lt;/FQL&gt;&lt;FQL&gt;&lt;Q&gt;NICE-US^TRANSPOSE(TRANSPOSE(FF_GEOREV_COUNTRY_REV_PCT_MATRIX)[2:2])[0:4]&lt;/Q&gt;&lt;R&gt;5&lt;/R&gt;&lt;C&gt;1&lt;/C&gt;&lt;D xsi:type="xsd:string"&gt;84.873606&lt;/D&gt;&lt;D xsi:type="xsd:string"&gt;1.337797&lt;/D&gt;&lt;D xsi:type="xsd:string"&gt;1.018481&lt;/D&gt;&lt;D xsi:type="xsd:string"&gt;0.912051&lt;/D&gt;&lt;D xsi:type="xsd:string"&gt;0.879189&lt;/D&gt;&lt;/FQL&gt;&lt;FQL&gt;&lt;Q&gt;NICE-US^TRANSPOSE(TRANSPOSE(FF_GEOREV_COUNTRY_REV_PCT_MATRIX)[1:1])[0:4]&lt;/Q&gt;&lt;R&gt;5&lt;/R&gt;&lt;C&gt;1&lt;/C&gt;&lt;D xsi:type="xsd:string"&gt;United States&lt;/D&gt;&lt;D xsi:type="xsd:string"&gt;Germany&lt;/D&gt;&lt;D xsi:type="xsd:string"&gt;United Kingdom&lt;/D&gt;&lt;D xsi:type="xsd:string"&gt;France&lt;/D&gt;&lt;D xsi:type="xsd:string"&gt;Mainland China&lt;/D&gt;&lt;/FQL&gt;&lt;FQL&gt;&lt;Q&gt;TOST-US^TRANSPOSE(TRANSPOSE(FF_GEOREV_COUNTRY_REV_PCT_MATRIX)[2:2])[0:4]&lt;/Q&gt;&lt;R&gt;5&lt;/R&gt;&lt;C&gt;1&lt;/C&gt;&lt;D xsi:type="xsd:string"&gt;100&lt;/D&gt;&lt;D xsi:type="xsd:string"&gt;@NA&lt;/D&gt;&lt;D xsi:type="xsd:string"&gt;@NA&lt;/D&gt;&lt;D xsi:type="xsd:string"&gt;@NA&lt;/D&gt;&lt;D xsi:type="xsd:string"&gt;@NA&lt;/D&gt;&lt;/FQL&gt;&lt;FQL&gt;&lt;Q&gt;TOST-US^TRANSPOSE(TRANSPOSE(FF_GEOREV_COUNTRY_REV_PCT_MATRIX)[1:1])[0:4]&lt;/Q&gt;&lt;R&gt;5&lt;/R&gt;&lt;C&gt;1&lt;/C&gt;&lt;D xsi:type="xsd:string"&gt;United States&lt;/D&gt;&lt;D xsi:type="xsd:string"&gt;@NA&lt;/D&gt;&lt;D xsi:type="xsd:string"&gt;@NA&lt;/D&gt;&lt;D xsi:type="xsd:string"&gt;@NA&lt;/D&gt;&lt;D xsi:type="xsd:string"&gt;@NA&lt;/D&gt;&lt;/FQL&gt;&lt;FQL&gt;&lt;Q&gt;DDOG-US^TRANSPOSE(TRANSPOSE(FF_GEOREV_COUNTRY_REV_PCT_MATRIX)[2:2])[0:4]&lt;/Q&gt;&lt;R&gt;5&lt;/R&gt;&lt;C&gt;1&lt;/C&gt;&lt;D xsi:type="xsd:string"&gt;67.703327&lt;/D&gt;&lt;D xsi:type="xsd:string"&gt;3.290861&lt;/D&gt;&lt;D xsi:type="xsd:string"&gt;3.065485&lt;/D&gt;&lt;D xsi:type="xsd:string"&gt;1.511766&lt;/D&gt;&lt;D xsi:type="xsd:string"&gt;1.41302&lt;/D&gt;&lt;/FQL&gt;&lt;FQL&gt;&lt;Q&gt;DDOG-US^TRANSPOSE(TRANSPOSE(FF_GEOREV_COUNTRY_REV_PCT_MATRIX)[1:1])[0:4]&lt;/Q&gt;&lt;R&gt;5&lt;/R&gt;&lt;C&gt;1&lt;/C&gt;&lt;D xsi:type="xsd:string"&gt;United States&lt;/D&gt;&lt;D xsi:type="xsd:string"&gt;Canada&lt;/D&gt;&lt;D xsi:type="xsd:string"&gt;Mainland China&lt;/D&gt;&lt;D xsi:type="xsd:string"&gt;France&lt;/D&gt;&lt;D xsi:type="xsd:string"&gt;Germany&lt;/D&gt;&lt;/FQL&gt;&lt;FQL&gt;&lt;Q&gt;VRNS-US^TRANSPOSE(TRANSPOSE(FF_GEOREV_COUNTRY_REV_PCT_MATRIX)[2:2])[0:4]&lt;/Q&gt;&lt;R&gt;5&lt;/R&gt;&lt;C&gt;1&lt;/C&gt;&lt;D xsi:type="xsd:string"&gt;70.640801&lt;/D&gt;&lt;D xsi:type="xsd:string"&gt;3.267138&lt;/D&gt;&lt;D xsi:type="xsd:string"&gt;1.869836&lt;/D&gt;&lt;D xsi:type="xsd:string"&gt;1.410753&lt;/D&gt;&lt;D xsi:type="xsd:string"&gt;1.209021&lt;/D&gt;&lt;/FQL&gt;&lt;FQL&gt;&lt;Q&gt;VRNS-US^TRANSPOSE(TRANSPOSE(FF_GEOREV_COUNTRY_REV_PCT_MATRIX)[1:1])[0:4]&lt;/Q&gt;&lt;R&gt;5&lt;/R&gt;&lt;C&gt;1&lt;/C&gt;&lt;D xsi:type="xsd:string"&gt;United States&lt;/D&gt;&lt;D xsi:type="xsd:string"&gt;Mainland China&lt;/D&gt;&lt;D xsi:type="xsd:string"&gt;France&lt;/D&gt;&lt;D xsi:type="xsd:string"&gt;Italy&lt;/D&gt;&lt;D xsi:type="xsd:string"&gt;Russian Federation&lt;/D&gt;&lt;/FQL&gt;&lt;FQL&gt;&lt;Q&gt;SAP-DE^TRANSPOSE(TRANSPOSE(FF_GEOREV_COUNTRY_REV_PCT_MATRIX)[2:2])[0:4]&lt;/Q&gt;&lt;R&gt;5&lt;/R&gt;&lt;C&gt;1&lt;/C&gt;&lt;D xsi:type="xsd:string"&gt;32.350187&lt;/D&gt;&lt;D xsi:type="xsd:string"&gt;15.683521&lt;/D&gt;&lt;D xsi:type="xsd:string"&gt;9.468815&lt;/D&gt;&lt;D xsi:type="xsd:string"&gt;8.479336&lt;/D&gt;&lt;D xsi:type="xsd:string"&gt;6.306737&lt;/D&gt;&lt;/FQL&gt;&lt;FQL&gt;&lt;Q&gt;SAP-DE^TRANSPOSE(TRANSPOSE(FF_GEOREV_COUNTRY_REV_PCT_MATRIX)[1:1])[0:4]&lt;/Q&gt;&lt;R&gt;5&lt;/R&gt;&lt;C&gt;1&lt;/C&gt;&lt;D xsi:type="xsd:string"&gt;United States&lt;/D&gt;&lt;D xsi:type="xsd:string"&gt;Germany&lt;/D&gt;&lt;D xsi:type="xsd:string"&gt;United Kingdom&lt;/D&gt;&lt;D xsi:type="xsd:string"&gt;France&lt;/D&gt;&lt;D xsi:type="xsd:string"&gt;Italy&lt;/D&gt;&lt;/FQL&gt;&lt;FQL&gt;&lt;Q&gt;DSY-FR^TRANSPOSE(TRANSPOSE(FF_GEOREV_COUNTRY_REV_PCT_MATRIX)[2:2])[0:4]&lt;/Q&gt;&lt;R&gt;5&lt;/R&gt;&lt;C&gt;1&lt;/C&gt;&lt;D xsi:type="xsd:string"&gt;37.19261&lt;/D&gt;&lt;D xsi:type="xsd:string"&gt;11.008111&lt;/D&gt;&lt;D xsi:type="xsd:string"&gt;8.194927&lt;/D&gt;&lt;D xsi:type="xsd:string"&gt;7.871443&lt;/D&gt;&lt;D xsi:type="xsd:string"&gt;7.821962&lt;/D&gt;&lt;/FQL&gt;&lt;FQL&gt;&lt;Q&gt;DSY-FR^TRANSPOSE(TRANSPOSE(FF_GEOREV_COUNTRY_REV_PCT_MATRIX)[1:1])[0:4]&lt;/Q&gt;&lt;R&gt;5&lt;/R&gt;&lt;C&gt;1&lt;/C&gt;&lt;D xsi:type="xsd:string"&gt;United States&lt;/D&gt;&lt;D xsi:type="xsd:string"&gt;France&lt;/D&gt;&lt;D xsi:type="xsd:string"&gt;Germany&lt;/D&gt;&lt;D xsi:type="xsd:string"&gt;Japan&lt;/D&gt;&lt;D xsi:type="xsd:string"&gt;Mainland China&lt;/D&gt;&lt;/FQL&gt;&lt;FQL&gt;&lt;Q&gt;PTC-US^TRANSPOSE(TRANSPOSE(FF_GEOREV_COUNTRY_REV_PCT_MATRIX)[2:2])[0:4]&lt;/Q&gt;&lt;R&gt;5&lt;/R&gt;&lt;C&gt;1&lt;/C&gt;&lt;D xsi:type="xsd:string"&gt;47.002329&lt;/D&gt;&lt;D xsi:type="xsd:string"&gt;13.463657&lt;/D&gt;&lt;D xsi:type="xsd:string"&gt;3.776241&lt;/D&gt;&lt;D xsi:type="xsd:string"&gt;3.158646&lt;/D&gt;&lt;D xsi:type="xsd:string"&gt;2.814659&lt;/D&gt;&lt;/FQL&gt;&lt;FQL&gt;&lt;Q&gt;PTC-US^TRANSPOSE(TRANSPOSE(FF_GEOREV_COUNTRY_REV_PCT_MATRIX)[1:1])[0:4]&lt;/Q&gt;&lt;R&gt;5&lt;/R&gt;&lt;C&gt;1&lt;/C&gt;&lt;D xsi:type="xsd:string"&gt;United States&lt;/D&gt;&lt;D xsi:type="xsd:string"&gt;Germany&lt;/D&gt;&lt;D xsi:type="xsd:string"&gt;United Kingdom&lt;/D&gt;&lt;D xsi:type="xsd:string"&gt;France&lt;/D&gt;&lt;D xsi:type="xsd:string"&gt;Mainland China&lt;/D&gt;&lt;/FQL&gt;&lt;FQL&gt;&lt;Q&gt;S-US^TRANSPOSE(TRANSPOSE(FF_GEOREV_COUNTRY_REV_PCT_MATRIX)[2:2])[0:4]&lt;/Q&gt;&lt;R&gt;5&lt;/R&gt;&lt;C&gt;1&lt;/C&gt;&lt;D xsi:type="xsd:string"&gt;63.293084&lt;/D&gt;&lt;D xsi:type="xsd:string"&gt;8.403154&lt;/D&gt;&lt;D xsi:type="xsd:string"&gt;2.081718&lt;/D&gt;&lt;D xsi:type="xsd:string"&gt;1.86378&lt;/D&gt;&lt;D xsi:type="xsd:string"&gt;1.785138&lt;/D&gt;&lt;/FQL&gt;&lt;FQL&gt;&lt;Q&gt;S-US^TRANSPOSE(TRANSPOSE(FF_GEOREV_COUNTRY_REV_PCT_MATRIX)[1:1])[0:4]&lt;/Q&gt;&lt;R&gt;5&lt;/R&gt;&lt;C&gt;1&lt;/C&gt;&lt;D xsi:type="xsd:string"&gt;United States&lt;/D&gt;&lt;D xsi:type="xsd:string"&gt;Mainland China&lt;/D&gt;&lt;D xsi:type="xsd:string"&gt;Germany&lt;/D&gt;&lt;D xsi:type="xsd:string"&gt;Japan&lt;/D&gt;&lt;D xsi:type="xsd:string"&gt;India&lt;/D&gt;&lt;/FQL&gt;&lt;FQL&gt;&lt;Q&gt;IOT-US^TRANSPOSE(TRANSPOSE(FF_GEOREV_COUNTRY_REV_PCT_MATRIX)[2:2])[0:4]&lt;/Q&gt;&lt;R&gt;5&lt;/R&gt;&lt;C&gt;1&lt;/C&gt;&lt;D xsi:type="xsd:string"&gt;86.654008&lt;/D&gt;&lt;D xsi:type="xsd:string"&gt;3.055239&lt;/D&gt;&lt;D xsi:type="xsd:string"&gt;0.756876&lt;/D&gt;&lt;D xsi:type="xsd:string"&gt;0.677638&lt;/D&gt;&lt;D xsi:type="xsd:string"&gt;0.649045&lt;/D&gt;&lt;/FQL&gt;&lt;FQL&gt;&lt;Q&gt;IOT-US^TRANSPOSE(TRANSPOSE(FF_GEOREV_COUNTRY_REV_PCT_MATRIX)[1:1])[0:4]&lt;/Q&gt;&lt;R&gt;5&lt;/R&gt;&lt;C&gt;1&lt;/C&gt;&lt;D xsi:type="xsd:string"&gt;United States&lt;/D&gt;&lt;D xsi:type="xsd:string"&gt;Mainland China&lt;/D&gt;&lt;D xsi:type="xsd:string"&gt;Germany&lt;/D&gt;&lt;D xsi:type="xsd:string"&gt;Japan&lt;/D&gt;&lt;D xsi:type="xsd:string"&gt;India&lt;/D&gt;&lt;/FQL&gt;&lt;FQL&gt;&lt;Q&gt;CDNS-US^TRANSPOSE(TRANSPOSE(FF_GEOREV_COUNTRY_REV_PCT_MATRIX)[2:2])[0:4]&lt;/Q&gt;&lt;R&gt;5&lt;/R&gt;&lt;C&gt;1&lt;/C&gt;&lt;D xsi:type="xsd:string"&gt;43.629793&lt;/D&gt;&lt;D xsi:type="xsd:string"&gt;12.526568&lt;/D&gt;&lt;D xsi:type="xsd:string"&gt;6.450605&lt;/D&gt;&lt;D xsi:type="xsd:string"&gt;6.404808&lt;/D&gt;&lt;D xsi:type="xsd:string"&gt;4.524312&lt;/D&gt;&lt;/FQL&gt;&lt;FQL&gt;&lt;Q&gt;CDNS-US^TRANSPOSE(TRANSPOSE(FF_GEOREV_COUNTRY_REV_PCT_MATRIX)[1:1])[0:4]&lt;/Q&gt;&lt;R&gt;5&lt;/R&gt;&lt;C&gt;1&lt;/C&gt;&lt;D xsi:type="xsd:string"&gt;United States&lt;/D&gt;&lt;D xsi:type="xsd:string"&gt;Mainland China&lt;/D&gt;&lt;D xsi:type="xsd:string"&gt;Japan&lt;/D&gt;&lt;D xsi:type="xsd:string"&gt;India&lt;/D&gt;&lt;D xsi:type="xsd:string"&gt;Republic of Korea (South Korea)&lt;/D&gt;&lt;/FQL&gt;&lt;FQL&gt;&lt;Q&gt;PCTY-US^TRANSPOSE(TRANSPOSE(FF_GEOREV_COUNTRY_REV_PCT_MATRIX)[2:2])[0:4]&lt;/Q&gt;&lt;R&gt;5&lt;/R&gt;&lt;C&gt;1&lt;/C&gt;&lt;D xsi:type="xsd:string"&gt;100&lt;/D&gt;&lt;D xsi:type="xsd:string"&gt;@NA&lt;/D&gt;&lt;D xsi:type="xsd:string"&gt;@NA&lt;/D&gt;&lt;D xsi:type="xsd:string"&gt;@NA&lt;/D&gt;&lt;D xsi:type="xsd:string"&gt;@NA&lt;/D&gt;&lt;/FQL&gt;&lt;FQL&gt;&lt;Q&gt;PCTY-US^TRANSPOSE(TRANSPOSE(FF_GEOREV_COUNTRY_REV_PCT_MATRIX)[1:1])[0:4]&lt;/Q&gt;&lt;R&gt;5&lt;/R&gt;&lt;C&gt;1&lt;/C&gt;&lt;D xsi:type="xsd:string"&gt;United States&lt;/D&gt;&lt;D xsi:type="xsd:string"&gt;@NA&lt;/D&gt;&lt;D xsi:type="xsd:string"&gt;@NA&lt;/D&gt;&lt;D xsi:type="xsd:string"&gt;@NA&lt;/D&gt;&lt;D xsi:type="xsd:string"&gt;@NA&lt;/D&gt;&lt;/FQL&gt;&lt;FQL&gt;&lt;Q&gt;PEGA-US^TRANSPOSE(TRANSPOSE(FF_GEOREV_COUNTRY_REV_PCT_MATRIX)[2:2])[0:4]&lt;/Q&gt;&lt;R&gt;5&lt;/R&gt;&lt;C&gt;1&lt;/C&gt;&lt;D xsi:type="xsd:string"&gt;54.776574&lt;/D&gt;&lt;D xsi:type="xsd:string"&gt;10.882787&lt;/D&gt;&lt;D xsi:type="xsd:string"&gt;2.262994&lt;/D&gt;&lt;D xsi:type="xsd:string"&gt;2.231789&lt;/D&gt;&lt;D xsi:type="xsd:string"&gt;1.910817&lt;/D&gt;&lt;/FQL&gt;&lt;FQL&gt;&lt;Q&gt;PEGA-US^TRANSPOSE(TRANSPOSE(FF_GEOREV_COUNTRY_REV_PCT_MATRIX)[1:1])[0:4]&lt;/Q&gt;&lt;R&gt;5&lt;/R&gt;&lt;C&gt;1&lt;/C&gt;&lt;D xsi:type="xsd:string"&gt;United States&lt;/D&gt;&lt;D xsi:type="xsd:string"&gt;United Kingdom&lt;/D&gt;&lt;D xsi:type="xsd:string"&gt;Mainland China&lt;/D&gt;&lt;D xsi:type="xsd:string"&gt;Germany&lt;/D&gt;&lt;D xsi:type="xsd:string"&gt;India&lt;/D&gt;&lt;/FQL&gt;&lt;FQL&gt;&lt;Q&gt;VEEV-US^TRANSPOSE(TRANSPOSE(FF_GEOREV_COUNTRY_REV_PCT_MATRIX)[2:2])[0:4]&lt;/Q&gt;&lt;R&gt;5&lt;/R&gt;&lt;C&gt;1&lt;/C&gt;&lt;D xsi:type="xsd:string"&gt;50.935499&lt;/D&gt;&lt;D xsi:type="xsd:string"&gt;8.107892&lt;/D&gt;&lt;D xsi:type="xsd:string"&gt;4.140751&lt;/D&gt;&lt;D xsi:type="xsd:string"&gt;3.152404&lt;/D&gt;&lt;D xsi:type="xsd:string"&gt;2.822982&lt;/D&gt;&lt;/FQL&gt;&lt;FQL&gt;&lt;Q&gt;VEEV-US^TRANSPOSE(TRANSPOSE(FF_GEOREV_COUNTRY_REV_PCT_MATRIX)[1:1])[0:4]&lt;/Q&gt;&lt;R&gt;5&lt;/R&gt;&lt;C&gt;1&lt;/C&gt;&lt;D xsi:type="xsd:string"&gt;United States&lt;/D&gt;&lt;D xsi:type="xsd:string"&gt;Canada&lt;/D&gt;&lt;D xsi:type="xsd:string"&gt;Germany&lt;/D&gt;&lt;D xsi:type="xsd:string"&gt;United Kingdom&lt;/D&gt;&lt;D xsi:type="xsd:string"&gt;France&lt;/D&gt;&lt;/FQL&gt;&lt;FQL&gt;&lt;Q&gt;ZS-US^TRANSPOSE(TRANSPOSE(FF_GEOREV_COUNTRY_REV_PCT_MATRIX)[2:2])[0:4]&lt;/Q&gt;&lt;R&gt;5&lt;/R&gt;&lt;C&gt;1&lt;/C&gt;&lt;D xsi:type="xsd:string"&gt;50.851722&lt;/D&gt;&lt;D xsi:type="xsd:string"&gt;2.932063&lt;/D&gt;&lt;D xsi:type="xsd:string"&gt;2.588473&lt;/D&gt;&lt;D xsi:type="xsd:string"&gt;2.475762&lt;/D&gt;&lt;D xsi:type="xsd:string"&gt;2.475416&lt;/D&gt;&lt;/FQL&gt;&lt;FQL&gt;&lt;Q&gt;ZS-US^TRANSPOSE(TRANSPOSE(FF_GEOREV_COUNTRY_REV_PCT_MATRIX)[1:1])[0:4]&lt;/Q&gt;&lt;R&gt;5&lt;/R&gt;&lt;C&gt;1&lt;/C&gt;&lt;D xsi:type="xsd:string"&gt;United States&lt;/D&gt;&lt;D xsi:type="xsd:string"&gt;Mainland China&lt;/D&gt;&lt;D xsi:type="xsd:string"&gt;France&lt;/D&gt;&lt;D xsi:type="xsd:string"&gt;India&lt;/D&gt;&lt;D xsi:type="xsd:string"&gt;Japan&lt;/D&gt;&lt;/FQL&gt;&lt;FQL&gt;&lt;Q&gt;INTA-US^TRANSPOSE(TRANSPOSE(FF_GEOREV_COUNTRY_REV_PCT_MATRIX)[2:2])[0:4]&lt;/Q&gt;&lt;R&gt;5&lt;/R&gt;&lt;C&gt;1&lt;/C&gt;&lt;D xsi:type="xsd:string"&gt;67.251844&lt;/D&gt;&lt;D xsi:type="xsd:string"&gt;15.688527&lt;/D&gt;&lt;D xsi:type="xsd:string"&gt;4.118527&lt;/D&gt;&lt;D xsi:type="xsd:string"&gt;1.016114&lt;/D&gt;&lt;D xsi:type="xsd:string"&gt;0.896662&lt;/D&gt;&lt;/FQL&gt;&lt;FQL&gt;&lt;Q&gt;INTA-US^TRANSPOSE(TRANSPOSE(FF_GEOREV_COUNTRY_REV_PCT_MATRIX)[1:1])[0:4]&lt;/Q&gt;&lt;R&gt;5&lt;/R&gt;&lt;C&gt;1&lt;/C&gt;&lt;D xsi:type="xsd:string"&gt;United States&lt;/D&gt;&lt;D xsi:type="xsd:string"&gt;United Kingdom&lt;/D&gt;&lt;D xsi:type="xsd:string"&gt;Mainland China&lt;/D&gt;&lt;D xsi:type="xsd:string"&gt;Germany&lt;/D&gt;&lt;D xsi:type="xsd:string"&gt;India&lt;/D&gt;&lt;/FQL&gt;&lt;FQL&gt;&lt;Q&gt;PCOR-US^TRANSPOSE(TRANSPOSE(FF_GEOREV_COUNTRY_REV_PCT_MATRIX)[2:2])[0:4]&lt;/Q&gt;&lt;R&gt;5&lt;/R&gt;&lt;C&gt;1&lt;/C&gt;&lt;D xsi:type="xsd:string"&gt;85.253293&lt;/D&gt;&lt;D xsi:type="xsd:string"&gt;3.375899&lt;/D&gt;&lt;D xsi:type="xsd:string"&gt;0.836314&lt;/D&gt;&lt;D xsi:type="xsd:string"&gt;0.748758&lt;/D&gt;&lt;D xsi:type="xsd:string"&gt;0.717165&lt;/D&gt;&lt;/FQL&gt;&lt;FQL&gt;&lt;Q&gt;PCOR-US^TRANSPOSE(TRANSPOSE(FF_GEOREV_COUNTRY_REV_PCT_MATRIX)[1:1])[0:4]&lt;/Q&gt;&lt;R&gt;5&lt;/R&gt;&lt;C&gt;1&lt;/C&gt;&lt;D xsi:type="xsd:string"&gt;United States&lt;/D&gt;&lt;D xsi:type="xsd:string"&gt;Mainland China&lt;/D&gt;&lt;D xsi:type="xsd:string"&gt;Germany&lt;/D&gt;&lt;D xsi:type="xsd:string"&gt;Japan&lt;/D&gt;&lt;D xsi:type="xsd:string"&gt;India&lt;/D&gt;&lt;/FQL&gt;&lt;FQL&gt;&lt;Q&gt;BL-US^TRANSPOSE(TRANSPOSE(FF_GEOREV_COUNTRY_REV_PCT_MATRIX)[2:2])[0:4]&lt;/Q&gt;&lt;R&gt;5&lt;/R&gt;&lt;C&gt;1&lt;/C&gt;&lt;D xsi:type="xsd:string"&gt;70.094867&lt;/D&gt;&lt;D xsi:type="xsd:string"&gt;6.846051&lt;/D&gt;&lt;D xsi:type="xsd:string"&gt;1.695977&lt;/D&gt;&lt;D xsi:type="xsd:string"&gt;1.518422&lt;/D&gt;&lt;D xsi:type="xsd:string"&gt;1.454352&lt;/D&gt;&lt;/FQL&gt;&lt;FQL&gt;&lt;Q&gt;BL-US^TRANSPOSE(TRANSPOSE(FF_GEOREV_COUNTRY_REV_PCT_MATRIX)[1:1])[0:4]&lt;/Q&gt;&lt;R&gt;5&lt;/R&gt;&lt;C&gt;1&lt;/C&gt;&lt;D xsi:type="xsd:string"&gt;United States&lt;/D&gt;&lt;D xsi:type="xsd:string"&gt;Mainland China&lt;/D&gt;&lt;D xsi:type="xsd:string"&gt;Germany&lt;/D&gt;&lt;D xsi:type="xsd:string"&gt;Japan&lt;/D&gt;&lt;D xsi:type="xsd:string"&gt;India&lt;/D&gt;&lt;/FQL&gt;&lt;FQL&gt;&lt;Q&gt;CRM-US^TRANSPOSE(TRANSPOSE(FF_GEOREV_COUNTRY_REV_PCT_MATRIX)[2:2])[0:4]&lt;/Q&gt;&lt;R&gt;5&lt;/R&gt;&lt;C&gt;1&lt;/C&gt;&lt;D xsi:type="xsd:string"&gt;61.704684&lt;/D&gt;&lt;D xsi:type="xsd:string"&gt;5.520619&lt;/D&gt;&lt;D xsi:type="xsd:string"&gt;5.080256&lt;/D&gt;&lt;D xsi:type="xsd:string"&gt;3.86766&lt;/D&gt;&lt;D xsi:type="xsd:string"&gt;3.463495&lt;/D&gt;&lt;/FQL&gt;&lt;FQL&gt;&lt;Q&gt;CRM-US^TRANSPOSE(TRANSPOSE(FF_GEOREV_COUNTRY_REV_PCT_MATRIX)[1:1])[0:4]&lt;/Q&gt;&lt;R&gt;5&lt;/R&gt;&lt;C&gt;1&lt;/C&gt;&lt;D xsi:type="xsd:string"&gt;United States&lt;/D&gt;&lt;D xsi:type="xsd:string"&gt;Mainland China&lt;/D&gt;&lt;D xsi:type="xsd:string"&gt;Germany&lt;/D&gt;&lt;D xsi:type="xsd:string"&gt;United Kingdom&lt;/D&gt;&lt;D xsi:type="xsd:string"&gt;France&lt;/D&gt;&lt;/FQL&gt;&lt;FQL&gt;&lt;Q&gt;PAYC-US^TRANSPOSE(TRANSPOSE(FF_GEOREV_COUNTRY_REV_PCT_MATRIX)[2:2])[0:4]&lt;/Q&gt;&lt;R&gt;5&lt;/R&gt;&lt;C&gt;1&lt;/C&gt;&lt;D xsi:type="xsd:string"&gt;100&lt;/D&gt;&lt;D xsi:type="xsd:string"&gt;@NA&lt;/D&gt;&lt;D xsi:type="xsd:string"&gt;@NA&lt;/D&gt;&lt;D xsi:type="xsd:string"&gt;@NA&lt;/D&gt;&lt;D xsi:type="xsd:string"&gt;@NA&lt;/D&gt;&lt;/FQL&gt;&lt;FQL&gt;&lt;Q&gt;PAYC-US^TRANSPOSE(TRANSPOSE(FF_GEOREV_COUNTRY_REV_PCT_MATRIX)[1:1])[0:4]&lt;/Q&gt;&lt;R&gt;5&lt;/R&gt;&lt;C&gt;1&lt;/C&gt;&lt;D xsi:type="xsd:string"&gt;United States&lt;/D&gt;&lt;D xsi:type="xsd:string"&gt;@NA&lt;/D&gt;&lt;D xsi:type="xsd:string"&gt;@NA&lt;/D&gt;&lt;D xsi:type="xsd:string"&gt;@NA&lt;/D&gt;&lt;D xsi:type="xsd:string"&gt;@NA&lt;/D&gt;&lt;/FQL&gt;&lt;FQL&gt;&lt;Q&gt;FTNT-US^TRANSPOSE(TRANSPOSE(FF_GEOREV_COUNTRY_REV_PCT_MATRIX)[2:2])[0:4]&lt;/Q&gt;&lt;R&gt;5&lt;/R&gt;&lt;C&gt;1&lt;/C&gt;&lt;D xsi:type="xsd:string"&gt;29.868364&lt;/D&gt;&lt;D xsi:type="xsd:string"&gt;3.325189&lt;/D&gt;&lt;D xsi:type="xsd:string"&gt;2.964247&lt;/D&gt;&lt;D xsi:type="xsd:string"&gt;2.845799&lt;/D&gt;&lt;D xsi:type="xsd:string"&gt;2.839171&lt;/D&gt;&lt;/FQL&gt;&lt;FQL&gt;&lt;Q&gt;FTNT-US^TRANSPOSE(TRANSPOSE(FF_GEOREV_COUNTRY_REV_PCT_MATRIX)[1:1])[0:4]&lt;/Q&gt;&lt;R&gt;5&lt;/R&gt;&lt;C&gt;1&lt;/C&gt;&lt;D xsi:type="xsd:string"&gt;United States&lt;/D&gt;&lt;D xsi:type="xsd:string"&gt;Mainland China&lt;/D&gt;&lt;D xsi:type="xsd:string"&gt;Japan&lt;/D&gt;&lt;D xsi:type="xsd:string"&gt;Germany&lt;/D&gt;&lt;D xsi:type="xsd:string"&gt;India&lt;/D&gt;&lt;/FQL&gt;&lt;FQL&gt;&lt;Q&gt;ESTC-US^TRANSPOSE(TRANSPOSE(FF_GEOREV_COUNTRY_REV_PCT_MATRIX)[2:2])[0:4]&lt;/Q&gt;&lt;R&gt;5&lt;/R&gt;&lt;C&gt;1&lt;/C&gt;&lt;D xsi:type="xsd:string"&gt;56.376205&lt;/D&gt;&lt;D xsi:type="xsd:string"&gt;10.020736&lt;/D&gt;&lt;D xsi:type="xsd:string"&gt;2.489963&lt;/D&gt;&lt;D xsi:type="xsd:string"&gt;2.151994&lt;/D&gt;&lt;D xsi:type="xsd:string"&gt;2.089397&lt;/D&gt;&lt;/FQL&gt;&lt;FQL&gt;&lt;Q&gt;ESTC-US^TRANSPOSE(TRANSPOSE(FF_GEOREV_COUNTRY_REV_PCT_MATRIX)[1:1])[0:4]&lt;/Q&gt;&lt;R&gt;5&lt;/R&gt;&lt;C&gt;1&lt;/C&gt;&lt;D xsi:type="xsd:string"&gt;United States&lt;/D&gt;&lt;D xsi:type="xsd:string"&gt;Mainland China&lt;/D&gt;&lt;D xsi:type="xsd:string"&gt;Germany&lt;/D&gt;&lt;D xsi:type="xsd:string"&gt;Japan&lt;/D&gt;&lt;D xsi:type="xsd:string"&gt;India&lt;/D&gt;&lt;/FQL&gt;&lt;FQL&gt;&lt;Q&gt;ADSK-US^TRANSPOSE(TRANSPOSE(FF_GEOREV_COUNTRY_REV_PCT_MATRIX)[2:2])[0:4]&lt;/Q&gt;&lt;R&gt;5&lt;/R&gt;&lt;C&gt;1&lt;/C&gt;&lt;D xsi:type="xsd:string"&gt;36.339912&lt;/D&gt;&lt;D xsi:type="xsd:string"&gt;3.202995&lt;/D&gt;&lt;D xsi:type="xsd:string"&gt;2.855317&lt;/D&gt;&lt;D xsi:type="xsd:string"&gt;2.734837&lt;/D&gt;&lt;D xsi:type="xsd:string"&gt;2.661568&lt;/D&gt;&lt;/FQL&gt;&lt;FQL&gt;&lt;Q&gt;ADSK-US^TRANSPOSE(TRANSPOSE(FF_GEOREV_COUNTRY_REV_PCT_MATRIX)[1:1])[0:4]&lt;/Q&gt;&lt;R&gt;5&lt;/R&gt;&lt;C&gt;1&lt;/C&gt;&lt;D xsi:type="xsd:string"&gt;United States&lt;/D&gt;&lt;D xsi:type="xsd:string"&gt;Mainland China&lt;/D&gt;&lt;D xsi:type="xsd:string"&gt;Japan&lt;/D&gt;&lt;D xsi:type="xsd:string"&gt;India&lt;/D&gt;&lt;D xsi:type="xsd:string"&gt;Germany&lt;/D&gt;&lt;/FQL&gt;&lt;FQL&gt;&lt;Q&gt;AVPT-US^TRANSPOSE(TRANSPOSE(FF_GEOREV_COUNTRY_REV_PCT_MATRIX)[2:2])[0:4]&lt;/Q&gt;&lt;R&gt;5&lt;/R&gt;&lt;C&gt;1&lt;/C&gt;&lt;D xsi:type="xsd:string"&gt;40.936572&lt;/D&gt;&lt;D xsi:type="xsd:string"&gt;13.045491&lt;/D&gt;&lt;D xsi:type="xsd:string"&gt;12.637602&lt;/D&gt;&lt;D xsi:type="xsd:string"&gt;8.161202&lt;/D&gt;&lt;D xsi:type="xsd:string"&gt;1.997248&lt;/D&gt;&lt;/FQL&gt;&lt;FQL&gt;&lt;Q&gt;AVPT-US^TRANSPOSE(TRANSPOSE(FF_GEOREV_COUNTRY_REV_PCT_MATRIX)[1:1])[0:4]&lt;/Q&gt;&lt;R&gt;5&lt;/R&gt;&lt;C&gt;1&lt;/C&gt;&lt;D xsi:type="xsd:string"&gt;United States&lt;/D&gt;&lt;D xsi:type="xsd:string"&gt;Singapore&lt;/D&gt;&lt;D xsi:type="xsd:string"&gt;Germany&lt;/D&gt;&lt;D xsi:type="xsd:string"&gt;Mainland China&lt;/D&gt;&lt;D xsi:type="xsd:string"&gt;United Kingdom&lt;/D&gt;&lt;/FQL&gt;&lt;FQL&gt;&lt;Q&gt;INTU-US^TRANSPOSE(TRANSPOSE(FF_GEOREV_COUNTRY_REV_PCT_MATRIX)[2:2])[0:4]&lt;/Q&gt;&lt;R&gt;5&lt;/R&gt;&lt;C&gt;1&lt;/C&gt;&lt;D xsi:type="xsd:string"&gt;92&lt;/D&gt;&lt;D xsi:type="xsd:string"&gt;1.842556&lt;/D&gt;&lt;D xsi:type="xsd:string"&gt;0.454591&lt;/D&gt;&lt;D xsi:type="xsd:string"&gt;0.401151&lt;/D&gt;&lt;D xsi:type="xsd:string"&gt;0.401095&lt;/D&gt;&lt;/FQL&gt;&lt;FQL&gt;&lt;Q&gt;INTU-US^TRANSPOSE(TRANSPOSE(FF_GEOREV_COUNTRY_REV_PCT_MATRIX)[1:1])[0:4]&lt;/Q&gt;&lt;R&gt;5&lt;/R&gt;&lt;C&gt;1&lt;/C&gt;&lt;D xsi:type="xsd:string"&gt;United States&lt;/D&gt;&lt;D xsi:type="xsd:string"&gt;Mainland China&lt;/D&gt;&lt;D xsi:type="xsd:string"&gt;Germany&lt;/D&gt;&lt;D xsi:type="xsd:string"&gt;India&lt;/D&gt;&lt;D xsi:type="xsd:string"&gt;Japan&lt;/D&gt;&lt;/FQL&gt;&lt;FQL&gt;&lt;Q&gt;PATH-US^TRANSPOSE(TRANSPOSE(FF_GEOREV_COUNTRY_REV_PCT_MATRIX)[2:2])[0:4]&lt;/Q&gt;&lt;R&gt;5&lt;/R&gt;&lt;C&gt;1&lt;/C&gt;&lt;D xsi:type="xsd:string"&gt;44&lt;/D&gt;&lt;D xsi:type="xsd:string"&gt;9&lt;/D&gt;&lt;D xsi:type="xsd:string"&gt;5.946985&lt;/D&gt;&lt;D xsi:type="xsd:string"&gt;2.264493&lt;/D&gt;&lt;D xsi:type="xsd:string"&gt;2.12734&lt;/D&gt;&lt;/FQL&gt;&lt;FQL&gt;&lt;Q&gt;PATH-US^TRANSPOSE(TRANSPOSE(FF_GEOREV_COUNTRY_REV_PCT_MATRIX)[1:1])[0:4]&lt;/Q&gt;&lt;R&gt;5&lt;/R&gt;&lt;C&gt;1&lt;/C&gt;&lt;D xsi:type="xsd:string"&gt;United States&lt;/D&gt;&lt;D xsi:type="xsd:string"&gt;Japan&lt;/D&gt;&lt;D xsi:type="xsd:string"&gt;Mainland China&lt;/D&gt;&lt;D xsi:type="xsd:string"&gt;Germany&lt;/D&gt;&lt;D xsi:type="xsd:string"&gt;Italy&lt;/D&gt;&lt;/FQL&gt;&lt;FQL&gt;&lt;Q&gt;WDAY-US^TRANSPOSE(TRANSPOSE(FF_GEOREV_COUNTRY_REV_PCT_MATRIX)[2:2])[0:4]&lt;/Q&gt;&lt;R&gt;5&lt;/R&gt;&lt;C&gt;1&lt;/C&gt;&lt;D xsi:type="xsd:string"&gt;74.9704&lt;/D&gt;&lt;D xsi:type="xsd:string"&gt;5.729917&lt;/D&gt;&lt;D xsi:type="xsd:string"&gt;1.419476&lt;/D&gt;&lt;D xsi:type="xsd:string"&gt;1.270869&lt;/D&gt;&lt;D xsi:type="xsd:string"&gt;1.217244&lt;/D&gt;&lt;/FQL&gt;&lt;FQL&gt;&lt;Q&gt;WDAY-US^TRANSPOSE(TRANSPOSE(FF_GEOREV_COUNTRY_REV_PCT_MATRIX)[1:1])[0:4]&lt;/Q&gt;&lt;R&gt;5&lt;/R&gt;&lt;C&gt;1&lt;/C&gt;&lt;D xsi:type="xsd:string"&gt;United States&lt;/D&gt;&lt;D xsi:type="xsd:string"&gt;Mainland China&lt;/D&gt;&lt;D xsi:type="xsd:string"&gt;Germany&lt;/D&gt;&lt;D xsi:type="xsd:string"&gt;Japan&lt;/D&gt;&lt;D xsi:type="xsd:string"&gt;India&lt;/D&gt;&lt;/FQL&gt;&lt;FQL&gt;&lt;Q&gt;CVLT-US^TRANSPOSE(TRANSPOSE(FF_GEOREV_COUNTRY_REV_PCT_MATRIX)[2:2])[0:4]&lt;/Q&gt;&lt;R&gt;5&lt;/R&gt;&lt;C&gt;1&lt;/C&gt;&lt;D xsi:type="xsd:string"&gt;53.687606&lt;/D&gt;&lt;D xsi:type="xsd:string"&gt;11.304324&lt;/D&gt;&lt;D xsi:type="xsd:string"&gt;2.800427&lt;/D&gt;&lt;D xsi:type="xsd:string"&gt;2.401453&lt;/D&gt;&lt;D xsi:type="xsd:string"&gt;2.131999&lt;/D&gt;&lt;/FQL&gt;&lt;FQL&gt;&lt;Q&gt;CVLT-US^TRANSPOSE(TRANSPOSE(FF_GEOREV_COUNTRY_REV_PCT_MATRIX)[1:1])[0:4]&lt;/Q&gt;&lt;R&gt;5&lt;/R&gt;&lt;C&gt;1&lt;/C&gt;&lt;D xsi:type="xsd:string"&gt;United States&lt;/D&gt;&lt;D xsi:type="xsd:string"&gt;Mainland China&lt;/D&gt;&lt;D xsi:type="xsd:string"&gt;Germany&lt;/D&gt;&lt;D xsi:type="xsd:string"&gt;India&lt;/D&gt;&lt;D xsi:type="xsd:string"&gt;United Kingdom&lt;/D&gt;&lt;/FQL&gt;&lt;FQL&gt;&lt;Q&gt;DOCU-US^TRANSPOSE(TRANSPOSE(FF_GEOREV_COUNTRY_REV_PCT_MATRIX)[2:2])[0:4]&lt;/Q&gt;&lt;R&gt;5&lt;/R&gt;&lt;C&gt;1&lt;/C&gt;&lt;D xsi:type="xsd:string"&gt;@NA&lt;/D&gt;&lt;D xsi:type="xsd:string"&gt;@NA&lt;/D&gt;&lt;D xsi:type="xsd:string"&gt;@NA&lt;/D&gt;&lt;D xsi:type="xsd:string"&gt;@NA&lt;/D&gt;&lt;D xsi:type="xsd:string"&gt;@NA&lt;/D&gt;&lt;/FQL&gt;&lt;FQL&gt;&lt;Q&gt;DOCU-US^TRANSPOSE(TRANSPOSE(FF_GEOREV_COUNTRY_REV_PCT_MATRIX)[1:1])[0:4]&lt;/Q&gt;&lt;R&gt;5&lt;/R&gt;&lt;C&gt;1&lt;/C&gt;&lt;D xsi:type="xsd:string"&gt;@NA&lt;/D&gt;&lt;D xsi:type="xsd:string"&gt;@NA&lt;/D&gt;&lt;D xsi:type="xsd:string"&gt;@NA&lt;/D&gt;&lt;D xsi:type="xsd:string"&gt;@NA&lt;/D&gt;&lt;D xsi:type="xsd:string"&gt;@NA&lt;/D&gt;&lt;/FQL&gt;&lt;FQL&gt;&lt;Q&gt;FICO-US^TRANSPOSE(TRANSPOSE(FF_GEOREV_COUNTRY_REV_PCT_MATRIX)[2:2])[0:4]&lt;/Q&gt;&lt;R&gt;5&lt;/R&gt;&lt;C&gt;1&lt;/C&gt;&lt;D xsi:type="xsd:string"&gt;77&lt;/D&gt;&lt;D xsi:type="xsd:string"&gt;2.431836&lt;/D&gt;&lt;D xsi:type="xsd:string"&gt;2.323231&lt;/D&gt;&lt;D xsi:type="xsd:string"&gt;1.849704&lt;/D&gt;&lt;D xsi:type="xsd:string"&gt;0.916663&lt;/D&gt;&lt;/FQL&gt;&lt;FQL&gt;&lt;Q&gt;FICO-US^TRANSPOSE(TRANSPOSE(FF_GEOREV_COUNTRY_REV_PCT_MATRIX)[1:1])[0:4]&lt;/Q&gt;&lt;R&gt;5&lt;/R&gt;&lt;C&gt;1&lt;/C&gt;&lt;D xsi:type="xsd:string"&gt;United States&lt;/D&gt;&lt;D xsi:type="xsd:string"&gt;Canada&lt;/D&gt;&lt;D xsi:type="xsd:string"&gt;Brazil&lt;/D&gt;&lt;D xsi:type="xsd:string"&gt;Mexico&lt;/D&gt;&lt;D xsi:type="xsd:string"&gt;Mainland China&lt;/D&gt;&lt;/FQL&gt;&lt;FQL&gt;&lt;Q&gt;TENB-US^TRANSPOSE(TRANSPOSE(FF_GEOREV_COUNTRY_REV_PCT_MATRIX)[2:2])[0:4]&lt;/Q&gt;&lt;R&gt;5&lt;/R&gt;&lt;C&gt;1&lt;/C&gt;&lt;D xsi:type="xsd:string"&gt;54&lt;/D&gt;&lt;D xsi:type="xsd:string"&gt;2.012783&lt;/D&gt;&lt;D xsi:type="xsd:string"&gt;1.96535&lt;/D&gt;&lt;D xsi:type="xsd:string"&gt;1.890147&lt;/D&gt;&lt;D xsi:type="xsd:string"&gt;1.88413&lt;/D&gt;&lt;/FQL&gt;&lt;FQL&gt;&lt;Q&gt;TENB-US^TRANSPOSE(TRANSPOSE(FF_GEOREV_COUNTRY_REV_PCT_MATRIX)[1:1])[0:4]&lt;/Q&gt;&lt;R&gt;5&lt;/R&gt;&lt;C&gt;1&lt;/C&gt;&lt;D xsi:type="xsd:string"&gt;United States&lt;/D&gt;&lt;D xsi:type="xsd:string"&gt;Mainland China&lt;/D&gt;&lt;D xsi:type="xsd:string"&gt;Brazil&lt;/D&gt;&lt;D xsi:type="xsd:string"&gt;Canada&lt;/D&gt;&lt;D xsi:type="xsd:string"&gt;Germany&lt;/D&gt;&lt;/FQL&gt;&lt;FQL&gt;&lt;Q&gt;NOW-US^TRANSPOSE(TRANSPOSE(FF_GEOREV_COUNTRY_REV_PCT_MATRIX)[2:2])[0:4]&lt;/Q&gt;&lt;R&gt;5&lt;/R&gt;&lt;C&gt;1&lt;/C&gt;&lt;D xsi:type="xsd:string"&gt;59.098659&lt;/D&gt;&lt;D xsi:type="xsd:string"&gt;3.772255&lt;/D&gt;&lt;D xsi:type="xsd:string"&gt;2.995982&lt;/D&gt;&lt;D xsi:type="xsd:string"&gt;2.236076&lt;/D&gt;&lt;D xsi:type="xsd:string"&gt;1.687075&lt;/D&gt;&lt;/FQL&gt;&lt;FQL&gt;&lt;Q&gt;NOW-US^TRANSPOSE(TRANSPOSE(FF_GEOREV_COUNTRY_REV_PCT_MATRIX)[1:1])[0:4]&lt;/Q&gt;&lt;R&gt;5&lt;/R&gt;&lt;C&gt;1&lt;/C&gt;&lt;D xsi:type="xsd:string"&gt;United States&lt;/D&gt;&lt;D xsi:type="xsd:string"&gt;Canada&lt;/D&gt;&lt;D xsi:type="xsd:string"&gt;Mainland China&lt;/D&gt;&lt;D xsi:type="xsd:string"&gt;France&lt;/D&gt;&lt;D xsi:type="xsd:string"&gt;Italy&lt;/D&gt;&lt;/FQL&gt;&lt;FQL&gt;&lt;Q&gt;DT-US^TRANSPOSE(TRANSPOSE(FF_GEOREV_COUNTRY_REV_PCT_MATRIX)[2:2])[0:4]&lt;/Q&gt;&lt;R&gt;5&lt;/R&gt;&lt;C&gt;1&lt;/C&gt;&lt;D xsi:type="xsd:string"&gt;58.115611&lt;/D&gt;&lt;D xsi:type="xsd:string"&gt;2.911903&lt;/D&gt;&lt;D xsi:type="xsd:string"&gt;2.807108&lt;/D&gt;&lt;D xsi:type="xsd:string"&gt;2.096321&lt;/D&gt;&lt;D xsi:type="xsd:string"&gt;2.092057&lt;/D&gt;&lt;/FQL&gt;&lt;FQL&gt;&lt;Q&gt;DT-US^TRANSPOSE(TRANSPOSE(FF_GEOREV_COUNTRY_REV_PCT_MATRIX)[1:1])[0:4]&lt;/Q&gt;&lt;R&gt;5&lt;/R&gt;&lt;C&gt;1&lt;/C&gt;&lt;D xsi:type="xsd:string"&gt;United States&lt;/D&gt;&lt;D xsi:type="xsd:string"&gt;Canada&lt;/D&gt;&lt;D xsi:type="xsd:string"&gt;Mainland China&lt;/D&gt;&lt;D xsi:type="xsd:string"&gt;Germany&lt;/D&gt;&lt;D xsi:type="xsd:string"&gt;United Kingdom&lt;/D&gt;&lt;/FQL&gt;&lt;FQL&gt;&lt;Q&gt;PLTR-US^TRANSPOSE(TRANSPOSE(FF_GEOREV_COUNTRY_REV_PCT_MATRIX)[2:2])[0:4]&lt;/Q&gt;&lt;R&gt;5&lt;/R&gt;&lt;C&gt;1&lt;/C&gt;&lt;D xsi:type="xsd:string"&gt;74.183511&lt;/D&gt;&lt;D xsi:type="xsd:string"&gt;9.549842&lt;/D&gt;&lt;D xsi:type="xsd:string"&gt;1.27723&lt;/D&gt;&lt;D xsi:type="xsd:string"&gt;1.127082&lt;/D&gt;&lt;D xsi:type="xsd:string"&gt;1.126925&lt;/D&gt;&lt;/FQL&gt;&lt;FQL&gt;&lt;Q&gt;PLTR-US^TRANSPOSE(TRANSPOSE(FF_GEOREV_COUNTRY_REV_PCT_MATRIX)[1:1])[0:4]&lt;/Q&gt;&lt;R&gt;5&lt;/R&gt;&lt;C&gt;1&lt;/C&gt;&lt;D xsi:type="xsd:string"&gt;United States&lt;/D&gt;&lt;D xsi:type="xsd:string"&gt;United Kingdom&lt;/D&gt;&lt;D xsi:type="xsd:string"&gt;Germany&lt;/D&gt;&lt;D xsi:type="xsd:string"&gt;India&lt;/D&gt;&lt;D xsi:type="xsd:string"&gt;Japan&lt;/D&gt;&lt;/FQL&gt;&lt;FQL&gt;&lt;Q&gt;WK-US^TRANSPOSE(TRANSPOSE(FF_GEOREV_COUNTRY_REV_PCT_MATRIX)[2:2])[0:4]&lt;/Q&gt;&lt;R&gt;5&lt;/R&gt;&lt;C&gt;1&lt;/C&gt;&lt;D xsi:type="xsd:string"&gt;73.301205&lt;/D&gt;&lt;D xsi:type="xsd:string"&gt;6.149253&lt;/D&gt;&lt;D xsi:type="xsd:string"&gt;1.51713&lt;/D&gt;&lt;D xsi:type="xsd:string"&gt;1.33878&lt;/D&gt;&lt;D xsi:type="xsd:string"&gt;1.338593&lt;/D&gt;&lt;/FQL&gt;&lt;FQL&gt;&lt;Q&gt;WK-US^TRANSPOSE(TRANSPOSE(FF_GEOREV_COUNTRY_REV_PCT_MATRIX)[1:1])[0:4]&lt;/Q&gt;&lt;R&gt;5&lt;/R&gt;&lt;C&gt;1&lt;/C&gt;&lt;D xsi:type="xsd:string"&gt;United States&lt;/D&gt;&lt;D xsi:type="xsd:string"&gt;Mainland China&lt;/D&gt;&lt;D xsi:type="xsd:string"&gt;Germany&lt;/D&gt;&lt;D xsi:type="xsd:string"&gt;India&lt;/D&gt;&lt;D xsi:type="xsd:string"&gt;Japan&lt;/D&gt;&lt;/FQL&gt;&lt;FQL&gt;&lt;Q&gt;QLYS-US^TRANSPOSE(TRANSPOSE(FF_GEOREV_COUNTRY_REV_PCT_MATRIX)[2:2])[0:4]&lt;/Q&gt;&lt;R&gt;5&lt;/R&gt;&lt;C&gt;1&lt;/C&gt;&lt;D xsi:type="xsd:string"&gt;56.412479&lt;/D&gt;&lt;D xsi:type="xsd:string"&gt;10.039055&lt;/D&gt;&lt;D xsi:type="xsd:string"&gt;2.476814&lt;/D&gt;&lt;D xsi:type="xsd:string"&gt;2.185646&lt;/D&gt;&lt;D xsi:type="xsd:string"&gt;2.18534&lt;/D&gt;&lt;/FQL&gt;&lt;FQL&gt;&lt;Q&gt;QLYS-US^TRANSPOSE(TRANSPOSE(FF_GEOREV_COUNTRY_REV_PCT_MATRIX)[1:1])[0:4]&lt;/Q&gt;&lt;R&gt;5&lt;/R&gt;&lt;C&gt;1&lt;/C&gt;&lt;D xsi:type="xsd:string"&gt;United States&lt;/D&gt;&lt;D xsi:type="xsd:string"&gt;Mainland China&lt;/D&gt;&lt;D xsi:type="xsd:string"&gt;Germany&lt;/D&gt;&lt;D xsi:type="xsd:string"&gt;India&lt;/D&gt;&lt;D xsi:type="xsd:string"&gt;Japan&lt;/D&gt;&lt;/FQL&gt;&lt;FQL&gt;&lt;Q&gt;APP-US^TRANSPOSE(TRANSPOSE(FF_GEOREV_COUNTRY_REV_PCT_MATRIX)[2:2])[0:4]&lt;/Q&gt;&lt;R&gt;5&lt;/R&gt;&lt;C&gt;1&lt;/C&gt;&lt;D xsi:type="xsd:string"&gt;51.585367&lt;/D&gt;&lt;D xsi:type="xsd:string"&gt;11.150833&lt;/D&gt;&lt;D xsi:type="xsd:string"&gt;2.751109&lt;/D&gt;&lt;D xsi:type="xsd:string"&gt;2.427696&lt;/D&gt;&lt;D xsi:type="xsd:string"&gt;2.427356&lt;/D&gt;&lt;/FQL&gt;&lt;FQL&gt;&lt;Q&gt;APP-US^TRANSPOSE(TRANSPOSE(FF_GEOREV_COUNTRY_REV_PCT_MATRIX)[1:1])[0:4]&lt;/Q&gt;&lt;R&gt;5&lt;/R&gt;&lt;C&gt;1&lt;/C&gt;&lt;D xsi:type="xsd:string"&gt;United States&lt;/D&gt;&lt;D xsi:type="xsd:string"&gt;Mainland China&lt;/D&gt;&lt;D xsi:type="xsd:string"&gt;Germany&lt;/D&gt;&lt;D xsi:type="xsd:string"&gt;India&lt;/D&gt;&lt;D xsi:type="xsd:string"&gt;Japan&lt;/D&gt;&lt;/FQL&gt;&lt;FQL&gt;&lt;Q&gt;NTNX-US^TRANSPOSE(TRANSPOSE(FF_GEOREV_COUNTRY_REV_PCT_MATRIX)[2:2])[0:4]&lt;/Q&gt;&lt;R&gt;5&lt;/R&gt;&lt;C&gt;1&lt;/C&gt;&lt;D xsi:type="xsd:string"&gt;55.532212&lt;/D&gt;&lt;D xsi:type="xsd:string"&gt;2.861865&lt;/D&gt;&lt;D xsi:type="xsd:string"&gt;2.416489&lt;/D&gt;&lt;D xsi:type="xsd:string"&gt;2.416151&lt;/D&gt;&lt;D xsi:type="xsd:string"&gt;2.357529&lt;/D&gt;&lt;/FQL&gt;&lt;FQL&gt;&lt;Q&gt;NTNX-US^TRANSPOSE(TRANSPOSE(FF_GEOREV_COUNTRY_REV_PCT_MATRIX)[1:1])[0:4]&lt;/Q&gt;&lt;R&gt;5&lt;/R&gt;&lt;C&gt;1&lt;/C&gt;&lt;D xsi:type="xsd:string"&gt;United States&lt;/D&gt;&lt;D xsi:type="xsd:string"&gt;Mainland China&lt;/D&gt;&lt;D xsi:type="xsd:string"&gt;India&lt;/D&gt;&lt;D xsi:type="xsd:string"&gt;Japan&lt;/D&gt;&lt;D xsi:type="xsd:string"&gt;France&lt;/D&gt;&lt;/FQL&gt;&lt;FQL&gt;&lt;Q&gt;HUBS-US^TRANSPOSE(TRANSPOSE(FF_GEOREV_COUNTRY_REV_PCT_MATRIX)[2:2])[0:4]&lt;/Q&gt;&lt;R&gt;5&lt;/R&gt;&lt;C&gt;1&lt;/C&gt;&lt;D xsi:type="xsd:string"&gt;57.398004&lt;/D&gt;&lt;D xsi:type="xsd:string"&gt;16.143119&lt;/D&gt;&lt;D xsi:type="xsd:string"&gt;3.520623&lt;/D&gt;&lt;D xsi:type="xsd:string"&gt;2.848654&lt;/D&gt;&lt;D xsi:type="xsd:string"&gt;2.502672&lt;/D&gt;&lt;/FQL&gt;&lt;FQL&gt;&lt;Q&gt;HUBS-US^TRANSPOSE(TRANSPOSE(FF_GEOREV_COUNTRY_REV_PCT_MATRIX)[1:1])[0:4]&lt;/Q&gt;&lt;R&gt;5&lt;/R&gt;&lt;C&gt;1&lt;/C&gt;&lt;D xsi:type="xsd:string"&gt;United States&lt;/D&gt;&lt;D xsi:type="xsd:string"&gt;Ireland&lt;/D&gt;&lt;D xsi:type="xsd:string"&gt;Germany&lt;/D&gt;&lt;D xsi:type="xsd:string"&gt;United Kingdom&lt;/D&gt;&lt;D xsi:type="xsd:string"&gt;India&lt;/D&gt;&lt;/FQL&gt;&lt;FQL&gt;&lt;Q&gt;^TRANSPOSE(TRANSPOSE(FF_GEOREV_COUNTRY_REV_PCT_MATRIX)[2:2])[0:4]&lt;/Q&gt;&lt;R&gt;5&lt;/R&gt;&lt;C&gt;1&lt;/C&gt;&lt;D xsi:type="xsd:string"&gt;@NA&lt;/D&gt;&lt;D xsi:type="xsd:string"&gt;@NA&lt;/D&gt;&lt;D xsi:type="xsd:string"&gt;@NA&lt;/D&gt;&lt;D xsi:type="xsd:string"&gt;@NA&lt;/D&gt;&lt;D xsi:type="xsd:string"&gt;@NA&lt;/D&gt;&lt;/FQL&gt;&lt;FQL&gt;&lt;Q&gt;^TRANSPOSE(TRANSPOSE(FF_GEOREV_COUNTRY_REV_PCT_MATRIX)[1:1])[0:4]&lt;/Q&gt;&lt;R&gt;5&lt;/R&gt;&lt;C&gt;1&lt;/C&gt;&lt;D xsi:type="xsd:string"&gt;@NA&lt;/D&gt;&lt;D xsi:type="xsd:string"&gt;@NA&lt;/D&gt;&lt;D xsi:type="xsd:string"&gt;@NA&lt;/D&gt;&lt;D xsi:type="xsd:string"&gt;@NA&lt;/D&gt;&lt;D xsi:type="xsd:string"&gt;@NA&lt;/D&gt;&lt;/FQL&gt;&lt;/Schema&gt;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<sst xmlns="http://schemas.openxmlformats.org/spreadsheetml/2006/main" count="352" uniqueCount="317">
  <si>
    <t>STEP 4 — Universe Reconciliation  |  FactSet vs External Research</t>
  </si>
  <si>
    <t>Compare FactSet universe (from Component A) against names surfaced by AlphaSense, Grok/X and Deep Research. Claude makes ADD / EXCLUDE / CONFIRM recommendations. Analyst approves before Tab 5 scoring.</t>
  </si>
  <si>
    <t>TICKER</t>
  </si>
  <si>
    <t>COMPANY NAME</t>
  </si>
  <si>
    <t>RBICS L5</t>
  </si>
  <si>
    <t>FACTSET</t>
  </si>
  <si>
    <t>ALPHASENSE</t>
  </si>
  <si>
    <t>GROK/X</t>
  </si>
  <si>
    <t>DEEP RESEARCH</t>
  </si>
  <si>
    <t>RECOMMENDATION</t>
  </si>
  <si>
    <t>RATIONALE / NOTES</t>
  </si>
  <si>
    <t>Paste FactSet Component A tickers here. Mark each external source with ✓ if name appears. Recommendation: CONFIRM (in FactSet + external) | ADD (external only, passes criteria) | EXCLUDE (FactSet only, Claude recommends remove) | REVIEW (conflicting signals).</t>
  </si>
  <si>
    <t>Full RBICS-screened universe — all names passing L5 filter and liquidity floor. Not pre-filtered. Composite Score (col BF) = Claude weighted score. Sort by Score descending before IC presentation.</t>
  </si>
  <si>
    <t>RANK / ID</t>
  </si>
  <si>
    <t>IDENTIFICATION</t>
  </si>
  <si>
    <t>LIQUIDITY</t>
  </si>
  <si>
    <t>FUNDAMENTAL QUALITY</t>
  </si>
  <si>
    <t>VALUATION</t>
  </si>
  <si>
    <t>MOMENTUM</t>
  </si>
  <si>
    <t>SCORING — PERCENTILE RANKS (0–100)</t>
  </si>
  <si>
    <t>FINAL SCORE</t>
  </si>
  <si>
    <t>RANK</t>
  </si>
  <si>
    <t>COMPANY
NAME</t>
  </si>
  <si>
    <t>RBICS L5
NAME</t>
  </si>
  <si>
    <t>COUNTRY</t>
  </si>
  <si>
    <t>MKT CAP
(USD mm)</t>
  </si>
  <si>
    <t>ADV 30D
(USD mm)</t>
  </si>
  <si>
    <t>FLOAT
(%)</t>
  </si>
  <si>
    <t>REVENUE ANNUAL</t>
  </si>
  <si>
    <t>EPS 
ANNUAL</t>
  </si>
  <si>
    <t>SALES CAGR
NEXT 2Y</t>
  </si>
  <si>
    <t>EPS CAGR 
NEXT 2Y</t>
  </si>
  <si>
    <t>GROSS MARGIN
LTM</t>
  </si>
  <si>
    <t>EBITDA MARGIN
LTM</t>
  </si>
  <si>
    <t>NET PROFIT MARGIN
LTM</t>
  </si>
  <si>
    <t>NET DEBT/EBITDA
NTM</t>
  </si>
  <si>
    <t>FCF YIELD
NTM</t>
  </si>
  <si>
    <t>DIVIDEND YIELD
NTM</t>
  </si>
  <si>
    <t>ROE
NTM</t>
  </si>
  <si>
    <t>ROIC
NTM</t>
  </si>
  <si>
    <t>RULE
OF 40</t>
  </si>
  <si>
    <t>P/E
NTM</t>
  </si>
  <si>
    <t>P/S 
NTM</t>
  </si>
  <si>
    <t>EV/SALES
NTM</t>
  </si>
  <si>
    <t>EV/EBITDA
NTM</t>
  </si>
  <si>
    <t>P/E NTM
CHANGE 52W</t>
  </si>
  <si>
    <t>EV/EBITDA NTM
CHANGE 52W</t>
  </si>
  <si>
    <t>PRICE VS 52W HIGH</t>
  </si>
  <si>
    <t>TGT PRICE UPSIDE</t>
  </si>
  <si>
    <t>PRICE VS 50 DAY MA</t>
  </si>
  <si>
    <t>PRICE VS 100 DAY MA</t>
  </si>
  <si>
    <t>PRICE VS 200 DAY MA</t>
  </si>
  <si>
    <t>ANALYST RATING</t>
  </si>
  <si>
    <t>REVENUE
SCORE</t>
  </si>
  <si>
    <t>EPS
SCORE</t>
  </si>
  <si>
    <t>SALES GR
SCORE</t>
  </si>
  <si>
    <t>EPS GR
SCORE</t>
  </si>
  <si>
    <t>GROSS MG
SCORE</t>
  </si>
  <si>
    <t>EBITDA MG
SCORE</t>
  </si>
  <si>
    <t>NET MG
SCORE</t>
  </si>
  <si>
    <t>ND/EBITDA
SCORE</t>
  </si>
  <si>
    <t>FCF YLD
SCORE</t>
  </si>
  <si>
    <t>DIV YLD
SCORE</t>
  </si>
  <si>
    <t>ROE
SCORE</t>
  </si>
  <si>
    <t>ROIC
SCORE</t>
  </si>
  <si>
    <t>RULE 40
SCORE</t>
  </si>
  <si>
    <t>P/E
SCORE</t>
  </si>
  <si>
    <t>P/S
SCORE</t>
  </si>
  <si>
    <t>EV/SALES
SCORE</t>
  </si>
  <si>
    <t>EV/EBITDA
SCORE</t>
  </si>
  <si>
    <t>P/E NTM
CHANGE 52W2</t>
  </si>
  <si>
    <t>EV/EBITDA NTM
CHANGE 52W3</t>
  </si>
  <si>
    <t>52W HIGH
SCORE</t>
  </si>
  <si>
    <t>TGT UPSD
SCORE</t>
  </si>
  <si>
    <t>VS 50D MA
SCORE</t>
  </si>
  <si>
    <t>VS 100D MA
SCORE</t>
  </si>
  <si>
    <t>VS 200D MA
SCORE</t>
  </si>
  <si>
    <t>CLAUDE
SCORE</t>
  </si>
  <si>
    <t>CAPE IMC
SCORE</t>
  </si>
  <si>
    <t>HUBS-US</t>
  </si>
  <si>
    <t>HubSpot, Inc.</t>
  </si>
  <si>
    <t>NTNX-US</t>
  </si>
  <si>
    <t>Nutanix, Inc.</t>
  </si>
  <si>
    <t>APP-US</t>
  </si>
  <si>
    <t>AppLovin Corp. Class A</t>
  </si>
  <si>
    <t>QLYS-US</t>
  </si>
  <si>
    <t>Qualys, Inc.</t>
  </si>
  <si>
    <t>WK-US</t>
  </si>
  <si>
    <t>Workiva Inc.</t>
  </si>
  <si>
    <t>PLTR-US</t>
  </si>
  <si>
    <t>Palantir Technologies Inc. Class A</t>
  </si>
  <si>
    <t>DT-US</t>
  </si>
  <si>
    <t>Dynatrace, Inc.</t>
  </si>
  <si>
    <t>NOW-US</t>
  </si>
  <si>
    <t>ServiceNow, Inc.</t>
  </si>
  <si>
    <t>TENB-US</t>
  </si>
  <si>
    <t>Tenable Holdings, Inc.</t>
  </si>
  <si>
    <t>FICO-US</t>
  </si>
  <si>
    <t>Fair Isaac Corporation</t>
  </si>
  <si>
    <t>DOCU-US</t>
  </si>
  <si>
    <t>DocuSign, Inc.</t>
  </si>
  <si>
    <t>CVLT-US</t>
  </si>
  <si>
    <t>Commvault Systems, Inc.</t>
  </si>
  <si>
    <t>WDAY-US</t>
  </si>
  <si>
    <t>Workday, Inc. Class A</t>
  </si>
  <si>
    <t>PATH-US</t>
  </si>
  <si>
    <t>UiPath, Inc. Class A</t>
  </si>
  <si>
    <t>INTU-US</t>
  </si>
  <si>
    <t>Intuit Inc.</t>
  </si>
  <si>
    <t>AVPT-US</t>
  </si>
  <si>
    <t>AvePoint, Inc. Class A</t>
  </si>
  <si>
    <t>ADSK-US</t>
  </si>
  <si>
    <t>Autodesk, Inc.</t>
  </si>
  <si>
    <t>ESTC-US</t>
  </si>
  <si>
    <t>Elastic NV</t>
  </si>
  <si>
    <t>FTNT-US</t>
  </si>
  <si>
    <t>Fortinet, Inc.</t>
  </si>
  <si>
    <t>PAYC-US</t>
  </si>
  <si>
    <t>Paycom Software, Inc.</t>
  </si>
  <si>
    <t>CRM-US</t>
  </si>
  <si>
    <t>Salesforce, Inc.</t>
  </si>
  <si>
    <t>BL-US</t>
  </si>
  <si>
    <t>BlackLine, Inc.</t>
  </si>
  <si>
    <t>PCOR-US</t>
  </si>
  <si>
    <t>Procore Technologies Inc</t>
  </si>
  <si>
    <t>INTA-US</t>
  </si>
  <si>
    <t>Intapp, Inc.</t>
  </si>
  <si>
    <t>ZS-US</t>
  </si>
  <si>
    <t>Zscaler, Inc.</t>
  </si>
  <si>
    <t>VEEV-US</t>
  </si>
  <si>
    <t>Veeva Systems Inc Class A</t>
  </si>
  <si>
    <t>PEGA-US</t>
  </si>
  <si>
    <t>Pegasystems Inc.</t>
  </si>
  <si>
    <t>PCTY-US</t>
  </si>
  <si>
    <t>Paylocity Holding Corp.</t>
  </si>
  <si>
    <t>CDNS-US</t>
  </si>
  <si>
    <t>Cadence Design Systems, Inc.</t>
  </si>
  <si>
    <t>IOT-US</t>
  </si>
  <si>
    <t>Samsara, Inc. Class A</t>
  </si>
  <si>
    <t>S-US</t>
  </si>
  <si>
    <t>SentinelOne, Inc.</t>
  </si>
  <si>
    <t>PTC-US</t>
  </si>
  <si>
    <t>PTC Inc.</t>
  </si>
  <si>
    <t>DSY-FR</t>
  </si>
  <si>
    <t>Dassault Systemes SE</t>
  </si>
  <si>
    <t>SAP-DE</t>
  </si>
  <si>
    <t>SAP SE</t>
  </si>
  <si>
    <t>VRNS-US</t>
  </si>
  <si>
    <t>Varonis Systems, Inc.</t>
  </si>
  <si>
    <t>DDOG-US</t>
  </si>
  <si>
    <t>Datadog, Inc.</t>
  </si>
  <si>
    <t>TOST-US</t>
  </si>
  <si>
    <t>Toast, Inc.</t>
  </si>
  <si>
    <t>NICE-US</t>
  </si>
  <si>
    <t>NICE Ltd.</t>
  </si>
  <si>
    <t>4684-JP</t>
  </si>
  <si>
    <t>OBIC Co., Ltd.</t>
  </si>
  <si>
    <t>BSY-US</t>
  </si>
  <si>
    <t>Bentley Systems, Incorporated Class B</t>
  </si>
  <si>
    <t>OS-US</t>
  </si>
  <si>
    <t>Onestream, Inc. Class A</t>
  </si>
  <si>
    <t>301269-CN</t>
  </si>
  <si>
    <t>Empyrean Technology Co., Ltd. Class A</t>
  </si>
  <si>
    <t>PANW-US</t>
  </si>
  <si>
    <t>Palo Alto Networks, Inc.</t>
  </si>
  <si>
    <t>SPSC-US</t>
  </si>
  <si>
    <t>SPS Commerce, Inc.</t>
  </si>
  <si>
    <t>PAYX-US</t>
  </si>
  <si>
    <t>Paychex, Inc.</t>
  </si>
  <si>
    <t>APPF-US</t>
  </si>
  <si>
    <t>AppFolio Inc Class A</t>
  </si>
  <si>
    <t>QTWO-US</t>
  </si>
  <si>
    <t>Q2 Holdings, Inc.</t>
  </si>
  <si>
    <t>VERX-US</t>
  </si>
  <si>
    <t>Vertex, Inc.</t>
  </si>
  <si>
    <t>MSFT-US</t>
  </si>
  <si>
    <t>Microsoft Corporation</t>
  </si>
  <si>
    <t>RBRK-US</t>
  </si>
  <si>
    <t>Rubrik, Inc.</t>
  </si>
  <si>
    <t>300033-CN</t>
  </si>
  <si>
    <t>Hithink RoyalFlush Information Network Co., Ltd. Class A</t>
  </si>
  <si>
    <t>ALKT-US</t>
  </si>
  <si>
    <t>Alkami Technology Inc</t>
  </si>
  <si>
    <t>BLKB-US</t>
  </si>
  <si>
    <t>Blackbaud, Inc.</t>
  </si>
  <si>
    <t>CRWD-US</t>
  </si>
  <si>
    <t>CrowdStrike Holdings, Inc.</t>
  </si>
  <si>
    <t>ORCL-US</t>
  </si>
  <si>
    <t>Oracle Corporation</t>
  </si>
  <si>
    <t>CCC-US</t>
  </si>
  <si>
    <t>CCC Intelligent Solutions Holdings Inc</t>
  </si>
  <si>
    <t>OTEX-US</t>
  </si>
  <si>
    <t>Open Text Corporation</t>
  </si>
  <si>
    <t>PRESIGHT-AE</t>
  </si>
  <si>
    <t>Presight AI Holding Plc</t>
  </si>
  <si>
    <t>CRWV-US</t>
  </si>
  <si>
    <t>CoreWeave, Inc. Class A</t>
  </si>
  <si>
    <t>CWAN-US</t>
  </si>
  <si>
    <t>Clearwater Analytics Holdings, Inc.</t>
  </si>
  <si>
    <t>7203-SA</t>
  </si>
  <si>
    <t>Elm Company</t>
  </si>
  <si>
    <t>ROP-US</t>
  </si>
  <si>
    <t>Roper Technologies, Inc.</t>
  </si>
  <si>
    <t>ALRM-US</t>
  </si>
  <si>
    <t>Alarm.com Holdings, Inc.</t>
  </si>
  <si>
    <t>SAIL-US</t>
  </si>
  <si>
    <t>SailPoint, Inc.</t>
  </si>
  <si>
    <t>GWRE-US</t>
  </si>
  <si>
    <t>Guidewire Software, Inc.</t>
  </si>
  <si>
    <t>SNOW-US</t>
  </si>
  <si>
    <t>Snowflake, Inc.</t>
  </si>
  <si>
    <t>SNPS-US</t>
  </si>
  <si>
    <t>Synopsys, Inc.</t>
  </si>
  <si>
    <t>MDB-US</t>
  </si>
  <si>
    <t>MongoDB, Inc.</t>
  </si>
  <si>
    <t>TTAN-US</t>
  </si>
  <si>
    <t>ServiceTitan, Inc. Class A</t>
  </si>
  <si>
    <t>NCNO-US</t>
  </si>
  <si>
    <t>nCino Inc</t>
  </si>
  <si>
    <t>RMBS-US</t>
  </si>
  <si>
    <t>Rambus Inc.</t>
  </si>
  <si>
    <t>TRMB-US</t>
  </si>
  <si>
    <t>Trimble Inc.</t>
  </si>
  <si>
    <t>CFLT-US</t>
  </si>
  <si>
    <t>Confluent, Inc.</t>
  </si>
  <si>
    <t>SSNC-US</t>
  </si>
  <si>
    <t>SS&amp;C Technologies Holdings, Inc.</t>
  </si>
  <si>
    <t>ACIW-US</t>
  </si>
  <si>
    <t>ACI Worldwide, Inc.</t>
  </si>
  <si>
    <t>DOX-US</t>
  </si>
  <si>
    <t>Amdocs Limited</t>
  </si>
  <si>
    <t>AGYS-US</t>
  </si>
  <si>
    <t>Agilysys, Inc.</t>
  </si>
  <si>
    <t>TYL-US</t>
  </si>
  <si>
    <t>Tyler Technologies, Inc.</t>
  </si>
  <si>
    <t>XRO-AU</t>
  </si>
  <si>
    <t>Xero Limited</t>
  </si>
  <si>
    <t>HEXA.B-SE</t>
  </si>
  <si>
    <t>Hexagon AB Class B</t>
  </si>
  <si>
    <t>SGE-GB</t>
  </si>
  <si>
    <t>Sage Group plc</t>
  </si>
  <si>
    <t>MANH-US</t>
  </si>
  <si>
    <t>Manhattan Associates, Inc.</t>
  </si>
  <si>
    <t>TNE-AU</t>
  </si>
  <si>
    <t>Technology One Limited</t>
  </si>
  <si>
    <t>PSN-US</t>
  </si>
  <si>
    <t>Parsons Corporation</t>
  </si>
  <si>
    <t>WTC-AU</t>
  </si>
  <si>
    <t>Wisetech Global Ltd.</t>
  </si>
  <si>
    <t>600588-CN</t>
  </si>
  <si>
    <t>Yonyou Network Technology Co. Ltd. Class A</t>
  </si>
  <si>
    <t>600536-CN</t>
  </si>
  <si>
    <t>China National Software &amp; Service Company Limited Class A</t>
  </si>
  <si>
    <t>402340-KR</t>
  </si>
  <si>
    <t>SK Square Co., Ltd.</t>
  </si>
  <si>
    <t>Factor</t>
  </si>
  <si>
    <t>Metric</t>
  </si>
  <si>
    <t>Weight
Cape IMC</t>
  </si>
  <si>
    <t>Weight
Claude</t>
  </si>
  <si>
    <t>Direction</t>
  </si>
  <si>
    <t>Formula</t>
  </si>
  <si>
    <t>Description</t>
  </si>
  <si>
    <t>The most recently reported annual sales figure in million USD.</t>
  </si>
  <si>
    <t>EPS ANNUAL</t>
  </si>
  <si>
    <t>The most recently reported annual earnings per share in USD.</t>
  </si>
  <si>
    <t>SALES GROWTH 2Y FORWARD</t>
  </si>
  <si>
    <t>Consensus analyst estimate for annualized revenue growth over the next two years.</t>
  </si>
  <si>
    <t>EPS GROWTH 2Y FORWARD</t>
  </si>
  <si>
    <t>Consensus analyst estimate for annualized earnings per share growth over the next two years.</t>
  </si>
  <si>
    <t>GROSS MARGIN LTM</t>
  </si>
  <si>
    <t>Gross profit as a percentage of revenue over the last twelve months, reflecting production and direct cost efficiency.</t>
  </si>
  <si>
    <t>EBITDA MARGIN LTM</t>
  </si>
  <si>
    <t>EBITDA as a percentage of revenue over the last twelve months, reflecting core operating profitability before non-cash and financing items.</t>
  </si>
  <si>
    <t>NET PROFIT MARGIN LTM</t>
  </si>
  <si>
    <t>Net income as a percentage of revenue over the last twelve months, reflecting bottom-line profitability after all expenses.</t>
  </si>
  <si>
    <t>NET DEBT/EBITDA NTM</t>
  </si>
  <si>
    <t>Ratio of net debt to forward-looking EBITDA, indicating how many years of earnings would be needed to pay off debt.</t>
  </si>
  <si>
    <t>FCF YIELD NTM</t>
  </si>
  <si>
    <t>Next twelve months free cash flow divided by market capitalization, showing how much cash a company generates relative to its size.</t>
  </si>
  <si>
    <t>DIVIDEND YIELD NTM</t>
  </si>
  <si>
    <t>Expected annual dividend payments over the next twelve months as a percentage of the current share price.</t>
  </si>
  <si>
    <t>ROE NTM</t>
  </si>
  <si>
    <t>Next twelve months net income divided by shareholders' equity, measuring how efficiently a company generates profit from equity.</t>
  </si>
  <si>
    <t>ROIC NTM</t>
  </si>
  <si>
    <t>Next twelve months net operating profit divided by invested capital, measuring how efficiently a company deploys all capital to generate returns.</t>
  </si>
  <si>
    <t>RULE OF 40</t>
  </si>
  <si>
    <t>The sum of a company's revenue growth rate and profit margin, a common health check for software and growth companies.</t>
  </si>
  <si>
    <t>P/E NTM</t>
  </si>
  <si>
    <t>Current share price divided by next twelve months consensus earnings per share, indicating how much investors are paying per dollar of forward earnings.</t>
  </si>
  <si>
    <t>P/S NTM</t>
  </si>
  <si>
    <t>Current share price divided by next twelve months consensus revenue per share, indicating how much investors are paying per dollar of forward sales.</t>
  </si>
  <si>
    <t>EV/SALES NTM</t>
  </si>
  <si>
    <t>Enterprise value divided by next twelve months consensus revenue, a capital-structure-neutral measure of how the market values forward sales.</t>
  </si>
  <si>
    <t>EV/EBITDA NTM</t>
  </si>
  <si>
    <t>Enterprise value divided by next twelve months consensus EBITDA, a widely used valuation multiple that adjusts for differences in capital structure and depreciation.</t>
  </si>
  <si>
    <t>P/E NTM CHANGE 52W</t>
  </si>
  <si>
    <t>The percentage change in the forward price-to-earnings multiple over the past 52 weeks, indicating whether the stock's valuation has expanded or contracted relative to a year ago.</t>
  </si>
  <si>
    <t>EV/EBITDA NTM CHANGE 52W</t>
  </si>
  <si>
    <t>The percentage change in the forward EV/EBITDA multiple over the past 52 weeks, indicating whether the stock's enterprise valuation has expanded or contracted relative to a year ago.</t>
  </si>
  <si>
    <t>The current share price expressed as a percentage of the stock's 52-week high, indicating proximity to its recent peak.</t>
  </si>
  <si>
    <t>The percentage difference between the consensus analyst target price and the current share price, reflecting implied upside potential.</t>
  </si>
  <si>
    <t>The current share price as a percentage above or below its 50-day moving average, a short-term momentum and trend indicator.</t>
  </si>
  <si>
    <t>The current share price as a percentage above or below its 100-day moving average, a medium-term momentum and trend indicator.</t>
  </si>
  <si>
    <t>The current share price as a percentage above or below its 200-day moving average, a long-term momentum and trend indicator.</t>
  </si>
  <si>
    <t>TOTAL</t>
  </si>
  <si>
    <t>GEOGRAPHY EXPOSURE</t>
  </si>
  <si>
    <t>INDUSTRY EXPOSURE</t>
  </si>
  <si>
    <t>Identifier</t>
  </si>
  <si>
    <t>Name</t>
  </si>
  <si>
    <t>Top 3 COUNTRIES</t>
  </si>
  <si>
    <t>% REVENUE</t>
  </si>
  <si>
    <t>TOP 5 COUNTRIES</t>
  </si>
  <si>
    <t xml:space="preserve"> </t>
  </si>
  <si>
    <t>Top 5 INDUSTRIES</t>
  </si>
  <si>
    <t>% Revenue</t>
  </si>
  <si>
    <t>TOP 5 INDUSTRIES</t>
  </si>
  <si>
    <t>This sheet contains FactSet XML data for use with this workbook's =FDS codes.  Modifying the worksheet's contents may damage the workbook's =FDS functionality.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</si>
</sst>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0.0\%"/>
    <numFmt numFmtId="166" formatCode="0.0"/>
    <numFmt numFmtId="167" formatCode="0.00\%"/>
    <numFmt numFmtId="168" formatCode="0.0\x"/>
    <numFmt numFmtId="169" formatCode="_-* #,##0_-;\-* #,##0_-;_-* \-??_-;_-@_-"/>
    <numFmt numFmtId="170" formatCode="_-* #,##0.00_-;\-* #,##0.00_-;_-* \-??_-;_-@_-"/>
  </numFmts>
  <fonts count="22" x14ac:knownFonts="1">
    <font>
      <sz val="11"/>
      <color theme="1"/>
      <name val="Calibri"/>
      <family val="2"/>
      <charset val="1"/>
    </font>
    <font>
      <sz val="9"/>
      <color rgb="FF595959"/>
      <name val="Arial"/>
      <charset val="1"/>
    </font>
    <font>
      <b/>
      <sz val="10"/>
      <color rgb="FFFFFFFF"/>
      <name val="Arial"/>
      <charset val="1"/>
    </font>
    <font>
      <sz val="9"/>
      <color rgb="FF333333"/>
      <name val="Arial"/>
      <charset val="1"/>
    </font>
    <font>
      <b/>
      <sz val="9"/>
      <color rgb="FFFFFFFF"/>
      <name val="Arial"/>
      <charset val="1"/>
    </font>
    <font>
      <i/>
      <sz val="8"/>
      <color rgb="FF595959"/>
      <name val="Arial"/>
      <family val="2"/>
      <charset val="1"/>
    </font>
    <font>
      <b/>
      <sz val="8"/>
      <color rgb="FFFFFFFF"/>
      <name val="Arial"/>
      <family val="2"/>
      <charset val="1"/>
    </font>
    <font>
      <b/>
      <sz val="8"/>
      <color rgb="FFFFFFFF"/>
      <name val="Arial"/>
      <charset val="1"/>
    </font>
    <font>
      <b/>
      <sz val="8"/>
      <color rgb="FF1F3864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theme="1"/>
      <name val="Arial"/>
      <family val="2"/>
      <charset val="1"/>
    </font>
    <font>
      <sz val="9"/>
      <color theme="1"/>
      <name val="Arial"/>
      <charset val="1"/>
    </font>
    <font>
      <sz val="9"/>
      <color theme="1"/>
      <name val="Calibri"/>
      <family val="2"/>
      <charset val="1"/>
    </font>
    <font>
      <b/>
      <sz val="8"/>
      <color theme="7" tint="-0.249977111117893"/>
      <name val="Arial"/>
      <family val="2"/>
      <charset val="1"/>
    </font>
    <font>
      <b/>
      <sz val="9"/>
      <color rgb="FF1F3864"/>
      <name val="Arial"/>
      <family val="2"/>
      <charset val="1"/>
    </font>
    <font>
      <b/>
      <sz val="8"/>
      <color rgb="FFB48500"/>
      <name val="Arial"/>
      <family val="2"/>
      <charset val="1"/>
    </font>
    <font>
      <b/>
      <sz val="8"/>
      <color theme="5" tint="-0.249977111117893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8"/>
      <color rgb="FF1F3864"/>
      <name val="Arial"/>
      <charset val="1"/>
    </font>
    <font>
      <b/>
      <sz val="9"/>
      <color indexed="81"/>
      <name val="Tahoma"/>
      <charset val="1"/>
    </font>
    <font>
      <sz val="9"/>
      <color theme="1"/>
      <name val="Arial"/>
      <family val="2"/>
    </font>
    <font>
      <sz val="9"/>
      <color rgb="FF00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2F7FC"/>
        <bgColor rgb="FFF8F8F8"/>
      </patternFill>
    </fill>
    <fill>
      <patternFill patternType="solid">
        <fgColor rgb="FFFFF2CC"/>
        <bgColor rgb="FFFCE4D6"/>
      </patternFill>
    </fill>
    <fill>
      <patternFill patternType="solid">
        <fgColor rgb="FF1F3864"/>
        <bgColor rgb="FF333333"/>
      </patternFill>
    </fill>
    <fill>
      <patternFill patternType="solid">
        <fgColor rgb="FFFFFFFF"/>
        <bgColor rgb="FFF8F8F8"/>
      </patternFill>
    </fill>
    <fill>
      <patternFill patternType="solid">
        <fgColor rgb="FFD6E4F7"/>
        <bgColor rgb="FFD5E8D4"/>
      </patternFill>
    </fill>
    <fill>
      <patternFill patternType="solid">
        <fgColor rgb="FFF8F8F8"/>
        <bgColor rgb="FFF2F7FC"/>
      </patternFill>
    </fill>
    <fill>
      <patternFill patternType="solid">
        <fgColor rgb="FF2E5FA3"/>
        <bgColor rgb="FF1B6B5A"/>
      </patternFill>
    </fill>
    <fill>
      <patternFill patternType="solid">
        <fgColor rgb="FF1B6B5A"/>
        <bgColor rgb="FF008080"/>
      </patternFill>
    </fill>
    <fill>
      <patternFill patternType="solid">
        <fgColor rgb="FF5B2D8B"/>
        <bgColor rgb="FF604A7B"/>
      </patternFill>
    </fill>
    <fill>
      <patternFill patternType="solid">
        <fgColor rgb="FF7B5E00"/>
        <bgColor rgb="FF595959"/>
      </patternFill>
    </fill>
    <fill>
      <patternFill patternType="solid">
        <fgColor rgb="FF8B1A1A"/>
        <bgColor rgb="FF800000"/>
      </patternFill>
    </fill>
    <fill>
      <patternFill patternType="solid">
        <fgColor rgb="FF375623"/>
        <bgColor rgb="FF595959"/>
      </patternFill>
    </fill>
    <fill>
      <patternFill patternType="solid">
        <fgColor rgb="FFD5E8D4"/>
        <bgColor rgb="FFE2EFDA"/>
      </patternFill>
    </fill>
    <fill>
      <patternFill patternType="solid">
        <fgColor rgb="FFEAD6F7"/>
        <bgColor rgb="FFD6E4F7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5E8D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ck">
        <color rgb="FF1F3864"/>
      </left>
      <right/>
      <top/>
      <bottom/>
      <diagonal/>
    </border>
    <border>
      <left style="thick">
        <color rgb="FF1F3864"/>
      </left>
      <right style="thick">
        <color rgb="FF1F3864"/>
      </right>
      <top style="thin">
        <color rgb="FFBFBFBF"/>
      </top>
      <bottom/>
      <diagonal/>
    </border>
    <border>
      <left style="thick">
        <color rgb="FF1F3864"/>
      </left>
      <right style="thin">
        <color indexed="64"/>
      </right>
      <top style="thin">
        <color rgb="FFBFBFBF"/>
      </top>
      <bottom/>
      <diagonal/>
    </border>
    <border>
      <left/>
      <right style="thin">
        <color indexed="64"/>
      </right>
      <top/>
      <bottom style="thin">
        <color rgb="FFBFBFBF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4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left" vertical="center" wrapText="1"/>
    </xf>
    <xf numFmtId="0" fontId="6" fillId="12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horizontal="left" vertical="center" wrapText="1"/>
    </xf>
    <xf numFmtId="0" fontId="8" fillId="14" borderId="0" xfId="0" applyFont="1" applyFill="1" applyAlignment="1">
      <alignment horizontal="center" vertical="center" wrapText="1"/>
    </xf>
    <xf numFmtId="0" fontId="8" fillId="15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16" borderId="0" xfId="0" applyFont="1" applyFill="1" applyAlignment="1">
      <alignment horizontal="center" vertical="center" wrapText="1"/>
    </xf>
    <xf numFmtId="0" fontId="8" fillId="16" borderId="0" xfId="0" applyFont="1" applyFill="1" applyAlignment="1">
      <alignment horizontal="left" vertical="center" wrapText="1"/>
    </xf>
    <xf numFmtId="0" fontId="8" fillId="17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3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167" fontId="9" fillId="0" borderId="0" xfId="0" applyNumberFormat="1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9" fontId="9" fillId="0" borderId="0" xfId="0" applyNumberFormat="1" applyFont="1" applyAlignment="1">
      <alignment horizontal="center" vertical="center"/>
    </xf>
    <xf numFmtId="9" fontId="9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49" fontId="9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3" fillId="15" borderId="0" xfId="0" applyFont="1" applyFill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9" fontId="10" fillId="0" borderId="0" xfId="0" applyNumberFormat="1" applyFont="1" applyAlignment="1">
      <alignment vertical="center"/>
    </xf>
    <xf numFmtId="0" fontId="10" fillId="0" borderId="0" xfId="0" applyFont="1" applyAlignment="1">
      <alignment vertical="top" wrapText="1"/>
    </xf>
    <xf numFmtId="0" fontId="14" fillId="0" borderId="0" xfId="0" applyFont="1" applyAlignment="1">
      <alignment horizontal="left" vertical="center" wrapText="1"/>
    </xf>
    <xf numFmtId="0" fontId="15" fillId="3" borderId="0" xfId="0" applyFont="1" applyFill="1" applyAlignment="1">
      <alignment horizontal="left" vertical="center" wrapText="1"/>
    </xf>
    <xf numFmtId="0" fontId="16" fillId="16" borderId="0" xfId="0" applyFont="1" applyFill="1" applyAlignment="1">
      <alignment horizontal="left" vertical="center" wrapText="1"/>
    </xf>
    <xf numFmtId="9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10" fillId="0" borderId="0" xfId="0" applyFont="1"/>
    <xf numFmtId="0" fontId="18" fillId="6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1" fillId="0" borderId="0" xfId="0" applyFont="1"/>
    <xf numFmtId="9" fontId="11" fillId="0" borderId="0" xfId="0" applyNumberFormat="1" applyFont="1"/>
    <xf numFmtId="169" fontId="11" fillId="0" borderId="0" xfId="0" applyNumberFormat="1" applyFont="1"/>
    <xf numFmtId="170" fontId="11" fillId="0" borderId="0" xfId="0" applyNumberFormat="1" applyFont="1"/>
    <xf numFmtId="169" fontId="10" fillId="0" borderId="0" xfId="0" applyNumberFormat="1" applyFont="1"/>
    <xf numFmtId="166" fontId="20" fillId="18" borderId="1" xfId="0" applyNumberFormat="1" applyFont="1" applyFill="1" applyBorder="1" applyAlignment="1">
      <alignment horizontal="center" vertical="center"/>
    </xf>
    <xf numFmtId="166" fontId="20" fillId="18" borderId="0" xfId="0" applyNumberFormat="1" applyFont="1" applyFill="1" applyAlignment="1">
      <alignment horizontal="center" vertical="center"/>
    </xf>
    <xf numFmtId="166" fontId="21" fillId="19" borderId="2" xfId="0" applyNumberFormat="1" applyFont="1" applyFill="1" applyBorder="1" applyAlignment="1">
      <alignment horizontal="center" vertical="center"/>
    </xf>
    <xf numFmtId="166" fontId="21" fillId="19" borderId="3" xfId="0" applyNumberFormat="1" applyFont="1" applyFill="1" applyBorder="1" applyAlignment="1">
      <alignment horizontal="center" vertical="center"/>
    </xf>
    <xf numFmtId="0" fontId="8" fillId="17" borderId="4" xfId="0" applyFont="1" applyFill="1" applyBorder="1" applyAlignment="1">
      <alignment horizontal="center" vertical="center" wrapText="1"/>
    </xf>
    <xf numFmtId="0" fontId="6" fillId="13" borderId="0" xfId="0" applyFont="1" applyFill="1" applyAlignment="1">
      <alignment horizontal="center" vertical="center" wrapText="1"/>
    </xf>
    <xf numFmtId="0" fontId="0" fillId="0" borderId="0" xfId="0"/>
    <xf numFmtId="0" fontId="6" fillId="11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7" fillId="13" borderId="0" xfId="0" applyFont="1" applyFill="1" applyAlignment="1">
      <alignment horizontal="center"/>
    </xf>
    <xf numFmtId="0" fontId="6" fillId="12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left" vertical="center" wrapText="1"/>
    </xf>
    <xf numFmtId="0" fontId="1" fillId="7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8" fillId="6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</cellXfs>
  <cellStyles count="1">
    <cellStyle name="Normal" xfId="0" builtinId="0"/>
  </cellStyles>
  <dxfs count="6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66" formatCode="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rgb="FF1F3864"/>
        </left>
        <right style="thin">
          <color indexed="64"/>
        </right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66" formatCode="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rgb="FF1F3864"/>
        </left>
        <right style="thick">
          <color rgb="FF1F3864"/>
        </right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6" formatCode="0.0"/>
      <fill>
        <patternFill patternType="solid">
          <fgColor theme="0" tint="-0.14999847407452621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6" formatCode="0.0"/>
      <fill>
        <patternFill patternType="solid">
          <fgColor theme="0" tint="-0.14999847407452621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6" formatCode="0.0"/>
      <fill>
        <patternFill patternType="solid">
          <fgColor theme="0" tint="-0.14999847407452621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6" formatCode="0.0"/>
      <fill>
        <patternFill patternType="solid">
          <fgColor theme="0" tint="-0.14999847407452621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6" formatCode="0.0"/>
      <fill>
        <patternFill patternType="solid">
          <fgColor theme="0" tint="-0.14999847407452621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6" formatCode="0.0"/>
      <fill>
        <patternFill patternType="solid">
          <fgColor theme="0" tint="-0.14999847407452621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6" formatCode="0.0"/>
      <fill>
        <patternFill patternType="solid">
          <fgColor theme="0" tint="-0.14999847407452621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6" formatCode="0.0"/>
      <fill>
        <patternFill patternType="solid">
          <fgColor theme="0" tint="-0.14999847407452621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6" formatCode="0.0"/>
      <fill>
        <patternFill patternType="solid">
          <fgColor theme="0" tint="-0.14999847407452621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6" formatCode="0.0"/>
      <fill>
        <patternFill patternType="solid">
          <fgColor theme="0" tint="-0.14999847407452621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6" formatCode="0.0"/>
      <fill>
        <patternFill patternType="solid">
          <fgColor theme="0" tint="-0.14999847407452621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6" formatCode="0.0"/>
      <fill>
        <patternFill patternType="solid">
          <fgColor theme="0" tint="-0.14999847407452621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6" formatCode="0.0"/>
      <fill>
        <patternFill patternType="solid">
          <fgColor theme="0" tint="-0.14999847407452621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6" formatCode="0.0"/>
      <fill>
        <patternFill patternType="solid">
          <fgColor theme="0" tint="-0.14999847407452621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6" formatCode="0.0"/>
      <fill>
        <patternFill patternType="solid">
          <fgColor theme="0" tint="-0.14999847407452621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6" formatCode="0.0"/>
      <fill>
        <patternFill patternType="solid">
          <fgColor theme="0" tint="-0.14999847407452621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6" formatCode="0.0"/>
      <fill>
        <patternFill patternType="solid">
          <fgColor theme="0" tint="-0.14999847407452621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6" formatCode="0.0"/>
      <fill>
        <patternFill patternType="solid">
          <fgColor theme="0" tint="-0.14999847407452621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6" formatCode="0.0"/>
      <fill>
        <patternFill patternType="solid">
          <fgColor theme="0" tint="-0.14999847407452621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6" formatCode="0.0"/>
      <fill>
        <patternFill patternType="solid">
          <fgColor theme="0" tint="-0.14999847407452621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6" formatCode="0.0"/>
      <fill>
        <patternFill patternType="solid">
          <fgColor theme="0" tint="-0.14999847407452621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6" formatCode="0.0"/>
      <fill>
        <patternFill patternType="solid">
          <fgColor theme="0" tint="-0.14999847407452621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6" formatCode="0.0"/>
      <fill>
        <patternFill patternType="solid">
          <fgColor theme="0" tint="-0.14999847407452621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6" formatCode="0.0"/>
      <fill>
        <patternFill patternType="solid">
          <fgColor theme="0" tint="-0.14999847407452621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rgb="FF1F38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charset val="1"/>
        <scheme val="none"/>
      </font>
      <numFmt numFmtId="13" formatCode="0%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charset val="1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charset val="1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charset val="1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charset val="1"/>
        <scheme val="none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charset val="1"/>
        <scheme val="none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charset val="1"/>
        <scheme val="none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charset val="1"/>
        <scheme val="none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charset val="1"/>
        <scheme val="none"/>
      </font>
      <numFmt numFmtId="168" formatCode="0.0\x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charset val="1"/>
        <scheme val="none"/>
      </font>
      <numFmt numFmtId="168" formatCode="0.0\x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charset val="1"/>
        <scheme val="none"/>
      </font>
      <numFmt numFmtId="168" formatCode="0.0\x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charset val="1"/>
        <scheme val="none"/>
      </font>
      <numFmt numFmtId="168" formatCode="0.0\x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charset val="1"/>
        <scheme val="none"/>
      </font>
      <numFmt numFmtId="166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charset val="1"/>
        <scheme val="none"/>
      </font>
      <numFmt numFmtId="165" formatCode="0.0\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charset val="1"/>
        <scheme val="none"/>
      </font>
      <numFmt numFmtId="165" formatCode="0.0\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charset val="1"/>
        <scheme val="none"/>
      </font>
      <numFmt numFmtId="167" formatCode="0.00\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charset val="1"/>
        <scheme val="none"/>
      </font>
      <numFmt numFmtId="167" formatCode="0.00\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charset val="1"/>
        <scheme val="none"/>
      </font>
      <numFmt numFmtId="166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charset val="1"/>
        <scheme val="none"/>
      </font>
      <numFmt numFmtId="165" formatCode="0.0\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charset val="1"/>
        <scheme val="none"/>
      </font>
      <numFmt numFmtId="165" formatCode="0.0\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charset val="1"/>
        <scheme val="none"/>
      </font>
      <numFmt numFmtId="165" formatCode="0.0\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charset val="1"/>
        <scheme val="none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charset val="1"/>
        <scheme val="none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charset val="1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charset val="1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charset val="1"/>
        <scheme val="none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charset val="1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charset val="1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theme="0" tint="-0.14999847407452621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1F3864"/>
        <name val="Arial"/>
        <family val="2"/>
        <charset val="1"/>
        <scheme val="none"/>
      </font>
      <fill>
        <patternFill patternType="solid">
          <fgColor rgb="FFD5E8D4"/>
          <bgColor rgb="FFE2EFDA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B5E00"/>
      <rgbColor rgb="FF800080"/>
      <rgbColor rgb="FF1B6B5A"/>
      <rgbColor rgb="FFD5E8D4"/>
      <rgbColor rgb="FF595959"/>
      <rgbColor rgb="FF9999FF"/>
      <rgbColor rgb="FF953735"/>
      <rgbColor rgb="FFFFF2CC"/>
      <rgbColor rgb="FFD6E4F7"/>
      <rgbColor rgb="FF660066"/>
      <rgbColor rgb="FFFF8080"/>
      <rgbColor rgb="FF2E5FA3"/>
      <rgbColor rgb="FFEAD6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C"/>
      <rgbColor rgb="FFE2EFDA"/>
      <rgbColor rgb="FFF8F8F8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B48500"/>
      <rgbColor rgb="FFFF6600"/>
      <rgbColor rgb="FF604A7B"/>
      <rgbColor rgb="FF969696"/>
      <rgbColor rgb="FF1F3864"/>
      <rgbColor rgb="FF339966"/>
      <rgbColor rgb="FF003300"/>
      <rgbColor rgb="FF375623"/>
      <rgbColor rgb="FF8B1A1A"/>
      <rgbColor rgb="FF993366"/>
      <rgbColor rgb="FF5B2D8B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apecapital-my.sharepoint.com/personal/william_raynar_capecapital_com/Documents/Mydocs/FactSet_DataCollection_Protocol.xlsx" TargetMode="External"/><Relationship Id="rId1" Type="http://schemas.openxmlformats.org/officeDocument/2006/relationships/externalLinkPath" Target="https://capecapital-my.sharepoint.com/personal/william_raynar_capecapital_com/Documents/Mydocs/FactSet_DataCollection_Protoco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FDSCACHE__"/>
      <sheetName val="Process Overview"/>
      <sheetName val="Step 1 — Theme Input"/>
      <sheetName val="Step 2 — Pull Request"/>
      <sheetName val="Step 3 — IC Universe Table"/>
      <sheetName val="Weights"/>
      <sheetName val="Geography &amp; Industry Exposure"/>
      <sheetName val="FactSet_DataCollection_Protoc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DB11A9-3396-43EB-B7C8-C4BA68535B07}" name="Table1" displayName="Table1" ref="A3:BG91" totalsRowShown="0" headerRowDxfId="60" dataDxfId="59">
  <autoFilter ref="A3:BG91" xr:uid="{DDDB11A9-3396-43EB-B7C8-C4BA68535B07}"/>
  <tableColumns count="59">
    <tableColumn id="1" xr3:uid="{1824ABD9-26ED-434E-9080-0FB7F3B051B4}" name="RANK" dataDxfId="58">
      <calculatedColumnFormula>IFERROR(RANK(BG4,BG$4:BG$91),"")</calculatedColumnFormula>
    </tableColumn>
    <tableColumn id="2" xr3:uid="{DA0C59DF-C4DB-4BBF-9B68-F5F625950E4E}" name="TICKER" dataDxfId="57"/>
    <tableColumn id="3" xr3:uid="{837E3F75-4FC3-4104-A6B0-8172AA53137B}" name="COMPANY_x000a_NAME" dataDxfId="56"/>
    <tableColumn id="4" xr3:uid="{D17C64D6-0BB8-43D3-9DA3-3A5A77638A35}" name="RBICS L5_x000a_NAME" dataDxfId="55">
      <calculatedColumnFormula array="1">IFERROR(_xll.FDS($B4,"FR_RBICS_NAME_CURR(""IND"")"), "")</calculatedColumnFormula>
    </tableColumn>
    <tableColumn id="5" xr3:uid="{46FA3465-64F2-4466-B1A7-E6DF66D1EE66}" name="COUNTRY" dataDxfId="54">
      <calculatedColumnFormula array="1">PROPER(IFERROR(_xll.FDS($B4,"P_DCOUNTRY"), ""))</calculatedColumnFormula>
    </tableColumn>
    <tableColumn id="6" xr3:uid="{F8A63EF4-3A21-4011-B448-7C64E0091F01}" name="MKT CAP_x000a_(USD mm)" dataDxfId="53">
      <calculatedColumnFormula array="1">IFERROR(_xll.FDS($B4,"FCS_EV_DAILY(MV,NOW,,,USD,M)"), "")</calculatedColumnFormula>
    </tableColumn>
    <tableColumn id="7" xr3:uid="{052CA4B9-A276-496E-9AFD-99FBE6930317}" name="ADV 30D_x000a_(USD mm)" dataDxfId="52">
      <calculatedColumnFormula array="1">IFERROR(_xll.FDS($B4,"AVG(P_VOLUME_FRQ(-1AM,NOW,D,,6))*P_PRICE_AVG(-1AM,NOW,,USD)"), "")</calculatedColumnFormula>
    </tableColumn>
    <tableColumn id="8" xr3:uid="{95B973F9-A56D-44B7-B4A7-986D0601269F}" name="FLOAT_x000a_(%)" dataDxfId="51">
      <calculatedColumnFormula array="1">IFERROR(_xll.FDS($B4,"OS_SEC_FLT_PCT(0D,,MTD,SEC)")/100, "")</calculatedColumnFormula>
    </tableColumn>
    <tableColumn id="9" xr3:uid="{510711AA-BD0C-4628-A60F-141D11AC3463}" name="REVENUE ANNUAL" dataDxfId="50">
      <calculatedColumnFormula array="1">IFERROR(_xll.FDS($B4,"FE_ACTUAL(ACTUAL,SALES,ANN_ROLL,0,,,,'CURRENCY=USD')"), "")</calculatedColumnFormula>
    </tableColumn>
    <tableColumn id="10" xr3:uid="{3A78934F-CE56-45CC-A9D8-00D79731C06D}" name="EPS _x000a_ANNUAL" dataDxfId="49">
      <calculatedColumnFormula array="1">IFERROR(_xll.FDS($B4,"FE_ACTUAL(ACTUAL,EPS,ANN_ROLL,0,,,,'CURRENCY=USD')"), "")</calculatedColumnFormula>
    </tableColumn>
    <tableColumn id="11" xr3:uid="{75C14EEB-5988-4946-B849-A083FEA0375F}" name="SALES CAGR_x000a_NEXT 2Y" dataDxfId="48">
      <calculatedColumnFormula array="1">IFERROR(_xll.FDS($B4,"POW(FE_ESTIMATE(SALES,MEAN,STMA,,NOW,,,'CURRENCY=USD')/FE_ESTIMATE(SALES,MEAN,LTMA,,NOW,,,'CURRENCY=USD'),0.5)-1"), "")</calculatedColumnFormula>
    </tableColumn>
    <tableColumn id="12" xr3:uid="{9057469B-672B-4C94-B8B9-7A02F0D3B0F4}" name="EPS CAGR _x000a_NEXT 2Y" dataDxfId="47">
      <calculatedColumnFormula array="1">IFERROR(_xll.FDS($B4,"POW(FE_ESTIMATE(EPS,MEAN,STMA,,NOW,,,'CURRENCY=USD')/FE_ESTIMATE(EPS,MEAN,LTMA,,NOW,,,'CURRENCY=USD'),0.5)-1"), "")</calculatedColumnFormula>
    </tableColumn>
    <tableColumn id="13" xr3:uid="{8A9FD722-DF10-4855-9499-7A06420AED2A}" name="GROSS MARGIN_x000a_LTM" dataDxfId="46">
      <calculatedColumnFormula array="1">IFERROR(_xll.FDS($B4,"FF_GROSS_MGN(LTM_R,0)"), "")</calculatedColumnFormula>
    </tableColumn>
    <tableColumn id="14" xr3:uid="{AB7B06D1-2800-48F4-BA5B-B3D17209B998}" name="EBITDA MARGIN_x000a_LTM" dataDxfId="45">
      <calculatedColumnFormula array="1">IFERROR(_xll.FDS($B4,"FF_EBITDA_OPER_MGN(LTM_R,0)"), "")</calculatedColumnFormula>
    </tableColumn>
    <tableColumn id="15" xr3:uid="{092A97F4-5942-44BA-926B-02D99C82B8DB}" name="NET PROFIT MARGIN_x000a_LTM" dataDxfId="44">
      <calculatedColumnFormula array="1">IFERROR(_xll.FDS($B4,"FF_NET_MGN(LTM_R,0)"), "")</calculatedColumnFormula>
    </tableColumn>
    <tableColumn id="16" xr3:uid="{385D338A-0673-43A7-B55F-6F1C3E5FC792}" name="NET DEBT/EBITDA_x000a_NTM" dataDxfId="43">
      <calculatedColumnFormula array="1">IFERROR(_xll.FDS($B4,"FE_VALUATION(NETDEBT_EBITDA,MEAN,NTMA,,NOW,,,'')"), "")</calculatedColumnFormula>
    </tableColumn>
    <tableColumn id="17" xr3:uid="{0D7C0DFD-29B4-4A7D-BE62-15770DA417B5}" name="FCF YIELD_x000a_NTM" dataDxfId="42">
      <calculatedColumnFormula array="1">IFERROR(_xll.FDS($B4,"FE_VALUATION(MCAP_FCF,MEAN,NTMA,,NOW,,,'')"), "")</calculatedColumnFormula>
    </tableColumn>
    <tableColumn id="18" xr3:uid="{2136E1EE-088A-4473-A4E8-5E4E11503A82}" name="DIVIDEND YIELD_x000a_NTM" dataDxfId="41">
      <calculatedColumnFormula array="1">IFERROR(_xll.FDS($B4,"FE_VALUATION(DIV_YLD,MEAN,NTMA,,NOW,,,'')"), "")</calculatedColumnFormula>
    </tableColumn>
    <tableColumn id="19" xr3:uid="{DCFF41A5-FD2A-4DFE-81DF-11627F89E87B}" name="ROE_x000a_NTM" dataDxfId="40">
      <calculatedColumnFormula array="1">IFERROR(_xll.FDS($B4,"FE_VALUATION(ROE,MEAN,NTMA,,0,,,'')" ), "")</calculatedColumnFormula>
    </tableColumn>
    <tableColumn id="20" xr3:uid="{79273783-A284-48D8-8EC4-ECF6921BD9EA}" name="ROIC_x000a_NTM" dataDxfId="39">
      <calculatedColumnFormula array="1">IFERROR(_xll.FDS($B4,"FE_VALUATION(ROIC,MEAN,NTMA,,0,,,'')" ), "")</calculatedColumnFormula>
    </tableColumn>
    <tableColumn id="21" xr3:uid="{44D5BCA1-14BE-42C0-8FF4-0758B9FD80C5}" name="RULE_x000a_OF 40" dataDxfId="38">
      <calculatedColumnFormula array="1">IFERROR(((_xll.FDS($B4,"FE_ACTUAL(ACTUAL,SALES,ANN_ROLL,0,,,,'CURRENCY=USD')")/_xll.FDS($B4,"FE_ACTUAL(ACTUAL,SALES,ANN_ROLL,-1,,,,'CURRENCY=USD')")-1)*100)+(_xll.FDS($B4,"FE_VALUATION(EBITDA_MARGIN,MEAN,ANN_ROLL,0,NOW,,,'')")  ), "")</calculatedColumnFormula>
    </tableColumn>
    <tableColumn id="22" xr3:uid="{28410796-407B-463A-87DE-787792088DA9}" name="P/E_x000a_NTM" dataDxfId="37">
      <calculatedColumnFormula array="1">IFERROR(_xll.FDS($B4,"FE_VALUATION(PE,MEAN,NTMA,,0,,,'')" ), "")</calculatedColumnFormula>
    </tableColumn>
    <tableColumn id="23" xr3:uid="{D66535E9-D9DB-417B-BEBC-F5676923FF1F}" name="P/S _x000a_NTM" dataDxfId="36">
      <calculatedColumnFormula array="1">IFERROR(_xll.FDS($B4,"FE_VALUATION(P_SALESPS,MEAN,NTMA,,0,,,'')" ), "")</calculatedColumnFormula>
    </tableColumn>
    <tableColumn id="24" xr3:uid="{3E18A94D-BE08-48B0-9134-505F4B3C7C9D}" name="EV/SALES_x000a_NTM" dataDxfId="35">
      <calculatedColumnFormula array="1">IFERROR(_xll.FDS($B4,"FE_VALUATION(FFEV_SALES,MEAN,NTMA,,0,,,'')" ), "")</calculatedColumnFormula>
    </tableColumn>
    <tableColumn id="25" xr3:uid="{7AA17E92-E02B-4418-B784-1DC871DE83D3}" name="EV/EBITDA_x000a_NTM" dataDxfId="34">
      <calculatedColumnFormula array="1">IFERROR(_xll.FDS($B4,"FE_VALUATION(FFEV_EBITDA,MEAN,NTMA,,0,,,'')" ), "")</calculatedColumnFormula>
    </tableColumn>
    <tableColumn id="26" xr3:uid="{DF805D10-9BBE-4A94-902F-F30D3DF0344D}" name="P/E NTM_x000a_CHANGE 52W" dataDxfId="33">
      <calculatedColumnFormula array="1">IFERROR(_xll.FDS($B4,"PERCENT_CHANGE(FE_VALUATION(PE,MEAN,NTMA,,0,,,''),MAX(FE_VALUATION(PE,MEAN,NTMA,,-1AY,0,,'')))")/100,"")</calculatedColumnFormula>
    </tableColumn>
    <tableColumn id="27" xr3:uid="{9885C279-E935-4C8B-B1C4-54E1A852B5A8}" name="EV/EBITDA NTM_x000a_CHANGE 52W" dataDxfId="32">
      <calculatedColumnFormula array="1">IFERROR(_xll.FDS($B4,"PERCENT_CHANGE(FE_VALUATION(FFEV_EBITDA,MEAN,NTMA,,0,,,''),MAX(FE_VALUATION(FFEV_EBITDA,MEAN,NTMA,,-1AY,0,,'')))")/100,"")</calculatedColumnFormula>
    </tableColumn>
    <tableColumn id="28" xr3:uid="{3AC61D00-75AC-4157-BC5C-85DE0334D840}" name="PRICE VS 52W HIGH" dataDxfId="31">
      <calculatedColumnFormula array="1">IFERROR(_xll.FDS($B4,"FG_PRICE(0,,,USD)/P_PRICE_HIGH(-1AY,0,USD,,,""PRICE"",""INTRA"")")-1, "")</calculatedColumnFormula>
    </tableColumn>
    <tableColumn id="29" xr3:uid="{E5F1690A-2429-4154-9978-33147DA68702}" name="TGT PRICE UPSIDE" dataDxfId="30">
      <calculatedColumnFormula array="1">IFERROR(_xll.FDS($B4,"RTP_PRICE_TARGET(USD)/FG_PRICE(0,,,USD)")-1, "")</calculatedColumnFormula>
    </tableColumn>
    <tableColumn id="30" xr3:uid="{B4E104C5-E06D-4746-9BA2-B42F910D98FF}" name="PRICE VS 50 DAY MA" dataDxfId="29">
      <calculatedColumnFormula array="1">IFERROR(_xll.FDS($B4,"FG_PRICE(0,,,USD)/FG_PRICE_MAVG(0,,,USD,50)")-1, "")</calculatedColumnFormula>
    </tableColumn>
    <tableColumn id="31" xr3:uid="{08853587-542C-4897-A6FF-8626E1E9A604}" name="PRICE VS 100 DAY MA" dataDxfId="28">
      <calculatedColumnFormula array="1">IFERROR(_xll.FDS($B4,"FG_PRICE(0,,,USD)/FG_PRICE_MAVG(0,,,USD,100)")-1, "")</calculatedColumnFormula>
    </tableColumn>
    <tableColumn id="32" xr3:uid="{9C563B34-0547-4E57-BB67-19010F892284}" name="PRICE VS 200 DAY MA" dataDxfId="27">
      <calculatedColumnFormula array="1">IFERROR(_xll.FDS($B4,"FG_PRICE(0,,,USD)/FG_PRICE_MAVG(0,,,USD,200)")-1, "")</calculatedColumnFormula>
    </tableColumn>
    <tableColumn id="33" xr3:uid="{02761A3B-E804-408E-A9AE-B9C1F543A386}" name="ANALYST RATING" dataDxfId="26">
      <calculatedColumnFormula array="1">IFERROR(_xll.FDS($B4,"FE_RATING(MEAN,TEXTONLY,0,NOW,,,'')"), "")</calculatedColumnFormula>
    </tableColumn>
    <tableColumn id="34" xr3:uid="{EAEF821D-EBE1-453B-A527-921FF453C66C}" name="REVENUE_x000a_SCORE" dataDxfId="25">
      <calculatedColumnFormula>IFERROR(IF('3 — Weights'!$E$2=1,PERCENTRANK(I$4:I$91,I4),1-PERCENTRANK(I$4:I$91,I4))*100,"")</calculatedColumnFormula>
    </tableColumn>
    <tableColumn id="35" xr3:uid="{4FA3C738-C3EC-47EB-BDD0-800C815F1677}" name="EPS_x000a_SCORE" dataDxfId="24">
      <calculatedColumnFormula>IFERROR(IF('3 — Weights'!$E$3=1,PERCENTRANK(J$4:J$91,J4),1-PERCENTRANK(J$4:J$91,J4))*100,"")</calculatedColumnFormula>
    </tableColumn>
    <tableColumn id="36" xr3:uid="{3184AF04-AACE-4F5B-BC54-04889149BE47}" name="SALES GR_x000a_SCORE" dataDxfId="23">
      <calculatedColumnFormula>IFERROR(IF('3 — Weights'!$E$4=1,PERCENTRANK(K$4:K$91,K4),1-PERCENTRANK(K$4:K$91,K4))*100,"")</calculatedColumnFormula>
    </tableColumn>
    <tableColumn id="37" xr3:uid="{65CAC219-704B-40EF-B215-16F6A2384ED8}" name="EPS GR_x000a_SCORE" dataDxfId="22">
      <calculatedColumnFormula>IFERROR(IF('3 — Weights'!$E$5=1,PERCENTRANK(L$4:L$91,L4),1-PERCENTRANK(L$4:L$91,L4))*100,"")</calculatedColumnFormula>
    </tableColumn>
    <tableColumn id="38" xr3:uid="{8084986B-408A-4C48-946D-BFA28DFCEB8E}" name="GROSS MG_x000a_SCORE" dataDxfId="21">
      <calculatedColumnFormula>IFERROR(IF('3 — Weights'!$E$6=1,PERCENTRANK(M$4:M$91,M4),1-PERCENTRANK(M$4:M$91,M4))*100,"")</calculatedColumnFormula>
    </tableColumn>
    <tableColumn id="39" xr3:uid="{82628A69-69B5-44F8-88D4-91D0F814290F}" name="EBITDA MG_x000a_SCORE" dataDxfId="20">
      <calculatedColumnFormula>IFERROR(IF('3 — Weights'!$E$7=1,PERCENTRANK(N$4:N$91,N4),1-PERCENTRANK(N$4:N$91,N4))*100,"")</calculatedColumnFormula>
    </tableColumn>
    <tableColumn id="40" xr3:uid="{CE0D330B-22BE-4184-9A0E-51704A6F3797}" name="NET MG_x000a_SCORE" dataDxfId="19">
      <calculatedColumnFormula>IFERROR(IF('3 — Weights'!$E$8=1,PERCENTRANK(O$4:O$91,O4),1-PERCENTRANK(O$4:O$91,O4))*100,"")</calculatedColumnFormula>
    </tableColumn>
    <tableColumn id="41" xr3:uid="{8E96590D-EC1F-4B66-ACFD-13A8973B4AF3}" name="ND/EBITDA_x000a_SCORE" dataDxfId="18">
      <calculatedColumnFormula>IFERROR(IF('3 — Weights'!$E$9=1,PERCENTRANK(P$4:P$91,P4),1-PERCENTRANK(P$4:P$91,P4))*100,"")</calculatedColumnFormula>
    </tableColumn>
    <tableColumn id="42" xr3:uid="{FE3D0B6D-8C1B-4BCC-BBEA-763B9E30A13A}" name="FCF YLD_x000a_SCORE" dataDxfId="17">
      <calculatedColumnFormula>IFERROR(IF('3 — Weights'!$E$10=1,PERCENTRANK(Q$4:Q$91,Q4),1-PERCENTRANK(Q$4:Q$91,Q4))*100,"")</calculatedColumnFormula>
    </tableColumn>
    <tableColumn id="43" xr3:uid="{C01A1D38-57DD-429F-AF75-87617F70B845}" name="DIV YLD_x000a_SCORE" dataDxfId="16">
      <calculatedColumnFormula>IFERROR(IF('3 — Weights'!$E$11=1,PERCENTRANK(R$4:R$91,R4),1-PERCENTRANK(R$4:R$91,R4))*100,"")</calculatedColumnFormula>
    </tableColumn>
    <tableColumn id="44" xr3:uid="{635FCF3E-C1AF-445E-857A-632E6638D612}" name="ROE_x000a_SCORE" dataDxfId="15">
      <calculatedColumnFormula>IFERROR(IF('3 — Weights'!$E$12=1,PERCENTRANK(S$4:S$91,S4),1-PERCENTRANK(S$4:S$91,S4))*100,"")</calculatedColumnFormula>
    </tableColumn>
    <tableColumn id="45" xr3:uid="{33DFC7DA-05A9-4CA8-86EE-0010E871A68F}" name="ROIC_x000a_SCORE" dataDxfId="14">
      <calculatedColumnFormula>IFERROR(IF('3 — Weights'!$E$13=1,PERCENTRANK(T$4:T$91,T4),1-PERCENTRANK(T$4:T$91,T4))*100,"")</calculatedColumnFormula>
    </tableColumn>
    <tableColumn id="46" xr3:uid="{C4DF9A3E-AD81-4F5B-9F77-965A0A1C27D1}" name="RULE 40_x000a_SCORE" dataDxfId="13">
      <calculatedColumnFormula>IFERROR(IF('3 — Weights'!$E$14=1,PERCENTRANK(U$4:U$91,U4),1-PERCENTRANK(U$4:U$91,U4))*100,"")</calculatedColumnFormula>
    </tableColumn>
    <tableColumn id="47" xr3:uid="{655704AD-A3D5-416C-8F22-C1089FE133FE}" name="P/E_x000a_SCORE" dataDxfId="12">
      <calculatedColumnFormula>IFERROR(IF('3 — Weights'!$E$15=1,PERCENTRANK(V$4:V$91,V4),1-PERCENTRANK(V$4:V$91,V4))*100,"")</calculatedColumnFormula>
    </tableColumn>
    <tableColumn id="48" xr3:uid="{F1F3C834-AAFB-4825-ADA5-0A1E8AC8A1F4}" name="P/S_x000a_SCORE" dataDxfId="11">
      <calculatedColumnFormula>IFERROR(IF('3 — Weights'!$E$16=1,PERCENTRANK(W$4:W$91,W4),1-PERCENTRANK(W$4:W$91,W4))*100,"")</calculatedColumnFormula>
    </tableColumn>
    <tableColumn id="49" xr3:uid="{78E14AEE-2C74-4821-8150-643F995BF53B}" name="EV/SALES_x000a_SCORE" dataDxfId="10">
      <calculatedColumnFormula>IFERROR(IF('3 — Weights'!$E$17=1,PERCENTRANK(X$4:X$91,X4),1-PERCENTRANK(X$4:X$91,X4))*100,"")</calculatedColumnFormula>
    </tableColumn>
    <tableColumn id="50" xr3:uid="{5C2426F8-58D4-4B9A-A99C-E931B8510629}" name="EV/EBITDA_x000a_SCORE" dataDxfId="9">
      <calculatedColumnFormula>IFERROR(IF('3 — Weights'!$E$18=1,PERCENTRANK(Y$4:Y$91,Y4),1-PERCENTRANK(Y$4:Y$91,Y4))*100,"")</calculatedColumnFormula>
    </tableColumn>
    <tableColumn id="51" xr3:uid="{60D4489B-9D16-4592-B067-86D835181E33}" name="P/E NTM_x000a_CHANGE 52W2" dataDxfId="8">
      <calculatedColumnFormula>IFERROR(IF('3 — Weights'!$E$18=1,PERCENTRANK(Z$4:Z$91,Z4),1-PERCENTRANK(Z$4:Z$91,Z4))*100,"")</calculatedColumnFormula>
    </tableColumn>
    <tableColumn id="52" xr3:uid="{91753797-A27B-4DCB-93BF-682B4CAFC185}" name="EV/EBITDA NTM_x000a_CHANGE 52W3" dataDxfId="7">
      <calculatedColumnFormula>IFERROR(IF('3 — Weights'!$E$18=1,PERCENTRANK(AA$4:AA$91,AA4),1-PERCENTRANK(AA$4:AA$91,AA4))*100,"")</calculatedColumnFormula>
    </tableColumn>
    <tableColumn id="53" xr3:uid="{59991C53-AE8C-4634-B4C0-241A43106450}" name="52W HIGH_x000a_SCORE" dataDxfId="6">
      <calculatedColumnFormula>IFERROR(IF('3 — Weights'!$E$21=1,PERCENTRANK(AB$4:AB$91,AB4),1-PERCENTRANK(AB$4:AB$91,AB4))*100,"")</calculatedColumnFormula>
    </tableColumn>
    <tableColumn id="54" xr3:uid="{51CBE537-D721-4930-AA98-F624F683521D}" name="TGT UPSD_x000a_SCORE" dataDxfId="5">
      <calculatedColumnFormula>IFERROR(IF('3 — Weights'!$E$22=1,PERCENTRANK(AC$4:AC$91,AC4),1-PERCENTRANK(AC$4:AC$91,AC4))*100,"")</calculatedColumnFormula>
    </tableColumn>
    <tableColumn id="55" xr3:uid="{C8991B32-B8A5-43DF-8A45-57EE1F78E995}" name="VS 50D MA_x000a_SCORE" dataDxfId="4">
      <calculatedColumnFormula>IFERROR(IF('3 — Weights'!$E$23=1,PERCENTRANK(AD$4:AD$91,AD4),1-PERCENTRANK(AD$4:AD$91,AD4))*100,"")</calculatedColumnFormula>
    </tableColumn>
    <tableColumn id="56" xr3:uid="{F5960D6F-8EA8-446A-87CE-1884C4FB45A9}" name="VS 100D MA_x000a_SCORE" dataDxfId="3">
      <calculatedColumnFormula>IFERROR(IF('3 — Weights'!$E$24=1,PERCENTRANK(AE$4:AE$91,AE4),1-PERCENTRANK(AE$4:AE$91,AE4))*100,"")</calculatedColumnFormula>
    </tableColumn>
    <tableColumn id="57" xr3:uid="{EA43110D-7440-4CCA-960C-B0FE002BE8AF}" name="VS 200D MA_x000a_SCORE" dataDxfId="2">
      <calculatedColumnFormula>IFERROR(IF('3 — Weights'!$E$25=1,PERCENTRANK(AF$4:AF$91,AF4),1-PERCENTRANK(AF$4:AF$91,AF4))*100,"")</calculatedColumnFormula>
    </tableColumn>
    <tableColumn id="58" xr3:uid="{4A5ABE62-FC77-4CAF-9588-777A79BAA765}" name="CLAUDE_x000a_SCORE" dataDxfId="1">
      <calculatedColumnFormula array="1">IFERROR(SUMPRODUCT(TRANSPOSE(AH4:BE4), [1]!Table2[Weight
Claude]),"")</calculatedColumnFormula>
    </tableColumn>
    <tableColumn id="59" xr3:uid="{127219A2-51A8-470B-AA92-1856FB6CCD38}" name="CAPE IMC_x000a_SCORE" dataDxfId="0">
      <calculatedColumnFormula array="1">IFERROR(SUMPRODUCT(TRANSPOSE(AH4:BE4), [1]!Table2[Weight
Cape IMC]),"")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AD35818-2FB7-474A-B8D4-58B038A8A41F}">
  <we:reference id="29673e3c-d826-4f00-92ee-162334a52b1a" version="1.0.0.5" store="EXCatalog" storeType="EXCatalog"/>
  <we:alternateReferences>
    <we:reference id="WA200009404" version="1.0.0.5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D261E-389D-4420-BAE7-19C94F8B66D0}">
  <dimension ref="A1:B15"/>
  <sheetViews>
    <sheetView workbookViewId="0"/>
  </sheetViews>
  <sheetFormatPr defaultRowHeight="15" x14ac:dyDescent="0.25"/>
  <sheetData>
    <row r="1" spans="1:2" x14ac:dyDescent="0.25">
      <c r="B1" t="s">
        <v>316</v>
      </c>
    </row>
    <row r="2" spans="1:2" x14ac:dyDescent="0.25"/>
    <row r="3" spans="1:2" x14ac:dyDescent="0.25"/>
    <row r="4" spans="1:2" x14ac:dyDescent="0.25"/>
    <row r="5" spans="1:2" x14ac:dyDescent="0.25"/>
    <row r="6" spans="1:2" x14ac:dyDescent="0.25"/>
    <row r="7" spans="1:2" x14ac:dyDescent="0.25"/>
    <row r="8" spans="1:2" x14ac:dyDescent="0.25"/>
    <row r="9" spans="1:2" x14ac:dyDescent="0.25"/>
    <row r="10" spans="1:2" x14ac:dyDescent="0.25"/>
    <row r="11" spans="1:2" x14ac:dyDescent="0.25"/>
    <row r="12" spans="1:2" x14ac:dyDescent="0.25"/>
    <row r="13" spans="1:2" x14ac:dyDescent="0.25"/>
    <row r="14" spans="1:2" x14ac:dyDescent="0.25"/>
    <row r="15" spans="1:2" x14ac:dyDescent="0.2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zoomScaleNormal="100" workbookViewId="0">
      <selection sqref="A1:I1"/>
    </sheetView>
  </sheetViews>
  <sheetFormatPr defaultColWidth="8.7109375" defaultRowHeight="15" x14ac:dyDescent="0.25"/>
  <cols>
    <col min="1" max="1" width="14" customWidth="1"/>
    <col min="2" max="2" width="32" customWidth="1"/>
    <col min="3" max="3" width="24" customWidth="1"/>
    <col min="4" max="4" width="14" customWidth="1"/>
    <col min="5" max="6" width="18" customWidth="1"/>
    <col min="7" max="8" width="14" customWidth="1"/>
    <col min="9" max="9" width="48" customWidth="1"/>
  </cols>
  <sheetData>
    <row r="1" spans="1:9" ht="15" customHeight="1" x14ac:dyDescent="0.25">
      <c r="A1" s="63" t="s">
        <v>0</v>
      </c>
      <c r="B1" s="56"/>
      <c r="C1" s="56"/>
      <c r="D1" s="56"/>
      <c r="E1" s="56"/>
      <c r="F1" s="56"/>
      <c r="G1" s="56"/>
      <c r="H1" s="56"/>
      <c r="I1" s="56"/>
    </row>
    <row r="2" spans="1:9" ht="15" customHeight="1" x14ac:dyDescent="0.25">
      <c r="A2" s="65" t="s">
        <v>1</v>
      </c>
      <c r="B2" s="56"/>
      <c r="C2" s="56"/>
      <c r="D2" s="56"/>
      <c r="E2" s="56"/>
      <c r="F2" s="56"/>
      <c r="G2" s="56"/>
      <c r="H2" s="56"/>
      <c r="I2" s="56"/>
    </row>
    <row r="4" spans="1:9" ht="21.7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39.75" customHeight="1" x14ac:dyDescent="0.25">
      <c r="A5" s="64" t="s">
        <v>11</v>
      </c>
      <c r="B5" s="56"/>
      <c r="C5" s="56"/>
      <c r="D5" s="56"/>
      <c r="E5" s="56"/>
      <c r="F5" s="56"/>
      <c r="G5" s="56"/>
      <c r="H5" s="56"/>
      <c r="I5" s="56"/>
    </row>
    <row r="6" spans="1:9" ht="15" customHeight="1" x14ac:dyDescent="0.25">
      <c r="A6" s="2"/>
      <c r="B6" s="2"/>
      <c r="C6" s="2"/>
      <c r="D6" s="2"/>
      <c r="E6" s="2"/>
      <c r="F6" s="2"/>
      <c r="G6" s="2"/>
      <c r="H6" s="2"/>
      <c r="I6" s="2"/>
    </row>
    <row r="7" spans="1:9" ht="15" customHeight="1" x14ac:dyDescent="0.25">
      <c r="A7" s="3"/>
      <c r="B7" s="3"/>
      <c r="C7" s="3"/>
      <c r="D7" s="3"/>
      <c r="E7" s="3"/>
      <c r="F7" s="3"/>
      <c r="G7" s="3"/>
      <c r="H7" s="3"/>
      <c r="I7" s="3"/>
    </row>
    <row r="8" spans="1:9" ht="15" customHeight="1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ht="15" customHeight="1" x14ac:dyDescent="0.25">
      <c r="A9" s="3"/>
      <c r="B9" s="3"/>
      <c r="C9" s="3"/>
      <c r="D9" s="3"/>
      <c r="E9" s="3"/>
      <c r="F9" s="3"/>
      <c r="G9" s="3"/>
      <c r="H9" s="3"/>
      <c r="I9" s="3"/>
    </row>
    <row r="10" spans="1:9" ht="15" customHeight="1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ht="15" customHeight="1" x14ac:dyDescent="0.25">
      <c r="A11" s="3"/>
      <c r="B11" s="3"/>
      <c r="C11" s="3"/>
      <c r="D11" s="3"/>
      <c r="E11" s="3"/>
      <c r="F11" s="3"/>
      <c r="G11" s="3"/>
      <c r="H11" s="3"/>
      <c r="I11" s="3"/>
    </row>
    <row r="12" spans="1:9" ht="15" customHeight="1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9" ht="15" customHeight="1" x14ac:dyDescent="0.25">
      <c r="A13" s="3"/>
      <c r="B13" s="3"/>
      <c r="C13" s="3"/>
      <c r="D13" s="3"/>
      <c r="E13" s="3"/>
      <c r="F13" s="3"/>
      <c r="G13" s="3"/>
      <c r="H13" s="3"/>
      <c r="I13" s="3"/>
    </row>
    <row r="14" spans="1:9" ht="15" customHeight="1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ht="15" customHeight="1" x14ac:dyDescent="0.25">
      <c r="A15" s="3"/>
      <c r="B15" s="3"/>
      <c r="C15" s="3"/>
      <c r="D15" s="3"/>
      <c r="E15" s="3"/>
      <c r="F15" s="3"/>
      <c r="G15" s="3"/>
      <c r="H15" s="3"/>
      <c r="I15" s="3"/>
    </row>
    <row r="16" spans="1:9" ht="15" customHeight="1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ht="15" customHeight="1" x14ac:dyDescent="0.25">
      <c r="A17" s="3"/>
      <c r="B17" s="3"/>
      <c r="C17" s="3"/>
      <c r="D17" s="3"/>
      <c r="E17" s="3"/>
      <c r="F17" s="3"/>
      <c r="G17" s="3"/>
      <c r="H17" s="3"/>
      <c r="I17" s="3"/>
    </row>
    <row r="18" spans="1:9" ht="15" customHeight="1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9" ht="15" customHeight="1" x14ac:dyDescent="0.25">
      <c r="A19" s="3"/>
      <c r="B19" s="3"/>
      <c r="C19" s="3"/>
      <c r="D19" s="3"/>
      <c r="E19" s="3"/>
      <c r="F19" s="3"/>
      <c r="G19" s="3"/>
      <c r="H19" s="3"/>
      <c r="I19" s="3"/>
    </row>
    <row r="20" spans="1:9" ht="15" customHeight="1" x14ac:dyDescent="0.25">
      <c r="A20" s="2"/>
      <c r="B20" s="2"/>
      <c r="C20" s="2"/>
      <c r="D20" s="2"/>
      <c r="E20" s="2"/>
      <c r="F20" s="2"/>
      <c r="G20" s="2"/>
      <c r="H20" s="2"/>
      <c r="I20" s="2"/>
    </row>
  </sheetData>
  <mergeCells count="3">
    <mergeCell ref="A1:I1"/>
    <mergeCell ref="A5:I5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X156"/>
  <sheetViews>
    <sheetView tabSelected="1" topLeftCell="AI74" zoomScaleNormal="100" workbookViewId="0">
      <selection activeCell="A3" sqref="A3:BG91"/>
    </sheetView>
  </sheetViews>
  <sheetFormatPr defaultColWidth="8.7109375" defaultRowHeight="15" x14ac:dyDescent="0.25"/>
  <cols>
    <col min="1" max="1" width="7.5703125" customWidth="1"/>
    <col min="2" max="2" width="24.28515625" customWidth="1"/>
    <col min="3" max="3" width="28" customWidth="1"/>
    <col min="4" max="4" width="42.5703125" customWidth="1"/>
    <col min="5" max="5" width="15.28515625" customWidth="1"/>
    <col min="6" max="6" width="12" customWidth="1"/>
    <col min="9" max="9" width="17.42578125" customWidth="1"/>
    <col min="10" max="10" width="14.28515625" customWidth="1"/>
    <col min="11" max="11" width="15.140625" customWidth="1"/>
    <col min="13" max="13" width="18.7109375" customWidth="1"/>
    <col min="16" max="16" width="18.42578125" customWidth="1"/>
    <col min="17" max="17" width="12" customWidth="1"/>
    <col min="18" max="18" width="16.7109375" customWidth="1"/>
    <col min="19" max="19" width="10" customWidth="1"/>
    <col min="22" max="22" width="14.7109375" customWidth="1"/>
    <col min="28" max="28" width="18.85546875" customWidth="1"/>
    <col min="29" max="29" width="17.85546875" customWidth="1"/>
    <col min="30" max="30" width="18.85546875" customWidth="1"/>
    <col min="31" max="32" width="19.7109375" customWidth="1"/>
    <col min="33" max="33" width="16.5703125" customWidth="1"/>
    <col min="34" max="34" width="14.85546875" customWidth="1"/>
    <col min="58" max="59" width="13.7109375" customWidth="1"/>
  </cols>
  <sheetData>
    <row r="1" spans="1:59" ht="19.5" customHeight="1" x14ac:dyDescent="0.25">
      <c r="A1" s="4" t="s">
        <v>12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BF1" s="5"/>
      <c r="BG1" s="5"/>
    </row>
    <row r="2" spans="1:59" ht="15.75" customHeight="1" x14ac:dyDescent="0.25">
      <c r="A2" s="59" t="s">
        <v>13</v>
      </c>
      <c r="B2" s="56"/>
      <c r="C2" s="7" t="s">
        <v>14</v>
      </c>
      <c r="D2" s="7"/>
      <c r="E2" s="7"/>
      <c r="F2" s="62" t="s">
        <v>15</v>
      </c>
      <c r="G2" s="56"/>
      <c r="H2" s="56"/>
      <c r="I2" s="58" t="s">
        <v>16</v>
      </c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7" t="s">
        <v>17</v>
      </c>
      <c r="W2" s="56"/>
      <c r="X2" s="56"/>
      <c r="Y2" s="56"/>
      <c r="Z2" s="56"/>
      <c r="AA2" s="56"/>
      <c r="AB2" s="61" t="s">
        <v>18</v>
      </c>
      <c r="AC2" s="56"/>
      <c r="AD2" s="56"/>
      <c r="AE2" s="56"/>
      <c r="AF2" s="56"/>
      <c r="AG2" s="8"/>
      <c r="AH2" s="60" t="s">
        <v>19</v>
      </c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5" t="s">
        <v>20</v>
      </c>
      <c r="BG2" s="56"/>
    </row>
    <row r="3" spans="1:59" ht="39.75" customHeight="1" x14ac:dyDescent="0.25">
      <c r="A3" s="6" t="s">
        <v>21</v>
      </c>
      <c r="B3" s="9" t="s">
        <v>2</v>
      </c>
      <c r="C3" s="10" t="s">
        <v>22</v>
      </c>
      <c r="D3" s="10" t="s">
        <v>23</v>
      </c>
      <c r="E3" s="10" t="s">
        <v>24</v>
      </c>
      <c r="F3" s="11" t="s">
        <v>25</v>
      </c>
      <c r="G3" s="11" t="s">
        <v>26</v>
      </c>
      <c r="H3" s="11" t="s">
        <v>27</v>
      </c>
      <c r="I3" s="12" t="s">
        <v>28</v>
      </c>
      <c r="J3" s="12" t="s">
        <v>29</v>
      </c>
      <c r="K3" s="12" t="s">
        <v>30</v>
      </c>
      <c r="L3" s="12" t="s">
        <v>31</v>
      </c>
      <c r="M3" s="12" t="s">
        <v>32</v>
      </c>
      <c r="N3" s="12" t="s">
        <v>33</v>
      </c>
      <c r="O3" s="12" t="s">
        <v>34</v>
      </c>
      <c r="P3" s="12" t="s">
        <v>35</v>
      </c>
      <c r="Q3" s="12" t="s">
        <v>36</v>
      </c>
      <c r="R3" s="12" t="s">
        <v>37</v>
      </c>
      <c r="S3" s="12" t="s">
        <v>38</v>
      </c>
      <c r="T3" s="12" t="s">
        <v>39</v>
      </c>
      <c r="U3" s="12" t="s">
        <v>40</v>
      </c>
      <c r="V3" s="13" t="s">
        <v>41</v>
      </c>
      <c r="W3" s="13" t="s">
        <v>42</v>
      </c>
      <c r="X3" s="13" t="s">
        <v>43</v>
      </c>
      <c r="Y3" s="13" t="s">
        <v>44</v>
      </c>
      <c r="Z3" s="13" t="s">
        <v>45</v>
      </c>
      <c r="AA3" s="13" t="s">
        <v>46</v>
      </c>
      <c r="AB3" s="14" t="s">
        <v>47</v>
      </c>
      <c r="AC3" s="14" t="s">
        <v>48</v>
      </c>
      <c r="AD3" s="14" t="s">
        <v>49</v>
      </c>
      <c r="AE3" s="14" t="s">
        <v>50</v>
      </c>
      <c r="AF3" s="14" t="s">
        <v>51</v>
      </c>
      <c r="AG3" s="15" t="s">
        <v>52</v>
      </c>
      <c r="AH3" s="16" t="s">
        <v>53</v>
      </c>
      <c r="AI3" s="16" t="s">
        <v>54</v>
      </c>
      <c r="AJ3" s="16" t="s">
        <v>55</v>
      </c>
      <c r="AK3" s="16" t="s">
        <v>56</v>
      </c>
      <c r="AL3" s="16" t="s">
        <v>57</v>
      </c>
      <c r="AM3" s="16" t="s">
        <v>58</v>
      </c>
      <c r="AN3" s="16" t="s">
        <v>59</v>
      </c>
      <c r="AO3" s="16" t="s">
        <v>60</v>
      </c>
      <c r="AP3" s="16" t="s">
        <v>61</v>
      </c>
      <c r="AQ3" s="16" t="s">
        <v>62</v>
      </c>
      <c r="AR3" s="16" t="s">
        <v>63</v>
      </c>
      <c r="AS3" s="16" t="s">
        <v>64</v>
      </c>
      <c r="AT3" s="16" t="s">
        <v>65</v>
      </c>
      <c r="AU3" s="16" t="s">
        <v>66</v>
      </c>
      <c r="AV3" s="16" t="s">
        <v>67</v>
      </c>
      <c r="AW3" s="16" t="s">
        <v>68</v>
      </c>
      <c r="AX3" s="16" t="s">
        <v>69</v>
      </c>
      <c r="AY3" s="16" t="s">
        <v>70</v>
      </c>
      <c r="AZ3" s="16" t="s">
        <v>71</v>
      </c>
      <c r="BA3" s="16" t="s">
        <v>72</v>
      </c>
      <c r="BB3" s="16" t="s">
        <v>73</v>
      </c>
      <c r="BC3" s="16" t="s">
        <v>74</v>
      </c>
      <c r="BD3" s="16" t="s">
        <v>75</v>
      </c>
      <c r="BE3" s="16" t="s">
        <v>76</v>
      </c>
      <c r="BF3" s="16" t="s">
        <v>77</v>
      </c>
      <c r="BG3" s="54" t="s">
        <v>78</v>
      </c>
    </row>
    <row r="4" spans="1:59" ht="22.5" customHeight="1" x14ac:dyDescent="0.25">
      <c r="A4" s="17">
        <f>IFERROR(RANK(BG4,BG$4:BG$91),"")</f>
        <v>1</v>
      </c>
      <c r="B4" s="18" t="s">
        <v>79</v>
      </c>
      <c r="C4" s="18" t="s">
        <v>80</v>
      </c>
      <c r="D4" s="18" t="str">
        <f t="array" ref="D4">IFERROR(_xll.FDS($B4,"FR_RBICS_NAME_CURR(""IND"")"), "")</f>
        <v>Customer Relationship Management Software</v>
      </c>
      <c r="E4" s="18" t="str">
        <f t="array" ref="E4">PROPER(IFERROR(_xll.FDS($B4,"P_DCOUNTRY"), ""))</f>
        <v>United States</v>
      </c>
      <c r="F4" s="19">
        <f t="array" ref="F4">IFERROR(_xll.FDS($B4,"FCS_EV_DAILY(MV,NOW,,,USD,M)"), "")</f>
        <v>12609.6032736</v>
      </c>
      <c r="G4" s="19">
        <f t="array" ref="G4">IFERROR(_xll.FDS($B4,"AVG(P_VOLUME_FRQ(-1AM,NOW,D,,6))*P_PRICE_AVG(-1AM,NOW,,USD)"), "")</f>
        <v>578.23508577714199</v>
      </c>
      <c r="H4" s="20">
        <f t="array" ref="H4">IFERROR(_xll.FDS($B4,"OS_SEC_FLT_PCT(0D,,MTD,SEC)")/100, "")</f>
        <v>0.96272900000000006</v>
      </c>
      <c r="I4" s="19">
        <f t="array" ref="I4">IFERROR(_xll.FDS($B4,"FE_ACTUAL(ACTUAL,SALES,ANN_ROLL,0,,,,'CURRENCY=USD')"), "")</f>
        <v>3131.2660000000001</v>
      </c>
      <c r="J4" s="19">
        <f t="array" ref="J4">IFERROR(_xll.FDS($B4,"FE_ACTUAL(ACTUAL,EPS,ANN_ROLL,0,,,,'CURRENCY=USD')"), "")</f>
        <v>9.6999999999999993</v>
      </c>
      <c r="K4" s="20">
        <f t="array" ref="K4">IFERROR(_xll.FDS($B4,"POW(FE_ESTIMATE(SALES,MEAN,STMA,,NOW,,,'CURRENCY=USD')/FE_ESTIMATE(SALES,MEAN,LTMA,,NOW,,,'CURRENCY=USD'),0.5)-1"), "")</f>
        <v>0.16894537939118401</v>
      </c>
      <c r="L4" s="20">
        <f t="array" ref="L4">IFERROR(_xll.FDS($B4,"POW(FE_ESTIMATE(EPS,MEAN,STMA,,NOW,,,'CURRENCY=USD')/FE_ESTIMATE(EPS,MEAN,LTMA,,NOW,,,'CURRENCY=USD'),0.5)-1"), "")</f>
        <v>0.247642697249497</v>
      </c>
      <c r="M4" s="21">
        <f t="array" ref="M4">IFERROR(_xll.FDS($B4,"FF_GROSS_MGN(LTM_R,0)"), "")</f>
        <v>83.758949175550001</v>
      </c>
      <c r="N4" s="21">
        <f t="array" ref="N4">IFERROR(_xll.FDS($B4,"FF_EBITDA_OPER_MGN(LTM_R,0)"), "")</f>
        <v>5.6062921707190503</v>
      </c>
      <c r="O4" s="21">
        <f t="array" ref="O4">IFERROR(_xll.FDS($B4,"FF_NET_MGN(LTM_R,0)"), "")</f>
        <v>1.46639517706711</v>
      </c>
      <c r="P4" s="22">
        <f t="array" ref="P4">IFERROR(_xll.FDS($B4,"FE_VALUATION(NETDEBT_EBITDA,MEAN,NTMA,,NOW,,,'')"), "")</f>
        <v>-2.2464297000000002</v>
      </c>
      <c r="Q4" s="23">
        <f t="array" ref="Q4">IFERROR(_xll.FDS($B4,"FE_VALUATION(MCAP_FCF,MEAN,NTMA,,NOW,,,'')"), "")</f>
        <v>6.2337173999999997</v>
      </c>
      <c r="R4" s="23">
        <f t="array" ref="R4">IFERROR(_xll.FDS($B4,"FE_VALUATION(DIV_YLD,MEAN,NTMA,,NOW,,,'')"), "")</f>
        <v>0</v>
      </c>
      <c r="S4" s="21">
        <f t="array" ref="S4">IFERROR(_xll.FDS($B4,"FE_VALUATION(ROE,MEAN,NTMA,,0,,,'')" ), "")</f>
        <v>25.606490000000001</v>
      </c>
      <c r="T4" s="21">
        <f t="array" ref="T4">IFERROR(_xll.FDS($B4,"FE_VALUATION(ROIC,MEAN,NTMA,,0,,,'')" ), "")</f>
        <v>23.986854999999998</v>
      </c>
      <c r="U4" s="22">
        <f t="array" ref="U4">IFERROR(((_xll.FDS($B4,"FE_ACTUAL(ACTUAL,SALES,ANN_ROLL,0,,,,'CURRENCY=USD')")/_xll.FDS($B4,"FE_ACTUAL(ACTUAL,SALES,ANN_ROLL,-1,,,,'CURRENCY=USD')")-1)*100)+(_xll.FDS($B4,"FE_VALUATION(EBITDA_MARGIN,MEAN,ANN_ROLL,0,NOW,,,'')")  ), "")</f>
        <v>41.915655605080481</v>
      </c>
      <c r="V4" s="24">
        <f t="array" ref="V4">IFERROR(_xll.FDS($B4,"FE_VALUATION(PE,MEAN,NTMA,,0,,,'')" ), "")</f>
        <v>18.106286999999998</v>
      </c>
      <c r="W4" s="24">
        <f t="array" ref="W4">IFERROR(_xll.FDS($B4,"FE_VALUATION(P_SALESPS,MEAN,NTMA,,0,,,'')" ), "")</f>
        <v>3.2387139999999999</v>
      </c>
      <c r="X4" s="24">
        <f t="array" ref="X4">IFERROR(_xll.FDS($B4,"FE_VALUATION(FFEV_SALES,MEAN,NTMA,,0,,,'')" ), "")</f>
        <v>2.8859944</v>
      </c>
      <c r="Y4" s="24">
        <f t="array" ref="Y4">IFERROR(_xll.FDS($B4,"FE_VALUATION(FFEV_EBITDA,MEAN,NTMA,,0,,,'')" ), "")</f>
        <v>11.894690000000001</v>
      </c>
      <c r="Z4" s="20">
        <f t="array" ref="Z4">IFERROR(_xll.FDS($B4,"PERCENT_CHANGE(FE_VALUATION(PE,MEAN,NTMA,,0,,,''),MAX(FE_VALUATION(PE,MEAN,NTMA,,-1AY,0,,'')))")/100,"")</f>
        <v>-0.76062537579343004</v>
      </c>
      <c r="AA4" s="20">
        <f t="array" ref="AA4">IFERROR(_xll.FDS($B4,"PERCENT_CHANGE(FE_VALUATION(FFEV_EBITDA,MEAN,NTMA,,0,,,''),MAX(FE_VALUATION(FFEV_EBITDA,MEAN,NTMA,,-1AY,0,,'')))")/100,"")</f>
        <v>-0.78299651763730593</v>
      </c>
      <c r="AB4" s="20">
        <f t="array" ref="AB4">IFERROR(_xll.FDS($B4,"FG_PRICE(0,,,USD)/P_PRICE_HIGH(-1AY,0,USD,,,""PRICE"",""INTRA"")")-1, "")</f>
        <v>-0.68505429631435</v>
      </c>
      <c r="AC4" s="20">
        <f t="array" ref="AC4">IFERROR(_xll.FDS($B4,"RTP_PRICE_TARGET(USD)/FG_PRICE(0,,,USD)")-1, "")</f>
        <v>0.51851633705932998</v>
      </c>
      <c r="AD4" s="25">
        <f t="array" ref="AD4">IFERROR(_xll.FDS($B4,"FG_PRICE(0,,,USD)/FG_PRICE_MAVG(0,,,USD,50)")-1, "")</f>
        <v>-0.27519838561814103</v>
      </c>
      <c r="AE4" s="25">
        <f t="array" ref="AE4">IFERROR(_xll.FDS($B4,"FG_PRICE(0,,,USD)/FG_PRICE_MAVG(0,,,USD,100)")-1, "")</f>
        <v>-0.37289944229569505</v>
      </c>
      <c r="AF4" s="25">
        <f t="array" ref="AF4">IFERROR(_xll.FDS($B4,"FG_PRICE(0,,,USD)/FG_PRICE_MAVG(0,,,USD,200)")-1, "")</f>
        <v>-0.48767563656467305</v>
      </c>
      <c r="AG4" s="26" t="str">
        <f t="array" ref="AG4">IFERROR(_xll.FDS($B4,"FE_RATING(MEAN,TEXTONLY,0,NOW,,,'')"), "")</f>
        <v>Buy</v>
      </c>
      <c r="AH4" s="50">
        <f>IFERROR(IF('3 — Weights'!$E$2=1,PERCENTRANK(I$4:I$91,I4),1-PERCENTRANK(I$4:I$91,I4))*100,"")</f>
        <v>67.800000000000011</v>
      </c>
      <c r="AI4" s="51">
        <f>IFERROR(IF('3 — Weights'!$E$3=1,PERCENTRANK(J$4:J$91,J4),1-PERCENTRANK(J$4:J$91,J4))*100,"")</f>
        <v>88.5</v>
      </c>
      <c r="AJ4" s="51">
        <f>IFERROR(IF('3 — Weights'!$E$4=1,PERCENTRANK(K$4:K$91,K4),1-PERCENTRANK(K$4:K$91,K4))*100,"")</f>
        <v>68.899999999999991</v>
      </c>
      <c r="AK4" s="51">
        <f>IFERROR(IF('3 — Weights'!$E$5=1,PERCENTRANK(L$4:L$91,L4),1-PERCENTRANK(L$4:L$91,L4))*100,"")</f>
        <v>75</v>
      </c>
      <c r="AL4" s="51">
        <f>IFERROR(IF('3 — Weights'!$E$6=1,PERCENTRANK(M$4:M$91,M4),1-PERCENTRANK(M$4:M$91,M4))*100,"")</f>
        <v>92.600000000000009</v>
      </c>
      <c r="AM4" s="51">
        <f>IFERROR(IF('3 — Weights'!$E$7=1,PERCENTRANK(N$4:N$91,N4),1-PERCENTRANK(N$4:N$91,N4))*100,"")</f>
        <v>25.900000000000002</v>
      </c>
      <c r="AN4" s="51">
        <f>IFERROR(IF('3 — Weights'!$E$8=1,PERCENTRANK(O$4:O$91,O4),1-PERCENTRANK(O$4:O$91,O4))*100,"")</f>
        <v>31.3</v>
      </c>
      <c r="AO4" s="51">
        <f>IFERROR(IF('3 — Weights'!$E$9=1,PERCENTRANK(P$4:P$91,P4),1-PERCENTRANK(P$4:P$91,P4))*100,"")</f>
        <v>71.100000000000009</v>
      </c>
      <c r="AP4" s="51">
        <f>IFERROR(IF('3 — Weights'!$E$10=1,PERCENTRANK(Q$4:Q$91,Q4),1-PERCENTRANK(Q$4:Q$91,Q4))*100,"")</f>
        <v>63</v>
      </c>
      <c r="AQ4" s="51">
        <f>IFERROR(IF('3 — Weights'!$E$11=1,PERCENTRANK(R$4:R$91,R4),1-PERCENTRANK(R$4:R$91,R4))*100,"")</f>
        <v>0</v>
      </c>
      <c r="AR4" s="51">
        <f>IFERROR(IF('3 — Weights'!$E$12=1,PERCENTRANK(S$4:S$91,S4),1-PERCENTRANK(S$4:S$91,S4))*100,"")</f>
        <v>64.099999999999994</v>
      </c>
      <c r="AS4" s="51">
        <f>IFERROR(IF('3 — Weights'!$E$13=1,PERCENTRANK(T$4:T$91,T4),1-PERCENTRANK(T$4:T$91,T4))*100,"")</f>
        <v>73.599999999999994</v>
      </c>
      <c r="AT4" s="51">
        <f>IFERROR(IF('3 — Weights'!$E$14=1,PERCENTRANK(U$4:U$91,U4),1-PERCENTRANK(U$4:U$91,U4))*100,"")</f>
        <v>42.6</v>
      </c>
      <c r="AU4" s="51">
        <f>IFERROR(IF('3 — Weights'!$E$15=1,PERCENTRANK(V$4:V$91,V4),1-PERCENTRANK(V$4:V$91,V4))*100,"")</f>
        <v>65.600000000000009</v>
      </c>
      <c r="AV4" s="51">
        <f>IFERROR(IF('3 — Weights'!$E$16=1,PERCENTRANK(W$4:W$91,W4),1-PERCENTRANK(W$4:W$91,W4))*100,"")</f>
        <v>70.199999999999989</v>
      </c>
      <c r="AW4" s="51">
        <f>IFERROR(IF('3 — Weights'!$E$17=1,PERCENTRANK(X$4:X$91,X4),1-PERCENTRANK(X$4:X$91,X4))*100,"")</f>
        <v>81.699999999999989</v>
      </c>
      <c r="AX4" s="51">
        <f>IFERROR(IF('3 — Weights'!$E$18=1,PERCENTRANK(Y$4:Y$91,Y4),1-PERCENTRANK(Y$4:Y$91,Y4))*100,"")</f>
        <v>68.7</v>
      </c>
      <c r="AY4" s="51">
        <f>IFERROR(IF('3 — Weights'!$E$18=1,PERCENTRANK(Z$4:Z$91,Z4),1-PERCENTRANK(Z$4:Z$91,Z4))*100,"")</f>
        <v>95.5</v>
      </c>
      <c r="AZ4" s="51">
        <f>IFERROR(IF('3 — Weights'!$E$18=1,PERCENTRANK(AA$4:AA$91,AA4),1-PERCENTRANK(AA$4:AA$91,AA4))*100,"")</f>
        <v>98.9</v>
      </c>
      <c r="BA4" s="51">
        <f>IFERROR(IF('3 — Weights'!$E$21=1,PERCENTRANK(AB$4:AB$91,AB4),1-PERCENTRANK(AB$4:AB$91,AB4))*100,"")</f>
        <v>2.1999999999999997</v>
      </c>
      <c r="BB4" s="51">
        <f>IFERROR(IF('3 — Weights'!$E$22=1,PERCENTRANK(AC$4:AC$91,AC4),1-PERCENTRANK(AC$4:AC$91,AC4))*100,"")</f>
        <v>49.4</v>
      </c>
      <c r="BC4" s="51">
        <f>IFERROR(IF('3 — Weights'!$E$23=1,PERCENTRANK(AD$4:AD$91,AD4),1-PERCENTRANK(AD$4:AD$91,AD4))*100,"")</f>
        <v>86.3</v>
      </c>
      <c r="BD4" s="51">
        <f>IFERROR(IF('3 — Weights'!$E$24=1,PERCENTRANK(AE$4:AE$91,AE4),1-PERCENTRANK(AE$4:AE$91,AE4))*100,"")</f>
        <v>92</v>
      </c>
      <c r="BE4" s="51">
        <f>IFERROR(IF('3 — Weights'!$E$25=1,PERCENTRANK(AF$4:AF$91,AF4),1-PERCENTRANK(AF$4:AF$91,AF4))*100,"")</f>
        <v>95.5</v>
      </c>
      <c r="BF4" s="52" cm="1">
        <f t="array" ref="BF4">IFERROR(SUMPRODUCT(TRANSPOSE(AH4:BE4), [1]!Table2[Weight
Claude]),"")</f>
        <v>67.865000000000009</v>
      </c>
      <c r="BG4" s="53" cm="1">
        <f t="array" ref="BG4">IFERROR(SUMPRODUCT(TRANSPOSE(AH4:BE4), [1]!Table2[Weight
Cape IMC]),"")</f>
        <v>67.865000000000009</v>
      </c>
    </row>
    <row r="5" spans="1:59" ht="22.5" customHeight="1" x14ac:dyDescent="0.25">
      <c r="A5" s="17">
        <f t="shared" ref="A5:A68" si="0">IFERROR(RANK(BG5,BG$4:BG$91),"")</f>
        <v>2</v>
      </c>
      <c r="B5" s="18" t="s">
        <v>81</v>
      </c>
      <c r="C5" s="18" t="s">
        <v>82</v>
      </c>
      <c r="D5" s="18" t="str">
        <f t="array" ref="D5">IFERROR(_xll.FDS($B5,"FR_RBICS_NAME_CURR(""IND"")"), "")</f>
        <v>Data Storage Infrastructure Software</v>
      </c>
      <c r="E5" s="18" t="str">
        <f t="array" ref="E5">PROPER(IFERROR(_xll.FDS($B5,"P_DCOUNTRY"), ""))</f>
        <v>United States</v>
      </c>
      <c r="F5" s="19">
        <f t="array" ref="F5">IFERROR(_xll.FDS($B5,"FCS_EV_DAILY(MV,NOW,,,USD,M)"), "")</f>
        <v>10743.04584264</v>
      </c>
      <c r="G5" s="19">
        <f t="array" ref="G5">IFERROR(_xll.FDS($B5,"AVG(P_VOLUME_FRQ(-1AM,NOW,D,,6))*P_PRICE_AVG(-1AM,NOW,,USD)"), "")</f>
        <v>167.96063267674299</v>
      </c>
      <c r="H5" s="20">
        <f t="array" ref="H5">IFERROR(_xll.FDS($B5,"OS_SEC_FLT_PCT(0D,,MTD,SEC)")/100, "")</f>
        <v>0.97541300000000009</v>
      </c>
      <c r="I5" s="19">
        <f t="array" ref="I5">IFERROR(_xll.FDS($B5,"FE_ACTUAL(ACTUAL,SALES,ANN_ROLL,0,,,,'CURRENCY=USD')"), "")</f>
        <v>2537.9270000000001</v>
      </c>
      <c r="J5" s="19">
        <f t="array" ref="J5">IFERROR(_xll.FDS($B5,"FE_ACTUAL(ACTUAL,EPS,ANN_ROLL,0,,,,'CURRENCY=USD')"), "")</f>
        <v>1.78</v>
      </c>
      <c r="K5" s="20">
        <f t="array" ref="K5">IFERROR(_xll.FDS($B5,"POW(FE_ESTIMATE(SALES,MEAN,STMA,,NOW,,,'CURRENCY=USD')/FE_ESTIMATE(SALES,MEAN,LTMA,,NOW,,,'CURRENCY=USD'),0.5)-1"), "")</f>
        <v>0.127627465078782</v>
      </c>
      <c r="L5" s="20">
        <f t="array" ref="L5">IFERROR(_xll.FDS($B5,"POW(FE_ESTIMATE(EPS,MEAN,STMA,,NOW,,,'CURRENCY=USD')/FE_ESTIMATE(EPS,MEAN,LTMA,,NOW,,,'CURRENCY=USD'),0.5)-1"), "")</f>
        <v>0.147733244268894</v>
      </c>
      <c r="M5" s="21">
        <f t="array" ref="M5">IFERROR(_xll.FDS($B5,"FF_GROSS_MGN(LTM_R,0)"), "")</f>
        <v>87.013222685208703</v>
      </c>
      <c r="N5" s="21">
        <f t="array" ref="N5">IFERROR(_xll.FDS($B5,"FF_EBITDA_OPER_MGN(LTM_R,0)"), "")</f>
        <v>10.771802760370701</v>
      </c>
      <c r="O5" s="21">
        <f t="array" ref="O5">IFERROR(_xll.FDS($B5,"FF_NET_MGN(LTM_R,0)"), "")</f>
        <v>8.4252928409690409</v>
      </c>
      <c r="P5" s="22">
        <f t="array" ref="P5">IFERROR(_xll.FDS($B5,"FE_VALUATION(NETDEBT_EBITDA,MEAN,NTMA,,NOW,,,'')"), "")</f>
        <v>-2.2384423999999998</v>
      </c>
      <c r="Q5" s="23">
        <f t="array" ref="Q5">IFERROR(_xll.FDS($B5,"FE_VALUATION(MCAP_FCF,MEAN,NTMA,,NOW,,,'')"), "")</f>
        <v>8.5215490000000003</v>
      </c>
      <c r="R5" s="23">
        <f t="array" ref="R5">IFERROR(_xll.FDS($B5,"FE_VALUATION(DIV_YLD,MEAN,NTMA,,NOW,,,'')"), "")</f>
        <v>0</v>
      </c>
      <c r="S5" s="21">
        <f t="array" ref="S5">IFERROR(_xll.FDS($B5,"FE_VALUATION(ROE,MEAN,NTMA,,0,,,'')" ), "")</f>
        <v>1583.1248000000001</v>
      </c>
      <c r="T5" s="21">
        <f t="array" ref="T5">IFERROR(_xll.FDS($B5,"FE_VALUATION(ROIC,MEAN,NTMA,,0,,,'')" ), "")</f>
        <v>44.851734</v>
      </c>
      <c r="U5" s="22">
        <f t="array" ref="U5">IFERROR(((_xll.FDS($B5,"FE_ACTUAL(ACTUAL,SALES,ANN_ROLL,0,,,,'CURRENCY=USD')")/_xll.FDS($B5,"FE_ACTUAL(ACTUAL,SALES,ANN_ROLL,-1,,,,'CURRENCY=USD')")-1)*100)+(_xll.FDS($B5,"FE_VALUATION(EBITDA_MARGIN,MEAN,ANN_ROLL,0,NOW,,,'')")  ), "")</f>
        <v>42.097692167102274</v>
      </c>
      <c r="V5" s="24">
        <f t="array" ref="V5">IFERROR(_xll.FDS($B5,"FE_VALUATION(PE,MEAN,NTMA,,0,,,'')" ), "")</f>
        <v>19.056950000000001</v>
      </c>
      <c r="W5" s="24">
        <f t="array" ref="W5">IFERROR(_xll.FDS($B5,"FE_VALUATION(P_SALESPS,MEAN,NTMA,,0,,,'')" ), "")</f>
        <v>3.3473253000000001</v>
      </c>
      <c r="X5" s="24">
        <f t="array" ref="X5">IFERROR(_xll.FDS($B5,"FE_VALUATION(FFEV_SALES,MEAN,NTMA,,0,,,'')" ), "")</f>
        <v>3.4821198</v>
      </c>
      <c r="Y5" s="24">
        <f t="array" ref="Y5">IFERROR(_xll.FDS($B5,"FE_VALUATION(FFEV_EBITDA,MEAN,NTMA,,0,,,'')" ), "")</f>
        <v>13.97298</v>
      </c>
      <c r="Z5" s="20">
        <f t="array" ref="Z5">IFERROR(_xll.FDS($B5,"PERCENT_CHANGE(FE_VALUATION(PE,MEAN,NTMA,,0,,,''),MAX(FE_VALUATION(PE,MEAN,NTMA,,-1AY,0,,'')))")/100,"")</f>
        <v>-0.58102081072476996</v>
      </c>
      <c r="AA5" s="20">
        <f t="array" ref="AA5">IFERROR(_xll.FDS($B5,"PERCENT_CHANGE(FE_VALUATION(FFEV_EBITDA,MEAN,NTMA,,0,,,''),MAX(FE_VALUATION(FFEV_EBITDA,MEAN,NTMA,,-1AY,0,,'')))")/100,"")</f>
        <v>-0.63910111175509798</v>
      </c>
      <c r="AB5" s="20">
        <f t="array" ref="AB5">IFERROR(_xll.FDS($B5,"FG_PRICE(0,,,USD)/P_PRICE_HIGH(-1AY,0,USD,,,""PRICE"",""INTRA"")")-1, "")</f>
        <v>-0.54582533589251403</v>
      </c>
      <c r="AC5" s="20">
        <f t="array" ref="AC5">IFERROR(_xll.FDS($B5,"RTP_PRICE_TARGET(USD)/FG_PRICE(0,,,USD)")-1, "")</f>
        <v>0.60104022715267003</v>
      </c>
      <c r="AD5" s="25">
        <f t="array" ref="AD5">IFERROR(_xll.FDS($B5,"FG_PRICE(0,,,USD)/FG_PRICE_MAVG(0,,,USD,50)")-1, "")</f>
        <v>-0.17404773332169798</v>
      </c>
      <c r="AE5" s="25">
        <f t="array" ref="AE5">IFERROR(_xll.FDS($B5,"FG_PRICE(0,,,USD)/FG_PRICE_MAVG(0,,,USD,100)")-1, "")</f>
        <v>-0.310661262658816</v>
      </c>
      <c r="AF5" s="25">
        <f t="array" ref="AF5">IFERROR(_xll.FDS($B5,"FG_PRICE(0,,,USD)/FG_PRICE_MAVG(0,,,USD,200)")-1, "")</f>
        <v>-0.41555088497112103</v>
      </c>
      <c r="AG5" s="26" t="str">
        <f t="array" ref="AG5">IFERROR(_xll.FDS($B5,"FE_RATING(MEAN,TEXTONLY,0,NOW,,,'')"), "")</f>
        <v>Overweight</v>
      </c>
      <c r="AH5" s="50">
        <f>IFERROR(IF('3 — Weights'!$E$2=1,PERCENTRANK(I$4:I$91,I5),1-PERCENTRANK(I$4:I$91,I5))*100,"")</f>
        <v>60.9</v>
      </c>
      <c r="AI5" s="51">
        <f>IFERROR(IF('3 — Weights'!$E$3=1,PERCENTRANK(J$4:J$91,J5),1-PERCENTRANK(J$4:J$91,J5))*100,"")</f>
        <v>42.5</v>
      </c>
      <c r="AJ5" s="51">
        <f>IFERROR(IF('3 — Weights'!$E$4=1,PERCENTRANK(K$4:K$91,K5),1-PERCENTRANK(K$4:K$91,K5))*100,"")</f>
        <v>49.4</v>
      </c>
      <c r="AK5" s="51">
        <f>IFERROR(IF('3 — Weights'!$E$5=1,PERCENTRANK(L$4:L$91,L5),1-PERCENTRANK(L$4:L$91,L5))*100,"")</f>
        <v>42.8</v>
      </c>
      <c r="AL5" s="51">
        <f>IFERROR(IF('3 — Weights'!$E$6=1,PERCENTRANK(M$4:M$91,M5),1-PERCENTRANK(M$4:M$91,M5))*100,"")</f>
        <v>97.5</v>
      </c>
      <c r="AM5" s="51">
        <f>IFERROR(IF('3 — Weights'!$E$7=1,PERCENTRANK(N$4:N$91,N5),1-PERCENTRANK(N$4:N$91,N5))*100,"")</f>
        <v>35</v>
      </c>
      <c r="AN5" s="51">
        <f>IFERROR(IF('3 — Weights'!$E$8=1,PERCENTRANK(O$4:O$91,O5),1-PERCENTRANK(O$4:O$91,O5))*100,"")</f>
        <v>44.5</v>
      </c>
      <c r="AO5" s="51">
        <f>IFERROR(IF('3 — Weights'!$E$9=1,PERCENTRANK(P$4:P$91,P5),1-PERCENTRANK(P$4:P$91,P5))*100,"")</f>
        <v>69.900000000000006</v>
      </c>
      <c r="AP5" s="51">
        <f>IFERROR(IF('3 — Weights'!$E$10=1,PERCENTRANK(Q$4:Q$91,Q5),1-PERCENTRANK(Q$4:Q$91,Q5))*100,"")</f>
        <v>83.3</v>
      </c>
      <c r="AQ5" s="51">
        <f>IFERROR(IF('3 — Weights'!$E$11=1,PERCENTRANK(R$4:R$91,R5),1-PERCENTRANK(R$4:R$91,R5))*100,"")</f>
        <v>0</v>
      </c>
      <c r="AR5" s="51">
        <f>IFERROR(IF('3 — Weights'!$E$12=1,PERCENTRANK(S$4:S$91,S5),1-PERCENTRANK(S$4:S$91,S5))*100,"")</f>
        <v>100</v>
      </c>
      <c r="AS5" s="51">
        <f>IFERROR(IF('3 — Weights'!$E$13=1,PERCENTRANK(T$4:T$91,T5),1-PERCENTRANK(T$4:T$91,T5))*100,"")</f>
        <v>95.8</v>
      </c>
      <c r="AT5" s="51">
        <f>IFERROR(IF('3 — Weights'!$E$14=1,PERCENTRANK(U$4:U$91,U5),1-PERCENTRANK(U$4:U$91,U5))*100,"")</f>
        <v>43.9</v>
      </c>
      <c r="AU5" s="51">
        <f>IFERROR(IF('3 — Weights'!$E$15=1,PERCENTRANK(V$4:V$91,V5),1-PERCENTRANK(V$4:V$91,V5))*100,"")</f>
        <v>57.499999999999993</v>
      </c>
      <c r="AV5" s="51">
        <f>IFERROR(IF('3 — Weights'!$E$16=1,PERCENTRANK(W$4:W$91,W5),1-PERCENTRANK(W$4:W$91,W5))*100,"")</f>
        <v>67.900000000000006</v>
      </c>
      <c r="AW5" s="51">
        <f>IFERROR(IF('3 — Weights'!$E$17=1,PERCENTRANK(X$4:X$91,X5),1-PERCENTRANK(X$4:X$91,X5))*100,"")</f>
        <v>65.600000000000009</v>
      </c>
      <c r="AX5" s="51">
        <f>IFERROR(IF('3 — Weights'!$E$18=1,PERCENTRANK(Y$4:Y$91,Y5),1-PERCENTRANK(Y$4:Y$91,Y5))*100,"")</f>
        <v>57.000000000000007</v>
      </c>
      <c r="AY5" s="51">
        <f>IFERROR(IF('3 — Weights'!$E$18=1,PERCENTRANK(Z$4:Z$91,Z5),1-PERCENTRANK(Z$4:Z$91,Z5))*100,"")</f>
        <v>63.3</v>
      </c>
      <c r="AZ5" s="51">
        <f>IFERROR(IF('3 — Weights'!$E$18=1,PERCENTRANK(AA$4:AA$91,AA5),1-PERCENTRANK(AA$4:AA$91,AA5))*100,"")</f>
        <v>83.8</v>
      </c>
      <c r="BA5" s="51">
        <f>IFERROR(IF('3 — Weights'!$E$21=1,PERCENTRANK(AB$4:AB$91,AB5),1-PERCENTRANK(AB$4:AB$91,AB5))*100,"")</f>
        <v>16</v>
      </c>
      <c r="BB5" s="51">
        <f>IFERROR(IF('3 — Weights'!$E$22=1,PERCENTRANK(AC$4:AC$91,AC5),1-PERCENTRANK(AC$4:AC$91,AC5))*100,"")</f>
        <v>62</v>
      </c>
      <c r="BC5" s="51">
        <f>IFERROR(IF('3 — Weights'!$E$23=1,PERCENTRANK(AD$4:AD$91,AD5),1-PERCENTRANK(AD$4:AD$91,AD5))*100,"")</f>
        <v>43.7</v>
      </c>
      <c r="BD5" s="51">
        <f>IFERROR(IF('3 — Weights'!$E$24=1,PERCENTRANK(AE$4:AE$91,AE5),1-PERCENTRANK(AE$4:AE$91,AE5))*100,"")</f>
        <v>73.599999999999994</v>
      </c>
      <c r="BE5" s="51">
        <f>IFERROR(IF('3 — Weights'!$E$25=1,PERCENTRANK(AF$4:AF$91,AF5),1-PERCENTRANK(AF$4:AF$91,AF5))*100,"")</f>
        <v>87.4</v>
      </c>
      <c r="BF5" s="52" cm="1">
        <f t="array" ref="BF5">IFERROR(SUMPRODUCT(TRANSPOSE(AH5:BE5), [1]!Table2[Weight
Claude]),"")</f>
        <v>66.91</v>
      </c>
      <c r="BG5" s="53" cm="1">
        <f t="array" ref="BG5">IFERROR(SUMPRODUCT(TRANSPOSE(AH5:BE5), [1]!Table2[Weight
Cape IMC]),"")</f>
        <v>66.91</v>
      </c>
    </row>
    <row r="6" spans="1:59" ht="22.5" customHeight="1" x14ac:dyDescent="0.25">
      <c r="A6" s="17">
        <f t="shared" si="0"/>
        <v>4</v>
      </c>
      <c r="B6" s="18" t="s">
        <v>83</v>
      </c>
      <c r="C6" s="18" t="s">
        <v>84</v>
      </c>
      <c r="D6" s="18" t="str">
        <f t="array" ref="D6">IFERROR(_xll.FDS($B6,"FR_RBICS_NAME_CURR(""IND"")"), "")</f>
        <v>Customer Relationship Management Software</v>
      </c>
      <c r="E6" s="18" t="str">
        <f t="array" ref="E6">PROPER(IFERROR(_xll.FDS($B6,"P_DCOUNTRY"), ""))</f>
        <v>United States</v>
      </c>
      <c r="F6" s="19">
        <f t="array" ref="F6">IFERROR(_xll.FDS($B6,"FCS_EV_DAILY(MV,NOW,,,USD,M)"), "")</f>
        <v>133672.51070704</v>
      </c>
      <c r="G6" s="19">
        <f t="array" ref="G6">IFERROR(_xll.FDS($B6,"AVG(P_VOLUME_FRQ(-1AM,NOW,D,,6))*P_PRICE_AVG(-1AM,NOW,,USD)"), "")</f>
        <v>3372.0397931725802</v>
      </c>
      <c r="H6" s="20">
        <f t="array" ref="H6">IFERROR(_xll.FDS($B6,"OS_SEC_FLT_PCT(0D,,MTD,SEC)")/100, "")</f>
        <v>0.72632200000000002</v>
      </c>
      <c r="I6" s="19">
        <f t="array" ref="I6">IFERROR(_xll.FDS($B6,"FE_ACTUAL(ACTUAL,SALES,ANN_ROLL,0,,,,'CURRENCY=USD')"), "")</f>
        <v>5480.7169999999996</v>
      </c>
      <c r="J6" s="19">
        <f t="array" ref="J6">IFERROR(_xll.FDS($B6,"FE_ACTUAL(ACTUAL,EPS,ANN_ROLL,0,,,,'CURRENCY=USD')"), "")</f>
        <v>9.75</v>
      </c>
      <c r="K6" s="20">
        <f t="array" ref="K6">IFERROR(_xll.FDS($B6,"POW(FE_ESTIMATE(SALES,MEAN,STMA,,NOW,,,'CURRENCY=USD')/FE_ESTIMATE(SALES,MEAN,LTMA,,NOW,,,'CURRENCY=USD'),0.5)-1"), "")</f>
        <v>0.34842793652460302</v>
      </c>
      <c r="L6" s="20">
        <f t="array" ref="L6">IFERROR(_xll.FDS($B6,"POW(FE_ESTIMATE(EPS,MEAN,STMA,,NOW,,,'CURRENCY=USD')/FE_ESTIMATE(EPS,MEAN,LTMA,,NOW,,,'CURRENCY=USD'),0.5)-1"), "")</f>
        <v>0.42091097539571398</v>
      </c>
      <c r="M6" s="21">
        <f t="array" ref="M6">IFERROR(_xll.FDS($B6,"FF_GROSS_MGN(LTM_R,0)"), "")</f>
        <v>85.470904432216003</v>
      </c>
      <c r="N6" s="21">
        <f t="array" ref="N6">IFERROR(_xll.FDS($B6,"FF_EBITDA_OPER_MGN(LTM_R,0)"), "")</f>
        <v>75.735837695090595</v>
      </c>
      <c r="O6" s="21">
        <f t="array" ref="O6">IFERROR(_xll.FDS($B6,"FF_NET_MGN(LTM_R,0)"), "")</f>
        <v>56.592276227555899</v>
      </c>
      <c r="P6" s="22">
        <f t="array" ref="P6">IFERROR(_xll.FDS($B6,"FE_VALUATION(NETDEBT_EBITDA,MEAN,NTMA,,NOW,,,'')"), "")</f>
        <v>-0.42884581999999999</v>
      </c>
      <c r="Q6" s="23">
        <f t="array" ref="Q6">IFERROR(_xll.FDS($B6,"FE_VALUATION(MCAP_FCF,MEAN,NTMA,,NOW,,,'')"), "")</f>
        <v>4.0581354999999997</v>
      </c>
      <c r="R6" s="23">
        <f t="array" ref="R6">IFERROR(_xll.FDS($B6,"FE_VALUATION(DIV_YLD,MEAN,NTMA,,NOW,,,'')"), "")</f>
        <v>0</v>
      </c>
      <c r="S6" s="21">
        <f t="array" ref="S6">IFERROR(_xll.FDS($B6,"FE_VALUATION(ROE,MEAN,NTMA,,0,,,'')" ), "")</f>
        <v>103.16670000000001</v>
      </c>
      <c r="T6" s="21">
        <f t="array" ref="T6">IFERROR(_xll.FDS($B6,"FE_VALUATION(ROIC,MEAN,NTMA,,0,,,'')" ), "")</f>
        <v>54.05012</v>
      </c>
      <c r="U6" s="22">
        <f t="array" ref="U6">IFERROR(((_xll.FDS($B6,"FE_ACTUAL(ACTUAL,SALES,ANN_ROLL,0,,,,'CURRENCY=USD')")/_xll.FDS($B6,"FE_ACTUAL(ACTUAL,SALES,ANN_ROLL,-1,,,,'CURRENCY=USD')")-1)*100)+(_xll.FDS($B6,"FE_VALUATION(EBITDA_MARGIN,MEAN,ANN_ROLL,0,NOW,,,'')")  ), "")</f>
        <v>98.715249843711788</v>
      </c>
      <c r="V6" s="24">
        <f t="array" ref="V6">IFERROR(_xll.FDS($B6,"FE_VALUATION(PE,MEAN,NTMA,,0,,,'')" ), "")</f>
        <v>24.144264</v>
      </c>
      <c r="W6" s="24">
        <f t="array" ref="W6">IFERROR(_xll.FDS($B6,"FE_VALUATION(P_SALESPS,MEAN,NTMA,,0,,,'')" ), "")</f>
        <v>16.012339999999998</v>
      </c>
      <c r="X6" s="24">
        <f t="array" ref="X6">IFERROR(_xll.FDS($B6,"FE_VALUATION(FFEV_SALES,MEAN,NTMA,,0,,,'')" ), "")</f>
        <v>16.355515</v>
      </c>
      <c r="Y6" s="24">
        <f t="array" ref="Y6">IFERROR(_xll.FDS($B6,"FE_VALUATION(FFEV_EBITDA,MEAN,NTMA,,0,,,'')" ), "")</f>
        <v>19.384699999999999</v>
      </c>
      <c r="Z6" s="20">
        <f t="array" ref="Z6">IFERROR(_xll.FDS($B6,"PERCENT_CHANGE(FE_VALUATION(PE,MEAN,NTMA,,0,,,''),MAX(FE_VALUATION(PE,MEAN,NTMA,,-1AY,0,,'')))")/100,"")</f>
        <v>-0.58231353835314204</v>
      </c>
      <c r="AA6" s="20">
        <f t="array" ref="AA6">IFERROR(_xll.FDS($B6,"PERCENT_CHANGE(FE_VALUATION(FFEV_EBITDA,MEAN,NTMA,,0,,,''),MAX(FE_VALUATION(FFEV_EBITDA,MEAN,NTMA,,-1AY,0,,'')))")/100,"")</f>
        <v>-0.557313307614555</v>
      </c>
      <c r="AB6" s="20">
        <f t="array" ref="AB6">IFERROR(_xll.FDS($B6,"FG_PRICE(0,,,USD)/P_PRICE_HIGH(-1AY,0,USD,,,""PRICE"",""INTRA"")")-1, "")</f>
        <v>-0.47261973417738501</v>
      </c>
      <c r="AC6" s="20">
        <f t="array" ref="AC6">IFERROR(_xll.FDS($B6,"RTP_PRICE_TARGET(USD)/FG_PRICE(0,,,USD)")-1, "")</f>
        <v>0.70164284624383</v>
      </c>
      <c r="AD6" s="25">
        <f t="array" ref="AD6">IFERROR(_xll.FDS($B6,"FG_PRICE(0,,,USD)/FG_PRICE_MAVG(0,,,USD,50)")-1, "")</f>
        <v>-0.300932901327573</v>
      </c>
      <c r="AE6" s="25">
        <f t="array" ref="AE6">IFERROR(_xll.FDS($B6,"FG_PRICE(0,,,USD)/FG_PRICE_MAVG(0,,,USD,100)")-1, "")</f>
        <v>-0.32975212129396902</v>
      </c>
      <c r="AF6" s="25">
        <f t="array" ref="AF6">IFERROR(_xll.FDS($B6,"FG_PRICE(0,,,USD)/FG_PRICE_MAVG(0,,,USD,200)")-1, "")</f>
        <v>-0.22455901008909396</v>
      </c>
      <c r="AG6" s="26" t="str">
        <f t="array" ref="AG6">IFERROR(_xll.FDS($B6,"FE_RATING(MEAN,TEXTONLY,0,NOW,,,'')"), "")</f>
        <v>Buy</v>
      </c>
      <c r="AH6" s="50">
        <f>IFERROR(IF('3 — Weights'!$E$2=1,PERCENTRANK(I$4:I$91,I6),1-PERCENTRANK(I$4:I$91,I6))*100,"")</f>
        <v>79.3</v>
      </c>
      <c r="AI6" s="51">
        <f>IFERROR(IF('3 — Weights'!$E$3=1,PERCENTRANK(J$4:J$91,J6),1-PERCENTRANK(J$4:J$91,J6))*100,"")</f>
        <v>89.600000000000009</v>
      </c>
      <c r="AJ6" s="51">
        <f>IFERROR(IF('3 — Weights'!$E$4=1,PERCENTRANK(K$4:K$91,K6),1-PERCENTRANK(K$4:K$91,K6))*100,"")</f>
        <v>97.7</v>
      </c>
      <c r="AK6" s="51">
        <f>IFERROR(IF('3 — Weights'!$E$5=1,PERCENTRANK(L$4:L$91,L6),1-PERCENTRANK(L$4:L$91,L6))*100,"")</f>
        <v>91.600000000000009</v>
      </c>
      <c r="AL6" s="51">
        <f>IFERROR(IF('3 — Weights'!$E$6=1,PERCENTRANK(M$4:M$91,M6),1-PERCENTRANK(M$4:M$91,M6))*100,"")</f>
        <v>95.1</v>
      </c>
      <c r="AM6" s="51">
        <f>IFERROR(IF('3 — Weights'!$E$7=1,PERCENTRANK(N$4:N$91,N6),1-PERCENTRANK(N$4:N$91,N6))*100,"")</f>
        <v>100</v>
      </c>
      <c r="AN6" s="51">
        <f>IFERROR(IF('3 — Weights'!$E$8=1,PERCENTRANK(O$4:O$91,O6),1-PERCENTRANK(O$4:O$91,O6))*100,"")</f>
        <v>98.7</v>
      </c>
      <c r="AO6" s="51">
        <f>IFERROR(IF('3 — Weights'!$E$9=1,PERCENTRANK(P$4:P$91,P6),1-PERCENTRANK(P$4:P$91,P6))*100,"")</f>
        <v>35</v>
      </c>
      <c r="AP6" s="51">
        <f>IFERROR(IF('3 — Weights'!$E$10=1,PERCENTRANK(Q$4:Q$91,Q6),1-PERCENTRANK(Q$4:Q$91,Q6))*100,"")</f>
        <v>35.699999999999996</v>
      </c>
      <c r="AQ6" s="51">
        <f>IFERROR(IF('3 — Weights'!$E$11=1,PERCENTRANK(R$4:R$91,R6),1-PERCENTRANK(R$4:R$91,R6))*100,"")</f>
        <v>0</v>
      </c>
      <c r="AR6" s="51">
        <f>IFERROR(IF('3 — Weights'!$E$12=1,PERCENTRANK(S$4:S$91,S6),1-PERCENTRANK(S$4:S$91,S6))*100,"")</f>
        <v>97.5</v>
      </c>
      <c r="AS6" s="51">
        <f>IFERROR(IF('3 — Weights'!$E$13=1,PERCENTRANK(T$4:T$91,T6),1-PERCENTRANK(T$4:T$91,T6))*100,"")</f>
        <v>98.6</v>
      </c>
      <c r="AT6" s="51">
        <f>IFERROR(IF('3 — Weights'!$E$14=1,PERCENTRANK(U$4:U$91,U6),1-PERCENTRANK(U$4:U$91,U6))*100,"")</f>
        <v>97.5</v>
      </c>
      <c r="AU6" s="51">
        <f>IFERROR(IF('3 — Weights'!$E$15=1,PERCENTRANK(V$4:V$91,V6),1-PERCENTRANK(V$4:V$91,V6))*100,"")</f>
        <v>42.6</v>
      </c>
      <c r="AV6" s="51">
        <f>IFERROR(IF('3 — Weights'!$E$16=1,PERCENTRANK(W$4:W$91,W6),1-PERCENTRANK(W$4:W$91,W6))*100,"")</f>
        <v>4.6000000000000041</v>
      </c>
      <c r="AW6" s="51">
        <f>IFERROR(IF('3 — Weights'!$E$17=1,PERCENTRANK(X$4:X$91,X6),1-PERCENTRANK(X$4:X$91,X6))*100,"")</f>
        <v>4.6000000000000041</v>
      </c>
      <c r="AX6" s="51">
        <f>IFERROR(IF('3 — Weights'!$E$18=1,PERCENTRANK(Y$4:Y$91,Y6),1-PERCENTRANK(Y$4:Y$91,Y6))*100,"")</f>
        <v>33.799999999999997</v>
      </c>
      <c r="AY6" s="51">
        <f>IFERROR(IF('3 — Weights'!$E$18=1,PERCENTRANK(Z$4:Z$91,Z6),1-PERCENTRANK(Z$4:Z$91,Z6))*100,"")</f>
        <v>64.400000000000006</v>
      </c>
      <c r="AZ6" s="51">
        <f>IFERROR(IF('3 — Weights'!$E$18=1,PERCENTRANK(AA$4:AA$91,AA6),1-PERCENTRANK(AA$4:AA$91,AA6))*100,"")</f>
        <v>59.4</v>
      </c>
      <c r="BA6" s="51">
        <f>IFERROR(IF('3 — Weights'!$E$21=1,PERCENTRANK(AB$4:AB$91,AB6),1-PERCENTRANK(AB$4:AB$91,AB6))*100,"")</f>
        <v>41.3</v>
      </c>
      <c r="BB6" s="51">
        <f>IFERROR(IF('3 — Weights'!$E$22=1,PERCENTRANK(AC$4:AC$91,AC6),1-PERCENTRANK(AC$4:AC$91,AC6))*100,"")</f>
        <v>75.8</v>
      </c>
      <c r="BC6" s="51">
        <f>IFERROR(IF('3 — Weights'!$E$23=1,PERCENTRANK(AD$4:AD$91,AD6),1-PERCENTRANK(AD$4:AD$91,AD6))*100,"")</f>
        <v>89.7</v>
      </c>
      <c r="BD6" s="51">
        <f>IFERROR(IF('3 — Weights'!$E$24=1,PERCENTRANK(AE$4:AE$91,AE6),1-PERCENTRANK(AE$4:AE$91,AE6))*100,"")</f>
        <v>81.699999999999989</v>
      </c>
      <c r="BE6" s="51">
        <f>IFERROR(IF('3 — Weights'!$E$25=1,PERCENTRANK(AF$4:AF$91,AF6),1-PERCENTRANK(AF$4:AF$91,AF6))*100,"")</f>
        <v>31.100000000000005</v>
      </c>
      <c r="BF6" s="52" cm="1">
        <f t="array" ref="BF6">IFERROR(SUMPRODUCT(TRANSPOSE(AH6:BE6), [1]!Table2[Weight
Claude]),"")</f>
        <v>66.260000000000005</v>
      </c>
      <c r="BG6" s="53" cm="1">
        <f t="array" ref="BG6">IFERROR(SUMPRODUCT(TRANSPOSE(AH6:BE6), [1]!Table2[Weight
Cape IMC]),"")</f>
        <v>66.260000000000005</v>
      </c>
    </row>
    <row r="7" spans="1:59" ht="22.5" customHeight="1" x14ac:dyDescent="0.25">
      <c r="A7" s="17">
        <f t="shared" si="0"/>
        <v>3</v>
      </c>
      <c r="B7" s="18" t="s">
        <v>85</v>
      </c>
      <c r="C7" s="18" t="s">
        <v>86</v>
      </c>
      <c r="D7" s="18" t="str">
        <f t="array" ref="D7">IFERROR(_xll.FDS($B7,"FR_RBICS_NAME_CURR(""IND"")"), "")</f>
        <v>Network Infrastructure Software</v>
      </c>
      <c r="E7" s="18" t="str">
        <f t="array" ref="E7">PROPER(IFERROR(_xll.FDS($B7,"P_DCOUNTRY"), ""))</f>
        <v>United States</v>
      </c>
      <c r="F7" s="19">
        <f t="array" ref="F7">IFERROR(_xll.FDS($B7,"FCS_EV_DAILY(MV,NOW,,,USD,M)"), "")</f>
        <v>3197.4214945799999</v>
      </c>
      <c r="G7" s="19">
        <f t="array" ref="G7">IFERROR(_xll.FDS($B7,"AVG(P_VOLUME_FRQ(-1AM,NOW,D,,6))*P_PRICE_AVG(-1AM,NOW,,USD)"), "")</f>
        <v>90.699946278623798</v>
      </c>
      <c r="H7" s="20">
        <f t="array" ref="H7">IFERROR(_xll.FDS($B7,"OS_SEC_FLT_PCT(0D,,MTD,SEC)")/100, "")</f>
        <v>0.986738</v>
      </c>
      <c r="I7" s="19">
        <f t="array" ref="I7">IFERROR(_xll.FDS($B7,"FE_ACTUAL(ACTUAL,SALES,ANN_ROLL,0,,,,'CURRENCY=USD')"), "")</f>
        <v>669.125</v>
      </c>
      <c r="J7" s="19">
        <f t="array" ref="J7">IFERROR(_xll.FDS($B7,"FE_ACTUAL(ACTUAL,EPS,ANN_ROLL,0,,,,'CURRENCY=USD')"), "")</f>
        <v>7.07</v>
      </c>
      <c r="K7" s="20">
        <f t="array" ref="K7">IFERROR(_xll.FDS($B7,"POW(FE_ESTIMATE(SALES,MEAN,STMA,,NOW,,,'CURRENCY=USD')/FE_ESTIMATE(SALES,MEAN,LTMA,,NOW,,,'CURRENCY=USD'),0.5)-1"), "")</f>
        <v>7.3531089442685896E-2</v>
      </c>
      <c r="L7" s="20">
        <f t="array" ref="L7">IFERROR(_xll.FDS($B7,"POW(FE_ESTIMATE(EPS,MEAN,STMA,,NOW,,,'CURRENCY=USD')/FE_ESTIMATE(EPS,MEAN,LTMA,,NOW,,,'CURRENCY=USD'),0.5)-1"), "")</f>
        <v>6.3374111025842103E-2</v>
      </c>
      <c r="M7" s="21">
        <f t="array" ref="M7">IFERROR(_xll.FDS($B7,"FF_GROSS_MGN(LTM_R,0)"), "")</f>
        <v>82.892789552519901</v>
      </c>
      <c r="N7" s="21">
        <f t="array" ref="N7">IFERROR(_xll.FDS($B7,"FF_EBITDA_OPER_MGN(LTM_R,0)"), "")</f>
        <v>35.531866548271502</v>
      </c>
      <c r="O7" s="21">
        <f t="array" ref="O7">IFERROR(_xll.FDS($B7,"FF_NET_MGN(LTM_R,0)"), "")</f>
        <v>29.646638144185001</v>
      </c>
      <c r="P7" s="22">
        <f t="array" ref="P7">IFERROR(_xll.FDS($B7,"FE_VALUATION(NETDEBT_EBITDA,MEAN,NTMA,,NOW,,,'')"), "")</f>
        <v>-2.3246730000000002</v>
      </c>
      <c r="Q7" s="23">
        <f t="array" ref="Q7">IFERROR(_xll.FDS($B7,"FE_VALUATION(MCAP_FCF,MEAN,NTMA,,NOW,,,'')"), "")</f>
        <v>9.6815280000000001</v>
      </c>
      <c r="R7" s="23">
        <f t="array" ref="R7">IFERROR(_xll.FDS($B7,"FE_VALUATION(DIV_YLD,MEAN,NTMA,,NOW,,,'')"), "")</f>
        <v>0</v>
      </c>
      <c r="S7" s="21">
        <f t="array" ref="S7">IFERROR(_xll.FDS($B7,"FE_VALUATION(ROE,MEAN,NTMA,,0,,,'')" ), "")</f>
        <v>36.514206000000001</v>
      </c>
      <c r="T7" s="21">
        <f t="array" ref="T7">IFERROR(_xll.FDS($B7,"FE_VALUATION(ROIC,MEAN,NTMA,,0,,,'')" ), "")</f>
        <v>35.781480000000002</v>
      </c>
      <c r="U7" s="22">
        <f t="array" ref="U7">IFERROR(((_xll.FDS($B7,"FE_ACTUAL(ACTUAL,SALES,ANN_ROLL,0,,,,'CURRENCY=USD')")/_xll.FDS($B7,"FE_ACTUAL(ACTUAL,SALES,ANN_ROLL,-1,,,,'CURRENCY=USD')")-1)*100)+(_xll.FDS($B7,"FE_VALUATION(EBITDA_MARGIN,MEAN,ANN_ROLL,0,NOW,,,'')")  ), "")</f>
        <v>56.975735625554876</v>
      </c>
      <c r="V7" s="24">
        <f t="array" ref="V7">IFERROR(_xll.FDS($B7,"FE_VALUATION(PE,MEAN,NTMA,,0,,,'')" ), "")</f>
        <v>11.629527</v>
      </c>
      <c r="W7" s="24">
        <f t="array" ref="W7">IFERROR(_xll.FDS($B7,"FE_VALUATION(P_SALESPS,MEAN,NTMA,,0,,,'')" ), "")</f>
        <v>4.2497730000000002</v>
      </c>
      <c r="X7" s="24">
        <f t="array" ref="X7">IFERROR(_xll.FDS($B7,"FE_VALUATION(FFEV_SALES,MEAN,NTMA,,0,,,'')" ), "")</f>
        <v>3.8022719999999999</v>
      </c>
      <c r="Y7" s="24">
        <f t="array" ref="Y7">IFERROR(_xll.FDS($B7,"FE_VALUATION(FFEV_EBITDA,MEAN,NTMA,,0,,,'')" ), "")</f>
        <v>8.5391589999999997</v>
      </c>
      <c r="Z7" s="20">
        <f t="array" ref="Z7">IFERROR(_xll.FDS($B7,"PERCENT_CHANGE(FE_VALUATION(PE,MEAN,NTMA,,0,,,''),MAX(FE_VALUATION(PE,MEAN,NTMA,,-1AY,0,,'')))")/100,"")</f>
        <v>-0.50436705332865206</v>
      </c>
      <c r="AA7" s="20">
        <f t="array" ref="AA7">IFERROR(_xll.FDS($B7,"PERCENT_CHANGE(FE_VALUATION(FFEV_EBITDA,MEAN,NTMA,,0,,,''),MAX(FE_VALUATION(FFEV_EBITDA,MEAN,NTMA,,-1AY,0,,'')))")/100,"")</f>
        <v>-0.51984789487389405</v>
      </c>
      <c r="AB7" s="20">
        <f t="array" ref="AB7">IFERROR(_xll.FDS($B7,"FG_PRICE(0,,,USD)/P_PRICE_HIGH(-1AY,0,USD,,,""PRICE"",""INTRA"")")-1, "")</f>
        <v>-0.441499967839455</v>
      </c>
      <c r="AC7" s="20">
        <f t="array" ref="AC7">IFERROR(_xll.FDS($B7,"RTP_PRICE_TARGET(USD)/FG_PRICE(0,,,USD)")-1, "")</f>
        <v>0.59066739606127006</v>
      </c>
      <c r="AD7" s="25">
        <f t="array" ref="AD7">IFERROR(_xll.FDS($B7,"FG_PRICE(0,,,USD)/FG_PRICE_MAVG(0,,,USD,50)")-1, "")</f>
        <v>-0.31967085953549901</v>
      </c>
      <c r="AE7" s="25">
        <f t="array" ref="AE7">IFERROR(_xll.FDS($B7,"FG_PRICE(0,,,USD)/FG_PRICE_MAVG(0,,,USD,100)")-1, "")</f>
        <v>-0.34233796845070297</v>
      </c>
      <c r="AF7" s="25">
        <f t="array" ref="AF7">IFERROR(_xll.FDS($B7,"FG_PRICE(0,,,USD)/FG_PRICE_MAVG(0,,,USD,200)")-1, "")</f>
        <v>-0.35358094788721905</v>
      </c>
      <c r="AG7" s="26" t="str">
        <f t="array" ref="AG7">IFERROR(_xll.FDS($B7,"FE_RATING(MEAN,TEXTONLY,0,NOW,,,'')"), "")</f>
        <v>Hold</v>
      </c>
      <c r="AH7" s="50">
        <f>IFERROR(IF('3 — Weights'!$E$2=1,PERCENTRANK(I$4:I$91,I7),1-PERCENTRANK(I$4:I$91,I7))*100,"")</f>
        <v>11.4</v>
      </c>
      <c r="AI7" s="51">
        <f>IFERROR(IF('3 — Weights'!$E$3=1,PERCENTRANK(J$4:J$91,J7),1-PERCENTRANK(J$4:J$91,J7))*100,"")</f>
        <v>79.3</v>
      </c>
      <c r="AJ7" s="51">
        <f>IFERROR(IF('3 — Weights'!$E$4=1,PERCENTRANK(K$4:K$91,K7),1-PERCENTRANK(K$4:K$91,K7))*100,"")</f>
        <v>19.5</v>
      </c>
      <c r="AK7" s="51">
        <f>IFERROR(IF('3 — Weights'!$E$5=1,PERCENTRANK(L$4:L$91,L7),1-PERCENTRANK(L$4:L$91,L7))*100,"")</f>
        <v>2.2999999999999998</v>
      </c>
      <c r="AL7" s="51">
        <f>IFERROR(IF('3 — Weights'!$E$6=1,PERCENTRANK(M$4:M$91,M7),1-PERCENTRANK(M$4:M$91,M7))*100,"")</f>
        <v>90.2</v>
      </c>
      <c r="AM7" s="51">
        <f>IFERROR(IF('3 — Weights'!$E$7=1,PERCENTRANK(N$4:N$91,N7),1-PERCENTRANK(N$4:N$91,N7))*100,"")</f>
        <v>83.1</v>
      </c>
      <c r="AN7" s="51">
        <f>IFERROR(IF('3 — Weights'!$E$8=1,PERCENTRANK(O$4:O$91,O7),1-PERCENTRANK(O$4:O$91,O7))*100,"")</f>
        <v>90.3</v>
      </c>
      <c r="AO7" s="51">
        <f>IFERROR(IF('3 — Weights'!$E$9=1,PERCENTRANK(P$4:P$91,P7),1-PERCENTRANK(P$4:P$91,P7))*100,"")</f>
        <v>72.3</v>
      </c>
      <c r="AP7" s="51">
        <f>IFERROR(IF('3 — Weights'!$E$10=1,PERCENTRANK(Q$4:Q$91,Q7),1-PERCENTRANK(Q$4:Q$91,Q7))*100,"")</f>
        <v>94</v>
      </c>
      <c r="AQ7" s="51">
        <f>IFERROR(IF('3 — Weights'!$E$11=1,PERCENTRANK(R$4:R$91,R7),1-PERCENTRANK(R$4:R$91,R7))*100,"")</f>
        <v>0</v>
      </c>
      <c r="AR7" s="51">
        <f>IFERROR(IF('3 — Weights'!$E$12=1,PERCENTRANK(S$4:S$91,S7),1-PERCENTRANK(S$4:S$91,S7))*100,"")</f>
        <v>83.899999999999991</v>
      </c>
      <c r="AS7" s="51">
        <f>IFERROR(IF('3 — Weights'!$E$13=1,PERCENTRANK(T$4:T$91,T7),1-PERCENTRANK(T$4:T$91,T7))*100,"")</f>
        <v>93</v>
      </c>
      <c r="AT7" s="51">
        <f>IFERROR(IF('3 — Weights'!$E$14=1,PERCENTRANK(U$4:U$91,U7),1-PERCENTRANK(U$4:U$91,U7))*100,"")</f>
        <v>78</v>
      </c>
      <c r="AU7" s="51">
        <f>IFERROR(IF('3 — Weights'!$E$15=1,PERCENTRANK(V$4:V$91,V7),1-PERCENTRANK(V$4:V$91,V7))*100,"")</f>
        <v>89.7</v>
      </c>
      <c r="AV7" s="51">
        <f>IFERROR(IF('3 — Weights'!$E$16=1,PERCENTRANK(W$4:W$91,W7),1-PERCENTRANK(W$4:W$91,W7))*100,"")</f>
        <v>56.400000000000006</v>
      </c>
      <c r="AW7" s="51">
        <f>IFERROR(IF('3 — Weights'!$E$17=1,PERCENTRANK(X$4:X$91,X7),1-PERCENTRANK(X$4:X$91,X7))*100,"")</f>
        <v>59.8</v>
      </c>
      <c r="AX7" s="51">
        <f>IFERROR(IF('3 — Weights'!$E$18=1,PERCENTRANK(Y$4:Y$91,Y7),1-PERCENTRANK(Y$4:Y$91,Y7))*100,"")</f>
        <v>87.3</v>
      </c>
      <c r="AY7" s="51">
        <f>IFERROR(IF('3 — Weights'!$E$18=1,PERCENTRANK(Z$4:Z$91,Z7),1-PERCENTRANK(Z$4:Z$91,Z7))*100,"")</f>
        <v>49.5</v>
      </c>
      <c r="AZ7" s="51">
        <f>IFERROR(IF('3 — Weights'!$E$18=1,PERCENTRANK(AA$4:AA$91,AA7),1-PERCENTRANK(AA$4:AA$91,AA7))*100,"")</f>
        <v>48.9</v>
      </c>
      <c r="BA7" s="51">
        <f>IFERROR(IF('3 — Weights'!$E$21=1,PERCENTRANK(AB$4:AB$91,AB7),1-PERCENTRANK(AB$4:AB$91,AB7))*100,"")</f>
        <v>49.4</v>
      </c>
      <c r="BB7" s="51">
        <f>IFERROR(IF('3 — Weights'!$E$22=1,PERCENTRANK(AC$4:AC$91,AC7),1-PERCENTRANK(AC$4:AC$91,AC7))*100,"")</f>
        <v>58.599999999999994</v>
      </c>
      <c r="BC7" s="51">
        <f>IFERROR(IF('3 — Weights'!$E$23=1,PERCENTRANK(AD$4:AD$91,AD7),1-PERCENTRANK(AD$4:AD$91,AD7))*100,"")</f>
        <v>95.5</v>
      </c>
      <c r="BD7" s="51">
        <f>IFERROR(IF('3 — Weights'!$E$24=1,PERCENTRANK(AE$4:AE$91,AE7),1-PERCENTRANK(AE$4:AE$91,AE7))*100,"")</f>
        <v>85.1</v>
      </c>
      <c r="BE7" s="51">
        <f>IFERROR(IF('3 — Weights'!$E$25=1,PERCENTRANK(AF$4:AF$91,AF7),1-PERCENTRANK(AF$4:AF$91,AF7))*100,"")</f>
        <v>71.300000000000011</v>
      </c>
      <c r="BF7" s="52" cm="1">
        <f t="array" ref="BF7">IFERROR(SUMPRODUCT(TRANSPOSE(AH7:BE7), [1]!Table2[Weight
Claude]),"")</f>
        <v>66.344999999999999</v>
      </c>
      <c r="BG7" s="53" cm="1">
        <f t="array" ref="BG7">IFERROR(SUMPRODUCT(TRANSPOSE(AH7:BE7), [1]!Table2[Weight
Cape IMC]),"")</f>
        <v>66.344999999999999</v>
      </c>
    </row>
    <row r="8" spans="1:59" ht="22.5" customHeight="1" x14ac:dyDescent="0.25">
      <c r="A8" s="17">
        <f t="shared" si="0"/>
        <v>5</v>
      </c>
      <c r="B8" s="18" t="s">
        <v>87</v>
      </c>
      <c r="C8" s="18" t="s">
        <v>88</v>
      </c>
      <c r="D8" s="18" t="str">
        <f t="array" ref="D8">IFERROR(_xll.FDS($B8,"FR_RBICS_NAME_CURR(""IND"")"), "")</f>
        <v>Enterprise Resource Planning Software</v>
      </c>
      <c r="E8" s="18" t="str">
        <f t="array" ref="E8">PROPER(IFERROR(_xll.FDS($B8,"P_DCOUNTRY"), ""))</f>
        <v>United States</v>
      </c>
      <c r="F8" s="19">
        <f t="array" ref="F8">IFERROR(_xll.FDS($B8,"FCS_EV_DAILY(MV,NOW,,,USD,M)"), "")</f>
        <v>3464.5608047199999</v>
      </c>
      <c r="G8" s="19">
        <f t="array" ref="G8">IFERROR(_xll.FDS($B8,"AVG(P_VOLUME_FRQ(-1AM,NOW,D,,6))*P_PRICE_AVG(-1AM,NOW,,USD)"), "")</f>
        <v>79.748816415144503</v>
      </c>
      <c r="H8" s="20">
        <f t="array" ref="H8">IFERROR(_xll.FDS($B8,"OS_SEC_FLT_PCT(0D,,MTD,SEC)")/100, "")</f>
        <v>0.945492</v>
      </c>
      <c r="I8" s="19">
        <f t="array" ref="I8">IFERROR(_xll.FDS($B8,"FE_ACTUAL(ACTUAL,SALES,ANN_ROLL,0,,,,'CURRENCY=USD')"), "")</f>
        <v>884.56799999999998</v>
      </c>
      <c r="J8" s="19">
        <f t="array" ref="J8">IFERROR(_xll.FDS($B8,"FE_ACTUAL(ACTUAL,EPS,ANN_ROLL,0,,,,'CURRENCY=USD')"), "")</f>
        <v>1.78</v>
      </c>
      <c r="K8" s="20">
        <f t="array" ref="K8">IFERROR(_xll.FDS($B8,"POW(FE_ESTIMATE(SALES,MEAN,STMA,,NOW,,,'CURRENCY=USD')/FE_ESTIMATE(SALES,MEAN,LTMA,,NOW,,,'CURRENCY=USD'),0.5)-1"), "")</f>
        <v>0.16463642395384501</v>
      </c>
      <c r="L8" s="20">
        <f t="array" ref="L8">IFERROR(_xll.FDS($B8,"POW(FE_ESTIMATE(EPS,MEAN,STMA,,NOW,,,'CURRENCY=USD')/FE_ESTIMATE(EPS,MEAN,LTMA,,NOW,,,'CURRENCY=USD'),0.5)-1"), "")</f>
        <v>0.35751335168387899</v>
      </c>
      <c r="M8" s="21">
        <f t="array" ref="M8">IFERROR(_xll.FDS($B8,"FF_GROSS_MGN(LTM_R,0)"), "")</f>
        <v>78.4719772815657</v>
      </c>
      <c r="N8" s="21">
        <f t="array" ref="N8">IFERROR(_xll.FDS($B8,"FF_EBITDA_OPER_MGN(LTM_R,0)"), "")</f>
        <v>-3.55552088703186</v>
      </c>
      <c r="O8" s="21">
        <f t="array" ref="O8">IFERROR(_xll.FDS($B8,"FF_NET_MGN(LTM_R,0)"), "")</f>
        <v>-2.9583932495862402</v>
      </c>
      <c r="P8" s="22">
        <f t="array" ref="P8">IFERROR(_xll.FDS($B8,"FE_VALUATION(NETDEBT_EBITDA,MEAN,NTMA,,NOW,,,'')"), "")</f>
        <v>-2.0960220999999999</v>
      </c>
      <c r="Q8" s="23">
        <f t="array" ref="Q8">IFERROR(_xll.FDS($B8,"FE_VALUATION(MCAP_FCF,MEAN,NTMA,,NOW,,,'')"), "")</f>
        <v>6.3010396999999996</v>
      </c>
      <c r="R8" s="23">
        <f t="array" ref="R8">IFERROR(_xll.FDS($B8,"FE_VALUATION(DIV_YLD,MEAN,NTMA,,NOW,,,'')"), "")</f>
        <v>0</v>
      </c>
      <c r="S8" s="21">
        <f t="array" ref="S8">IFERROR(_xll.FDS($B8,"FE_VALUATION(ROE,MEAN,NTMA,,0,,,'')" ), "")</f>
        <v>308.23563000000001</v>
      </c>
      <c r="T8" s="21">
        <f t="array" ref="T8">IFERROR(_xll.FDS($B8,"FE_VALUATION(ROIC,MEAN,NTMA,,0,,,'')" ), "")</f>
        <v>26.259329999999999</v>
      </c>
      <c r="U8" s="22">
        <f t="array" ref="U8">IFERROR(((_xll.FDS($B8,"FE_ACTUAL(ACTUAL,SALES,ANN_ROLL,0,,,,'CURRENCY=USD')")/_xll.FDS($B8,"FE_ACTUAL(ACTUAL,SALES,ANN_ROLL,-1,,,,'CURRENCY=USD')")-1)*100)+(_xll.FDS($B8,"FE_VALUATION(EBITDA_MARGIN,MEAN,ANN_ROLL,0,NOW,,,'')")  ), "")</f>
        <v>30.250543010396932</v>
      </c>
      <c r="V8" s="24">
        <f t="array" ref="V8">IFERROR(_xll.FDS($B8,"FE_VALUATION(PE,MEAN,NTMA,,0,,,'')" ), "")</f>
        <v>20.549168000000002</v>
      </c>
      <c r="W8" s="24">
        <f t="array" ref="W8">IFERROR(_xll.FDS($B8,"FE_VALUATION(P_SALESPS,MEAN,NTMA,,0,,,'')" ), "")</f>
        <v>3.0876109999999999</v>
      </c>
      <c r="X8" s="24">
        <f t="array" ref="X8">IFERROR(_xll.FDS($B8,"FE_VALUATION(FFEV_SALES,MEAN,NTMA,,0,,,'')" ), "")</f>
        <v>2.9676418</v>
      </c>
      <c r="Y8" s="24">
        <f t="array" ref="Y8">IFERROR(_xll.FDS($B8,"FE_VALUATION(FFEV_EBITDA,MEAN,NTMA,,0,,,'')" ), "")</f>
        <v>18.165534999999998</v>
      </c>
      <c r="Z8" s="20">
        <f t="array" ref="Z8">IFERROR(_xll.FDS($B8,"PERCENT_CHANGE(FE_VALUATION(PE,MEAN,NTMA,,0,,,''),MAX(FE_VALUATION(PE,MEAN,NTMA,,-1AY,0,,'')))")/100,"")</f>
        <v>-0.73145282585141103</v>
      </c>
      <c r="AA8" s="20">
        <f t="array" ref="AA8">IFERROR(_xll.FDS($B8,"PERCENT_CHANGE(FE_VALUATION(FFEV_EBITDA,MEAN,NTMA,,0,,,''),MAX(FE_VALUATION(FFEV_EBITDA,MEAN,NTMA,,-1AY,0,,'')))")/100,"")</f>
        <v>-0.77442807435297301</v>
      </c>
      <c r="AB8" s="20">
        <f t="array" ref="AB8">IFERROR(_xll.FDS($B8,"FG_PRICE(0,,,USD)/P_PRICE_HIGH(-1AY,0,USD,,,""PRICE"",""INTRA"")")-1, "")</f>
        <v>-0.40573664967300105</v>
      </c>
      <c r="AC8" s="20">
        <f t="array" ref="AC8">IFERROR(_xll.FDS($B8,"RTP_PRICE_TARGET(USD)/FG_PRICE(0,,,USD)")-1, "")</f>
        <v>0.55033871750432994</v>
      </c>
      <c r="AD8" s="25">
        <f t="array" ref="AD8">IFERROR(_xll.FDS($B8,"FG_PRICE(0,,,USD)/FG_PRICE_MAVG(0,,,USD,50)")-1, "")</f>
        <v>-0.26861853830182603</v>
      </c>
      <c r="AE8" s="25">
        <f t="array" ref="AE8">IFERROR(_xll.FDS($B8,"FG_PRICE(0,,,USD)/FG_PRICE_MAVG(0,,,USD,100)")-1, "")</f>
        <v>-0.31228471651112599</v>
      </c>
      <c r="AF8" s="25">
        <f t="array" ref="AF8">IFERROR(_xll.FDS($B8,"FG_PRICE(0,,,USD)/FG_PRICE_MAVG(0,,,USD,200)")-1, "")</f>
        <v>-0.26266315334817403</v>
      </c>
      <c r="AG8" s="26" t="str">
        <f t="array" ref="AG8">IFERROR(_xll.FDS($B8,"FE_RATING(MEAN,TEXTONLY,0,NOW,,,'')"), "")</f>
        <v>Buy</v>
      </c>
      <c r="AH8" s="50">
        <f>IFERROR(IF('3 — Weights'!$E$2=1,PERCENTRANK(I$4:I$91,I8),1-PERCENTRANK(I$4:I$91,I8))*100,"")</f>
        <v>27.500000000000004</v>
      </c>
      <c r="AI8" s="51">
        <f>IFERROR(IF('3 — Weights'!$E$3=1,PERCENTRANK(J$4:J$91,J8),1-PERCENTRANK(J$4:J$91,J8))*100,"")</f>
        <v>42.5</v>
      </c>
      <c r="AJ8" s="51">
        <f>IFERROR(IF('3 — Weights'!$E$4=1,PERCENTRANK(K$4:K$91,K8),1-PERCENTRANK(K$4:K$91,K8))*100,"")</f>
        <v>64.3</v>
      </c>
      <c r="AK8" s="51">
        <f>IFERROR(IF('3 — Weights'!$E$5=1,PERCENTRANK(L$4:L$91,L8),1-PERCENTRANK(L$4:L$91,L8))*100,"")</f>
        <v>90.4</v>
      </c>
      <c r="AL8" s="51">
        <f>IFERROR(IF('3 — Weights'!$E$6=1,PERCENTRANK(M$4:M$91,M8),1-PERCENTRANK(M$4:M$91,M8))*100,"")</f>
        <v>74.3</v>
      </c>
      <c r="AM8" s="51">
        <f>IFERROR(IF('3 — Weights'!$E$7=1,PERCENTRANK(N$4:N$91,N8),1-PERCENTRANK(N$4:N$91,N8))*100,"")</f>
        <v>12.9</v>
      </c>
      <c r="AN8" s="51">
        <f>IFERROR(IF('3 — Weights'!$E$8=1,PERCENTRANK(O$4:O$91,O8),1-PERCENTRANK(O$4:O$91,O8))*100,"")</f>
        <v>24</v>
      </c>
      <c r="AO8" s="51">
        <f>IFERROR(IF('3 — Weights'!$E$9=1,PERCENTRANK(P$4:P$91,P8),1-PERCENTRANK(P$4:P$91,P8))*100,"")</f>
        <v>65.100000000000009</v>
      </c>
      <c r="AP8" s="51">
        <f>IFERROR(IF('3 — Weights'!$E$10=1,PERCENTRANK(Q$4:Q$91,Q8),1-PERCENTRANK(Q$4:Q$91,Q8))*100,"")</f>
        <v>64.2</v>
      </c>
      <c r="AQ8" s="51">
        <f>IFERROR(IF('3 — Weights'!$E$11=1,PERCENTRANK(R$4:R$91,R8),1-PERCENTRANK(R$4:R$91,R8))*100,"")</f>
        <v>0</v>
      </c>
      <c r="AR8" s="51">
        <f>IFERROR(IF('3 — Weights'!$E$12=1,PERCENTRANK(S$4:S$91,S8),1-PERCENTRANK(S$4:S$91,S8))*100,"")</f>
        <v>98.7</v>
      </c>
      <c r="AS8" s="51">
        <f>IFERROR(IF('3 — Weights'!$E$13=1,PERCENTRANK(T$4:T$91,T8),1-PERCENTRANK(T$4:T$91,T8))*100,"")</f>
        <v>80.5</v>
      </c>
      <c r="AT8" s="51">
        <f>IFERROR(IF('3 — Weights'!$E$14=1,PERCENTRANK(U$4:U$91,U8),1-PERCENTRANK(U$4:U$91,U8))*100,"")</f>
        <v>12.1</v>
      </c>
      <c r="AU8" s="51">
        <f>IFERROR(IF('3 — Weights'!$E$15=1,PERCENTRANK(V$4:V$91,V8),1-PERCENTRANK(V$4:V$91,V8))*100,"")</f>
        <v>51.800000000000004</v>
      </c>
      <c r="AV8" s="51">
        <f>IFERROR(IF('3 — Weights'!$E$16=1,PERCENTRANK(W$4:W$91,W8),1-PERCENTRANK(W$4:W$91,W8))*100,"")</f>
        <v>73.599999999999994</v>
      </c>
      <c r="AW8" s="51">
        <f>IFERROR(IF('3 — Weights'!$E$17=1,PERCENTRANK(X$4:X$91,X8),1-PERCENTRANK(X$4:X$91,X8))*100,"")</f>
        <v>77.100000000000009</v>
      </c>
      <c r="AX8" s="51">
        <f>IFERROR(IF('3 — Weights'!$E$18=1,PERCENTRANK(Y$4:Y$91,Y8),1-PERCENTRANK(Y$4:Y$91,Y8))*100,"")</f>
        <v>37.299999999999997</v>
      </c>
      <c r="AY8" s="51">
        <f>IFERROR(IF('3 — Weights'!$E$18=1,PERCENTRANK(Z$4:Z$91,Z8),1-PERCENTRANK(Z$4:Z$91,Z8))*100,"")</f>
        <v>90.9</v>
      </c>
      <c r="AZ8" s="51">
        <f>IFERROR(IF('3 — Weights'!$E$18=1,PERCENTRANK(AA$4:AA$91,AA8),1-PERCENTRANK(AA$4:AA$91,AA8))*100,"")</f>
        <v>97.7</v>
      </c>
      <c r="BA8" s="51">
        <f>IFERROR(IF('3 — Weights'!$E$21=1,PERCENTRANK(AB$4:AB$91,AB8),1-PERCENTRANK(AB$4:AB$91,AB8))*100,"")</f>
        <v>58.599999999999994</v>
      </c>
      <c r="BB8" s="51">
        <f>IFERROR(IF('3 — Weights'!$E$22=1,PERCENTRANK(AC$4:AC$91,AC8),1-PERCENTRANK(AC$4:AC$91,AC8))*100,"")</f>
        <v>52.800000000000004</v>
      </c>
      <c r="BC8" s="51">
        <f>IFERROR(IF('3 — Weights'!$E$23=1,PERCENTRANK(AD$4:AD$91,AD8),1-PERCENTRANK(AD$4:AD$91,AD8))*100,"")</f>
        <v>80.5</v>
      </c>
      <c r="BD8" s="51">
        <f>IFERROR(IF('3 — Weights'!$E$24=1,PERCENTRANK(AE$4:AE$91,AE8),1-PERCENTRANK(AE$4:AE$91,AE8))*100,"")</f>
        <v>74.8</v>
      </c>
      <c r="BE8" s="51">
        <f>IFERROR(IF('3 — Weights'!$E$25=1,PERCENTRANK(AF$4:AF$91,AF8),1-PERCENTRANK(AF$4:AF$91,AF8))*100,"")</f>
        <v>46</v>
      </c>
      <c r="BF8" s="52" cm="1">
        <f t="array" ref="BF8">IFERROR(SUMPRODUCT(TRANSPOSE(AH8:BE8), [1]!Table2[Weight
Claude]),"")</f>
        <v>64.795000000000002</v>
      </c>
      <c r="BG8" s="53" cm="1">
        <f t="array" ref="BG8">IFERROR(SUMPRODUCT(TRANSPOSE(AH8:BE8), [1]!Table2[Weight
Cape IMC]),"")</f>
        <v>64.795000000000002</v>
      </c>
    </row>
    <row r="9" spans="1:59" ht="22.5" customHeight="1" x14ac:dyDescent="0.25">
      <c r="A9" s="17">
        <f t="shared" si="0"/>
        <v>7</v>
      </c>
      <c r="B9" s="18" t="s">
        <v>89</v>
      </c>
      <c r="C9" s="18" t="s">
        <v>90</v>
      </c>
      <c r="D9" s="18" t="str">
        <f t="array" ref="D9">IFERROR(_xll.FDS($B9,"FR_RBICS_NAME_CURR(""IND"")"), "")</f>
        <v>Government and Not-For-Profit Industry Software</v>
      </c>
      <c r="E9" s="18" t="str">
        <f t="array" ref="E9">PROPER(IFERROR(_xll.FDS($B9,"P_DCOUNTRY"), ""))</f>
        <v>United States</v>
      </c>
      <c r="F9" s="19">
        <f t="array" ref="F9">IFERROR(_xll.FDS($B9,"FCS_EV_DAILY(MV,NOW,,,USD,M)"), "")</f>
        <v>331614.84955883998</v>
      </c>
      <c r="G9" s="19">
        <f t="array" ref="G9">IFERROR(_xll.FDS($B9,"AVG(P_VOLUME_FRQ(-1AM,NOW,D,,6))*P_PRICE_AVG(-1AM,NOW,,USD)"), "")</f>
        <v>7934.6961210709196</v>
      </c>
      <c r="H9" s="20">
        <f t="array" ref="H9">IFERROR(_xll.FDS($B9,"OS_SEC_FLT_PCT(0D,,MTD,SEC)")/100, "")</f>
        <v>0.95455800000000002</v>
      </c>
      <c r="I9" s="19">
        <f t="array" ref="I9">IFERROR(_xll.FDS($B9,"FE_ACTUAL(ACTUAL,SALES,ANN_ROLL,0,,,,'CURRENCY=USD')"), "")</f>
        <v>4475.4459999999999</v>
      </c>
      <c r="J9" s="19">
        <f t="array" ref="J9">IFERROR(_xll.FDS($B9,"FE_ACTUAL(ACTUAL,EPS,ANN_ROLL,0,,,,'CURRENCY=USD')"), "")</f>
        <v>0.75</v>
      </c>
      <c r="K9" s="20">
        <f t="array" ref="K9">IFERROR(_xll.FDS($B9,"POW(FE_ESTIMATE(SALES,MEAN,STMA,,NOW,,,'CURRENCY=USD')/FE_ESTIMATE(SALES,MEAN,LTMA,,NOW,,,'CURRENCY=USD'),0.5)-1"), "")</f>
        <v>0.49188126203126498</v>
      </c>
      <c r="L9" s="20">
        <f t="array" ref="L9">IFERROR(_xll.FDS($B9,"POW(FE_ESTIMATE(EPS,MEAN,STMA,,NOW,,,'CURRENCY=USD')/FE_ESTIMATE(EPS,MEAN,LTMA,,NOW,,,'CURRENCY=USD'),0.5)-1"), "")</f>
        <v>0.52567539142505704</v>
      </c>
      <c r="M9" s="21">
        <f t="array" ref="M9">IFERROR(_xll.FDS($B9,"FF_GROSS_MGN(LTM_R,0)"), "")</f>
        <v>82.366517214150306</v>
      </c>
      <c r="N9" s="21">
        <f t="array" ref="N9">IFERROR(_xll.FDS($B9,"FF_EBITDA_OPER_MGN(LTM_R,0)"), "")</f>
        <v>32.179139241094603</v>
      </c>
      <c r="O9" s="21">
        <f t="array" ref="O9">IFERROR(_xll.FDS($B9,"FF_NET_MGN(LTM_R,0)"), "")</f>
        <v>36.309967766341103</v>
      </c>
      <c r="P9" s="22">
        <f t="array" ref="P9">IFERROR(_xll.FDS($B9,"FE_VALUATION(NETDEBT_EBITDA,MEAN,NTMA,,NOW,,,'')"), "")</f>
        <v>-2.7048798000000001</v>
      </c>
      <c r="Q9" s="23">
        <f t="array" ref="Q9">IFERROR(_xll.FDS($B9,"FE_VALUATION(MCAP_FCF,MEAN,NTMA,,NOW,,,'')"), "")</f>
        <v>1.3955652000000001</v>
      </c>
      <c r="R9" s="23">
        <f t="array" ref="R9">IFERROR(_xll.FDS($B9,"FE_VALUATION(DIV_YLD,MEAN,NTMA,,NOW,,,'')"), "")</f>
        <v>0</v>
      </c>
      <c r="S9" s="21">
        <f t="array" ref="S9">IFERROR(_xll.FDS($B9,"FE_VALUATION(ROE,MEAN,NTMA,,0,,,'')" ), "")</f>
        <v>28.090036000000001</v>
      </c>
      <c r="T9" s="21" t="str">
        <f t="array" ref="T9">IFERROR(_xll.FDS($B9,"FE_VALUATION(ROIC,MEAN,NTMA,,0,,,'')" ), "")</f>
        <v/>
      </c>
      <c r="U9" s="22">
        <f t="array" ref="U9">IFERROR(((_xll.FDS($B9,"FE_ACTUAL(ACTUAL,SALES,ANN_ROLL,0,,,,'CURRENCY=USD')")/_xll.FDS($B9,"FE_ACTUAL(ACTUAL,SALES,ANN_ROLL,-1,,,,'CURRENCY=USD')")-1)*100)+(_xll.FDS($B9,"FE_VALUATION(EBITDA_MARGIN,MEAN,ANN_ROLL,0,NOW,,,'')")  ), "")</f>
        <v>107.12950093221548</v>
      </c>
      <c r="V9" s="24">
        <f t="array" ref="V9">IFERROR(_xll.FDS($B9,"FE_VALUATION(PE,MEAN,NTMA,,0,,,'')" ), "")</f>
        <v>94.177430000000001</v>
      </c>
      <c r="W9" s="24">
        <f t="array" ref="W9">IFERROR(_xll.FDS($B9,"FE_VALUATION(P_SALESPS,MEAN,NTMA,,0,,,'')" ), "")</f>
        <v>40.327347000000003</v>
      </c>
      <c r="X9" s="24">
        <f t="array" ref="X9">IFERROR(_xll.FDS($B9,"FE_VALUATION(FFEV_SALES,MEAN,NTMA,,0,,,'')" ), "")</f>
        <v>42.356777000000001</v>
      </c>
      <c r="Y9" s="24">
        <f t="array" ref="Y9">IFERROR(_xll.FDS($B9,"FE_VALUATION(FFEV_EBITDA,MEAN,NTMA,,0,,,'')" ), "")</f>
        <v>74.325649999999996</v>
      </c>
      <c r="Z9" s="20">
        <f t="array" ref="Z9">IFERROR(_xll.FDS($B9,"PERCENT_CHANGE(FE_VALUATION(PE,MEAN,NTMA,,0,,,''),MAX(FE_VALUATION(PE,MEAN,NTMA,,-1AY,0,,'')))")/100,"")</f>
        <v>-0.63115368508007297</v>
      </c>
      <c r="AA9" s="20">
        <f t="array" ref="AA9">IFERROR(_xll.FDS($B9,"PERCENT_CHANGE(FE_VALUATION(FFEV_EBITDA,MEAN,NTMA,,0,,,''),MAX(FE_VALUATION(FFEV_EBITDA,MEAN,NTMA,,-1AY,0,,'')))")/100,"")</f>
        <v>-0.63703464414811695</v>
      </c>
      <c r="AB9" s="20">
        <f t="array" ref="AB9">IFERROR(_xll.FDS($B9,"FG_PRICE(0,,,USD)/P_PRICE_HIGH(-1AY,0,USD,,,""PRICE"",""INTRA"")")-1, "")</f>
        <v>-0.37914417887432506</v>
      </c>
      <c r="AC9" s="20">
        <f t="array" ref="AC9">IFERROR(_xll.FDS($B9,"RTP_PRICE_TARGET(USD)/FG_PRICE(0,,,USD)")-1, "")</f>
        <v>0.45431480906551003</v>
      </c>
      <c r="AD9" s="25">
        <f t="array" ref="AD9">IFERROR(_xll.FDS($B9,"FG_PRICE(0,,,USD)/FG_PRICE_MAVG(0,,,USD,50)")-1, "")</f>
        <v>-0.21445730242540295</v>
      </c>
      <c r="AE9" s="25">
        <f t="array" ref="AE9">IFERROR(_xll.FDS($B9,"FG_PRICE(0,,,USD)/FG_PRICE_MAVG(0,,,USD,100)")-1, "")</f>
        <v>-0.24982127649861896</v>
      </c>
      <c r="AF9" s="25">
        <f t="array" ref="AF9">IFERROR(_xll.FDS($B9,"FG_PRICE(0,,,USD)/FG_PRICE_MAVG(0,,,USD,200)")-1, "")</f>
        <v>-0.20094254544949397</v>
      </c>
      <c r="AG9" s="26" t="str">
        <f t="array" ref="AG9">IFERROR(_xll.FDS($B9,"FE_RATING(MEAN,TEXTONLY,0,NOW,,,'')"), "")</f>
        <v>Overweight</v>
      </c>
      <c r="AH9" s="50">
        <f>IFERROR(IF('3 — Weights'!$E$2=1,PERCENTRANK(I$4:I$91,I9),1-PERCENTRANK(I$4:I$91,I9))*100,"")</f>
        <v>74.7</v>
      </c>
      <c r="AI9" s="51">
        <f>IFERROR(IF('3 — Weights'!$E$3=1,PERCENTRANK(J$4:J$91,J9),1-PERCENTRANK(J$4:J$91,J9))*100,"")</f>
        <v>28.7</v>
      </c>
      <c r="AJ9" s="51">
        <f>IFERROR(IF('3 — Weights'!$E$4=1,PERCENTRANK(K$4:K$91,K9),1-PERCENTRANK(K$4:K$91,K9))*100,"")</f>
        <v>98.8</v>
      </c>
      <c r="AK9" s="51">
        <f>IFERROR(IF('3 — Weights'!$E$5=1,PERCENTRANK(L$4:L$91,L9),1-PERCENTRANK(L$4:L$91,L9))*100,"")</f>
        <v>96.399999999999991</v>
      </c>
      <c r="AL9" s="51">
        <f>IFERROR(IF('3 — Weights'!$E$6=1,PERCENTRANK(M$4:M$91,M9),1-PERCENTRANK(M$4:M$91,M9))*100,"")</f>
        <v>86.5</v>
      </c>
      <c r="AM9" s="51">
        <f>IFERROR(IF('3 — Weights'!$E$7=1,PERCENTRANK(N$4:N$91,N9),1-PERCENTRANK(N$4:N$91,N9))*100,"")</f>
        <v>79.2</v>
      </c>
      <c r="AN9" s="51">
        <f>IFERROR(IF('3 — Weights'!$E$8=1,PERCENTRANK(O$4:O$91,O9),1-PERCENTRANK(O$4:O$91,O9))*100,"")</f>
        <v>93.899999999999991</v>
      </c>
      <c r="AO9" s="51">
        <f>IFERROR(IF('3 — Weights'!$E$9=1,PERCENTRANK(P$4:P$91,P9),1-PERCENTRANK(P$4:P$91,P9))*100,"")</f>
        <v>77.2</v>
      </c>
      <c r="AP9" s="51">
        <f>IFERROR(IF('3 — Weights'!$E$10=1,PERCENTRANK(Q$4:Q$91,Q9),1-PERCENTRANK(Q$4:Q$91,Q9))*100,"")</f>
        <v>5.8999999999999995</v>
      </c>
      <c r="AQ9" s="51">
        <f>IFERROR(IF('3 — Weights'!$E$11=1,PERCENTRANK(R$4:R$91,R9),1-PERCENTRANK(R$4:R$91,R9))*100,"")</f>
        <v>0</v>
      </c>
      <c r="AR9" s="51">
        <f>IFERROR(IF('3 — Weights'!$E$12=1,PERCENTRANK(S$4:S$91,S9),1-PERCENTRANK(S$4:S$91,S9))*100,"")</f>
        <v>74</v>
      </c>
      <c r="AS9" s="51" t="str">
        <f>IFERROR(IF('3 — Weights'!$E$13=1,PERCENTRANK(T$4:T$91,T9),1-PERCENTRANK(T$4:T$91,T9))*100,"")</f>
        <v/>
      </c>
      <c r="AT9" s="51">
        <f>IFERROR(IF('3 — Weights'!$E$14=1,PERCENTRANK(U$4:U$91,U9),1-PERCENTRANK(U$4:U$91,U9))*100,"")</f>
        <v>98.7</v>
      </c>
      <c r="AU9" s="51">
        <f>IFERROR(IF('3 — Weights'!$E$15=1,PERCENTRANK(V$4:V$91,V9),1-PERCENTRANK(V$4:V$91,V9))*100,"")</f>
        <v>8.0999999999999961</v>
      </c>
      <c r="AV9" s="51">
        <f>IFERROR(IF('3 — Weights'!$E$16=1,PERCENTRANK(W$4:W$91,W9),1-PERCENTRANK(W$4:W$91,W9))*100,"")</f>
        <v>1.2000000000000011</v>
      </c>
      <c r="AW9" s="51">
        <f>IFERROR(IF('3 — Weights'!$E$17=1,PERCENTRANK(X$4:X$91,X9),1-PERCENTRANK(X$4:X$91,X9))*100,"")</f>
        <v>1.2000000000000011</v>
      </c>
      <c r="AX9" s="51">
        <f>IFERROR(IF('3 — Weights'!$E$18=1,PERCENTRANK(Y$4:Y$91,Y9),1-PERCENTRANK(Y$4:Y$91,Y9))*100,"")</f>
        <v>3.5000000000000031</v>
      </c>
      <c r="AY9" s="51">
        <f>IFERROR(IF('3 — Weights'!$E$18=1,PERCENTRANK(Z$4:Z$91,Z9),1-PERCENTRANK(Z$4:Z$91,Z9))*100,"")</f>
        <v>82.800000000000011</v>
      </c>
      <c r="AZ9" s="51">
        <f>IFERROR(IF('3 — Weights'!$E$18=1,PERCENTRANK(AA$4:AA$91,AA9),1-PERCENTRANK(AA$4:AA$91,AA9))*100,"")</f>
        <v>82.600000000000009</v>
      </c>
      <c r="BA9" s="51">
        <f>IFERROR(IF('3 — Weights'!$E$21=1,PERCENTRANK(AB$4:AB$91,AB9),1-PERCENTRANK(AB$4:AB$91,AB9))*100,"")</f>
        <v>67.800000000000011</v>
      </c>
      <c r="BB9" s="51">
        <f>IFERROR(IF('3 — Weights'!$E$22=1,PERCENTRANK(AC$4:AC$91,AC9),1-PERCENTRANK(AC$4:AC$91,AC9))*100,"")</f>
        <v>40.200000000000003</v>
      </c>
      <c r="BC9" s="51">
        <f>IFERROR(IF('3 — Weights'!$E$23=1,PERCENTRANK(AD$4:AD$91,AD9),1-PERCENTRANK(AD$4:AD$91,AD9))*100,"")</f>
        <v>65.600000000000009</v>
      </c>
      <c r="BD9" s="51">
        <f>IFERROR(IF('3 — Weights'!$E$24=1,PERCENTRANK(AE$4:AE$91,AE9),1-PERCENTRANK(AE$4:AE$91,AE9))*100,"")</f>
        <v>48.3</v>
      </c>
      <c r="BE9" s="51">
        <f>IFERROR(IF('3 — Weights'!$E$25=1,PERCENTRANK(AF$4:AF$91,AF9),1-PERCENTRANK(AF$4:AF$91,AF9))*100,"")</f>
        <v>29.900000000000006</v>
      </c>
      <c r="BF9" s="52" cm="1">
        <f t="array" ref="BF9">IFERROR(SUMPRODUCT(TRANSPOSE(AH9:BE9), [1]!Table2[Weight
Claude]),"")</f>
        <v>61.155000000000001</v>
      </c>
      <c r="BG9" s="53" cm="1">
        <f t="array" ref="BG9">IFERROR(SUMPRODUCT(TRANSPOSE(AH9:BE9), [1]!Table2[Weight
Cape IMC]),"")</f>
        <v>61.155000000000001</v>
      </c>
    </row>
    <row r="10" spans="1:59" ht="22.5" customHeight="1" x14ac:dyDescent="0.25">
      <c r="A10" s="17">
        <f t="shared" si="0"/>
        <v>9</v>
      </c>
      <c r="B10" s="18" t="s">
        <v>91</v>
      </c>
      <c r="C10" s="18" t="s">
        <v>92</v>
      </c>
      <c r="D10" s="18" t="str">
        <f t="array" ref="D10">IFERROR(_xll.FDS($B10,"FR_RBICS_NAME_CURR(""IND"")"), "")</f>
        <v>Network Infrastructure Software</v>
      </c>
      <c r="E10" s="18" t="str">
        <f t="array" ref="E10">PROPER(IFERROR(_xll.FDS($B10,"P_DCOUNTRY"), ""))</f>
        <v>United States</v>
      </c>
      <c r="F10" s="19">
        <f t="array" ref="F10">IFERROR(_xll.FDS($B10,"FCS_EV_DAILY(MV,NOW,,,USD,M)"), "")</f>
        <v>10620.581474500001</v>
      </c>
      <c r="G10" s="19">
        <f t="array" ref="G10">IFERROR(_xll.FDS($B10,"AVG(P_VOLUME_FRQ(-1AM,NOW,D,,6))*P_PRICE_AVG(-1AM,NOW,,USD)"), "")</f>
        <v>235.062033517141</v>
      </c>
      <c r="H10" s="20">
        <f t="array" ref="H10">IFERROR(_xll.FDS($B10,"OS_SEC_FLT_PCT(0D,,MTD,SEC)")/100, "")</f>
        <v>0.98889700000000003</v>
      </c>
      <c r="I10" s="19">
        <f t="array" ref="I10">IFERROR(_xll.FDS($B10,"FE_ACTUAL(ACTUAL,SALES,ANN_ROLL,0,,,,'CURRENCY=USD')"), "")</f>
        <v>1698.683</v>
      </c>
      <c r="J10" s="19">
        <f t="array" ref="J10">IFERROR(_xll.FDS($B10,"FE_ACTUAL(ACTUAL,EPS,ANN_ROLL,0,,,,'CURRENCY=USD')"), "")</f>
        <v>1.39</v>
      </c>
      <c r="K10" s="20">
        <f t="array" ref="K10">IFERROR(_xll.FDS($B10,"POW(FE_ESTIMATE(SALES,MEAN,STMA,,NOW,,,'CURRENCY=USD')/FE_ESTIMATE(SALES,MEAN,LTMA,,NOW,,,'CURRENCY=USD'),0.5)-1"), "")</f>
        <v>0.147540631088939</v>
      </c>
      <c r="L10" s="20">
        <f t="array" ref="L10">IFERROR(_xll.FDS($B10,"POW(FE_ESTIMATE(EPS,MEAN,STMA,,NOW,,,'CURRENCY=USD')/FE_ESTIMATE(EPS,MEAN,LTMA,,NOW,,,'CURRENCY=USD'),0.5)-1"), "")</f>
        <v>0.14545837986371199</v>
      </c>
      <c r="M10" s="21">
        <f t="array" ref="M10">IFERROR(_xll.FDS($B10,"FF_GROSS_MGN(LTM_R,0)"), "")</f>
        <v>81.574419360649699</v>
      </c>
      <c r="N10" s="21">
        <f t="array" ref="N10">IFERROR(_xll.FDS($B10,"FF_EBITDA_OPER_MGN(LTM_R,0)"), "")</f>
        <v>14.2615108114768</v>
      </c>
      <c r="O10" s="21">
        <f t="array" ref="O10">IFERROR(_xll.FDS($B10,"FF_NET_MGN(LTM_R,0)"), "")</f>
        <v>9.5534507069958305</v>
      </c>
      <c r="P10" s="22">
        <f t="array" ref="P10">IFERROR(_xll.FDS($B10,"FE_VALUATION(NETDEBT_EBITDA,MEAN,NTMA,,NOW,,,'')"), "")</f>
        <v>-2.5842223</v>
      </c>
      <c r="Q10" s="23">
        <f t="array" ref="Q10">IFERROR(_xll.FDS($B10,"FE_VALUATION(MCAP_FCF,MEAN,NTMA,,NOW,,,'')"), "")</f>
        <v>5.8847519999999998</v>
      </c>
      <c r="R10" s="23">
        <f t="array" ref="R10">IFERROR(_xll.FDS($B10,"FE_VALUATION(DIV_YLD,MEAN,NTMA,,NOW,,,'')"), "")</f>
        <v>0</v>
      </c>
      <c r="S10" s="21">
        <f t="array" ref="S10">IFERROR(_xll.FDS($B10,"FE_VALUATION(ROE,MEAN,NTMA,,0,,,'')" ), "")</f>
        <v>17.984052999999999</v>
      </c>
      <c r="T10" s="21">
        <f t="array" ref="T10">IFERROR(_xll.FDS($B10,"FE_VALUATION(ROIC,MEAN,NTMA,,0,,,'')" ), "")</f>
        <v>16.549990000000001</v>
      </c>
      <c r="U10" s="22">
        <f t="array" ref="U10">IFERROR(((_xll.FDS($B10,"FE_ACTUAL(ACTUAL,SALES,ANN_ROLL,0,,,,'CURRENCY=USD')")/_xll.FDS($B10,"FE_ACTUAL(ACTUAL,SALES,ANN_ROLL,-1,,,,'CURRENCY=USD')")-1)*100)+(_xll.FDS($B10,"FE_VALUATION(EBITDA_MARGIN,MEAN,ANN_ROLL,0,NOW,,,'')")  ), "")</f>
        <v>49.576970590480457</v>
      </c>
      <c r="V10" s="24">
        <f t="array" ref="V10">IFERROR(_xll.FDS($B10,"FE_VALUATION(PE,MEAN,NTMA,,0,,,'')" ), "")</f>
        <v>18.10821</v>
      </c>
      <c r="W10" s="24">
        <f t="array" ref="W10">IFERROR(_xll.FDS($B10,"FE_VALUATION(P_SALESPS,MEAN,NTMA,,0,,,'')" ), "")</f>
        <v>4.4878070000000001</v>
      </c>
      <c r="X10" s="24">
        <f t="array" ref="X10">IFERROR(_xll.FDS($B10,"FE_VALUATION(FFEV_SALES,MEAN,NTMA,,0,,,'')" ), "")</f>
        <v>4.078665</v>
      </c>
      <c r="Y10" s="24">
        <f t="array" ref="Y10">IFERROR(_xll.FDS($B10,"FE_VALUATION(FFEV_EBITDA,MEAN,NTMA,,0,,,'')" ), "")</f>
        <v>13.261618</v>
      </c>
      <c r="Z10" s="20">
        <f t="array" ref="Z10">IFERROR(_xll.FDS($B10,"PERCENT_CHANGE(FE_VALUATION(PE,MEAN,NTMA,,0,,,''),MAX(FE_VALUATION(PE,MEAN,NTMA,,-1AY,0,,'')))")/100,"")</f>
        <v>-0.53002122043259703</v>
      </c>
      <c r="AA10" s="20">
        <f t="array" ref="AA10">IFERROR(_xll.FDS($B10,"PERCENT_CHANGE(FE_VALUATION(FFEV_EBITDA,MEAN,NTMA,,0,,,''),MAX(FE_VALUATION(FFEV_EBITDA,MEAN,NTMA,,-1AY,0,,'')))")/100,"")</f>
        <v>-0.54523904511302401</v>
      </c>
      <c r="AB10" s="20">
        <f t="array" ref="AB10">IFERROR(_xll.FDS($B10,"FG_PRICE(0,,,USD)/P_PRICE_HIGH(-1AY,0,USD,,,""PRICE"",""INTRA"")")-1, "")</f>
        <v>-0.43011647254575702</v>
      </c>
      <c r="AC10" s="20">
        <f t="array" ref="AC10">IFERROR(_xll.FDS($B10,"RTP_PRICE_TARGET(USD)/FG_PRICE(0,,,USD)")-1, "")</f>
        <v>0.46082724087590998</v>
      </c>
      <c r="AD10" s="25">
        <f t="array" ref="AD10">IFERROR(_xll.FDS($B10,"FG_PRICE(0,,,USD)/FG_PRICE_MAVG(0,,,USD,50)")-1, "")</f>
        <v>-0.14760707797217598</v>
      </c>
      <c r="AE10" s="25">
        <f t="array" ref="AE10">IFERROR(_xll.FDS($B10,"FG_PRICE(0,,,USD)/FG_PRICE_MAVG(0,,,USD,100)")-1, "")</f>
        <v>-0.21662538225250505</v>
      </c>
      <c r="AF10" s="25">
        <f t="array" ref="AF10">IFERROR(_xll.FDS($B10,"FG_PRICE(0,,,USD)/FG_PRICE_MAVG(0,,,USD,200)")-1, "")</f>
        <v>-0.28230542357076605</v>
      </c>
      <c r="AG10" s="26" t="str">
        <f t="array" ref="AG10">IFERROR(_xll.FDS($B10,"FE_RATING(MEAN,TEXTONLY,0,NOW,,,'')"), "")</f>
        <v>Overweight</v>
      </c>
      <c r="AH10" s="50">
        <f>IFERROR(IF('3 — Weights'!$E$2=1,PERCENTRANK(I$4:I$91,I10),1-PERCENTRANK(I$4:I$91,I10))*100,"")</f>
        <v>51.7</v>
      </c>
      <c r="AI10" s="51">
        <f>IFERROR(IF('3 — Weights'!$E$3=1,PERCENTRANK(J$4:J$91,J10),1-PERCENTRANK(J$4:J$91,J10))*100,"")</f>
        <v>37.9</v>
      </c>
      <c r="AJ10" s="51">
        <f>IFERROR(IF('3 — Weights'!$E$4=1,PERCENTRANK(K$4:K$91,K10),1-PERCENTRANK(K$4:K$91,K10))*100,"")</f>
        <v>57.4</v>
      </c>
      <c r="AK10" s="51">
        <f>IFERROR(IF('3 — Weights'!$E$5=1,PERCENTRANK(L$4:L$91,L10),1-PERCENTRANK(L$4:L$91,L10))*100,"")</f>
        <v>39.200000000000003</v>
      </c>
      <c r="AL10" s="51">
        <f>IFERROR(IF('3 — Weights'!$E$6=1,PERCENTRANK(M$4:M$91,M10),1-PERCENTRANK(M$4:M$91,M10))*100,"")</f>
        <v>82.899999999999991</v>
      </c>
      <c r="AM10" s="51">
        <f>IFERROR(IF('3 — Weights'!$E$7=1,PERCENTRANK(N$4:N$91,N10),1-PERCENTRANK(N$4:N$91,N10))*100,"")</f>
        <v>41.5</v>
      </c>
      <c r="AN10" s="51">
        <f>IFERROR(IF('3 — Weights'!$E$8=1,PERCENTRANK(O$4:O$91,O10),1-PERCENTRANK(O$4:O$91,O10))*100,"")</f>
        <v>45.7</v>
      </c>
      <c r="AO10" s="51">
        <f>IFERROR(IF('3 — Weights'!$E$9=1,PERCENTRANK(P$4:P$91,P10),1-PERCENTRANK(P$4:P$91,P10))*100,"")</f>
        <v>76</v>
      </c>
      <c r="AP10" s="51">
        <f>IFERROR(IF('3 — Weights'!$E$10=1,PERCENTRANK(Q$4:Q$91,Q10),1-PERCENTRANK(Q$4:Q$91,Q10))*100,"")</f>
        <v>60.699999999999996</v>
      </c>
      <c r="AQ10" s="51">
        <f>IFERROR(IF('3 — Weights'!$E$11=1,PERCENTRANK(R$4:R$91,R10),1-PERCENTRANK(R$4:R$91,R10))*100,"")</f>
        <v>0</v>
      </c>
      <c r="AR10" s="51">
        <f>IFERROR(IF('3 — Weights'!$E$12=1,PERCENTRANK(S$4:S$91,S10),1-PERCENTRANK(S$4:S$91,S10))*100,"")</f>
        <v>40.699999999999996</v>
      </c>
      <c r="AS10" s="51">
        <f>IFERROR(IF('3 — Weights'!$E$13=1,PERCENTRANK(T$4:T$91,T10),1-PERCENTRANK(T$4:T$91,T10))*100,"")</f>
        <v>50</v>
      </c>
      <c r="AT10" s="51">
        <f>IFERROR(IF('3 — Weights'!$E$14=1,PERCENTRANK(U$4:U$91,U10),1-PERCENTRANK(U$4:U$91,U10))*100,"")</f>
        <v>60.9</v>
      </c>
      <c r="AU10" s="51">
        <f>IFERROR(IF('3 — Weights'!$E$15=1,PERCENTRANK(V$4:V$91,V10),1-PERCENTRANK(V$4:V$91,V10))*100,"")</f>
        <v>64.400000000000006</v>
      </c>
      <c r="AV10" s="51">
        <f>IFERROR(IF('3 — Weights'!$E$16=1,PERCENTRANK(W$4:W$91,W10),1-PERCENTRANK(W$4:W$91,W10))*100,"")</f>
        <v>51.800000000000004</v>
      </c>
      <c r="AW10" s="51">
        <f>IFERROR(IF('3 — Weights'!$E$17=1,PERCENTRANK(X$4:X$91,X10),1-PERCENTRANK(X$4:X$91,X10))*100,"")</f>
        <v>57.499999999999993</v>
      </c>
      <c r="AX10" s="51">
        <f>IFERROR(IF('3 — Weights'!$E$18=1,PERCENTRANK(Y$4:Y$91,Y10),1-PERCENTRANK(Y$4:Y$91,Y10))*100,"")</f>
        <v>61.7</v>
      </c>
      <c r="AY10" s="51">
        <f>IFERROR(IF('3 — Weights'!$E$18=1,PERCENTRANK(Z$4:Z$91,Z10),1-PERCENTRANK(Z$4:Z$91,Z10))*100,"")</f>
        <v>54.099999999999994</v>
      </c>
      <c r="AZ10" s="51">
        <f>IFERROR(IF('3 — Weights'!$E$18=1,PERCENTRANK(AA$4:AA$91,AA10),1-PERCENTRANK(AA$4:AA$91,AA10))*100,"")</f>
        <v>57.000000000000007</v>
      </c>
      <c r="BA10" s="51">
        <f>IFERROR(IF('3 — Weights'!$E$21=1,PERCENTRANK(AB$4:AB$91,AB10),1-PERCENTRANK(AB$4:AB$91,AB10))*100,"")</f>
        <v>52.800000000000004</v>
      </c>
      <c r="BB10" s="51">
        <f>IFERROR(IF('3 — Weights'!$E$22=1,PERCENTRANK(AC$4:AC$91,AC10),1-PERCENTRANK(AC$4:AC$91,AC10))*100,"")</f>
        <v>43.6</v>
      </c>
      <c r="BC10" s="51">
        <f>IFERROR(IF('3 — Weights'!$E$23=1,PERCENTRANK(AD$4:AD$91,AD10),1-PERCENTRANK(AD$4:AD$91,AD10))*100,"")</f>
        <v>33.4</v>
      </c>
      <c r="BD10" s="51">
        <f>IFERROR(IF('3 — Weights'!$E$24=1,PERCENTRANK(AE$4:AE$91,AE10),1-PERCENTRANK(AE$4:AE$91,AE10))*100,"")</f>
        <v>36.799999999999997</v>
      </c>
      <c r="BE10" s="51">
        <f>IFERROR(IF('3 — Weights'!$E$25=1,PERCENTRANK(AF$4:AF$91,AF10),1-PERCENTRANK(AF$4:AF$91,AF10))*100,"")</f>
        <v>49.5</v>
      </c>
      <c r="BF10" s="52" cm="1">
        <f t="array" ref="BF10">IFERROR(SUMPRODUCT(TRANSPOSE(AH10:BE10), [1]!Table2[Weight
Claude]),"")</f>
        <v>60.769999999999996</v>
      </c>
      <c r="BG10" s="53" cm="1">
        <f t="array" ref="BG10">IFERROR(SUMPRODUCT(TRANSPOSE(AH10:BE10), [1]!Table2[Weight
Cape IMC]),"")</f>
        <v>60.769999999999996</v>
      </c>
    </row>
    <row r="11" spans="1:59" ht="22.5" customHeight="1" x14ac:dyDescent="0.25">
      <c r="A11" s="17">
        <f t="shared" si="0"/>
        <v>8</v>
      </c>
      <c r="B11" s="18" t="s">
        <v>93</v>
      </c>
      <c r="C11" s="18" t="s">
        <v>94</v>
      </c>
      <c r="D11" s="18" t="str">
        <f t="array" ref="D11">IFERROR(_xll.FDS($B11,"FR_RBICS_NAME_CURR(""IND"")"), "")</f>
        <v>General Enterprise Management Software</v>
      </c>
      <c r="E11" s="18" t="str">
        <f t="array" ref="E11">PROPER(IFERROR(_xll.FDS($B11,"P_DCOUNTRY"), ""))</f>
        <v>United States</v>
      </c>
      <c r="F11" s="19">
        <f t="array" ref="F11">IFERROR(_xll.FDS($B11,"FCS_EV_DAILY(MV,NOW,,,USD,M)"), "")</f>
        <v>109870.40738999999</v>
      </c>
      <c r="G11" s="19">
        <f t="array" ref="G11">IFERROR(_xll.FDS($B11,"AVG(P_VOLUME_FRQ(-1AM,NOW,D,,6))*P_PRICE_AVG(-1AM,NOW,,USD)"), "")</f>
        <v>2659.8859748355599</v>
      </c>
      <c r="H11" s="20">
        <f t="array" ref="H11">IFERROR(_xll.FDS($B11,"OS_SEC_FLT_PCT(0D,,MTD,SEC)")/100, "")</f>
        <v>0.99336500000000005</v>
      </c>
      <c r="I11" s="19">
        <f t="array" ref="I11">IFERROR(_xll.FDS($B11,"FE_ACTUAL(ACTUAL,SALES,ANN_ROLL,0,,,,'CURRENCY=USD')"), "")</f>
        <v>13278</v>
      </c>
      <c r="J11" s="19">
        <f t="array" ref="J11">IFERROR(_xll.FDS($B11,"FE_ACTUAL(ACTUAL,EPS,ANN_ROLL,0,,,,'CURRENCY=USD')"), "")</f>
        <v>3.51</v>
      </c>
      <c r="K11" s="20">
        <f t="array" ref="K11">IFERROR(_xll.FDS($B11,"POW(FE_ESTIMATE(SALES,MEAN,STMA,,NOW,,,'CURRENCY=USD')/FE_ESTIMATE(SALES,MEAN,LTMA,,NOW,,,'CURRENCY=USD'),0.5)-1"), "")</f>
        <v>0.19397127268624001</v>
      </c>
      <c r="L11" s="20">
        <f t="array" ref="L11">IFERROR(_xll.FDS($B11,"POW(FE_ESTIMATE(EPS,MEAN,STMA,,NOW,,,'CURRENCY=USD')/FE_ESTIMATE(EPS,MEAN,LTMA,,NOW,,,'CURRENCY=USD'),0.5)-1"), "")</f>
        <v>0.20121788198477999</v>
      </c>
      <c r="M11" s="21">
        <f t="array" ref="M11">IFERROR(_xll.FDS($B11,"FF_GROSS_MGN(LTM_R,0)"), "")</f>
        <v>77.534267208917001</v>
      </c>
      <c r="N11" s="21">
        <f t="array" ref="N11">IFERROR(_xll.FDS($B11,"FF_EBITDA_OPER_MGN(LTM_R,0)"), "")</f>
        <v>19.596324747703001</v>
      </c>
      <c r="O11" s="21">
        <f t="array" ref="O11">IFERROR(_xll.FDS($B11,"FF_NET_MGN(LTM_R,0)"), "")</f>
        <v>13.1646332278958</v>
      </c>
      <c r="P11" s="22">
        <f t="array" ref="P11">IFERROR(_xll.FDS($B11,"FE_VALUATION(NETDEBT_EBITDA,MEAN,NTMA,,NOW,,,'')"), "")</f>
        <v>-1.4570582000000001</v>
      </c>
      <c r="Q11" s="23">
        <f t="array" ref="Q11">IFERROR(_xll.FDS($B11,"FE_VALUATION(MCAP_FCF,MEAN,NTMA,,NOW,,,'')"), "")</f>
        <v>5.4903965000000001</v>
      </c>
      <c r="R11" s="23">
        <f t="array" ref="R11">IFERROR(_xll.FDS($B11,"FE_VALUATION(DIV_YLD,MEAN,NTMA,,NOW,,,'')"), "")</f>
        <v>0</v>
      </c>
      <c r="S11" s="21">
        <f t="array" ref="S11">IFERROR(_xll.FDS($B11,"FE_VALUATION(ROE,MEAN,NTMA,,0,,,'')" ), "")</f>
        <v>27.540296999999999</v>
      </c>
      <c r="T11" s="21">
        <f t="array" ref="T11">IFERROR(_xll.FDS($B11,"FE_VALUATION(ROIC,MEAN,NTMA,,0,,,'')" ), "")</f>
        <v>24.644462999999998</v>
      </c>
      <c r="U11" s="22">
        <f t="array" ref="U11">IFERROR(((_xll.FDS($B11,"FE_ACTUAL(ACTUAL,SALES,ANN_ROLL,0,,,,'CURRENCY=USD')")/_xll.FDS($B11,"FE_ACTUAL(ACTUAL,SALES,ANN_ROLL,-1,,,,'CURRENCY=USD')")-1)*100)+(_xll.FDS($B11,"FE_VALUATION(EBITDA_MARGIN,MEAN,ANN_ROLL,0,NOW,,,'')")  ), "")</f>
        <v>58.205636525127446</v>
      </c>
      <c r="V11" s="24">
        <f t="array" ref="V11">IFERROR(_xll.FDS($B11,"FE_VALUATION(PE,MEAN,NTMA,,0,,,'')" ), "")</f>
        <v>23.757355</v>
      </c>
      <c r="W11" s="24">
        <f t="array" ref="W11">IFERROR(_xll.FDS($B11,"FE_VALUATION(P_SALESPS,MEAN,NTMA,,0,,,'')" ), "")</f>
        <v>6.5305815000000003</v>
      </c>
      <c r="X11" s="24">
        <f t="array" ref="X11">IFERROR(_xll.FDS($B11,"FE_VALUATION(FFEV_SALES,MEAN,NTMA,,0,,,'')" ), "")</f>
        <v>6.2981113999999998</v>
      </c>
      <c r="Y11" s="24">
        <f t="array" ref="Y11">IFERROR(_xll.FDS($B11,"FE_VALUATION(FFEV_EBITDA,MEAN,NTMA,,0,,,'')" ), "")</f>
        <v>17.151565999999999</v>
      </c>
      <c r="Z11" s="20">
        <f t="array" ref="Z11">IFERROR(_xll.FDS($B11,"PERCENT_CHANGE(FE_VALUATION(PE,MEAN,NTMA,,0,,,''),MAX(FE_VALUATION(PE,MEAN,NTMA,,-1AY,0,,'')))")/100,"")</f>
        <v>-0.59356938415570393</v>
      </c>
      <c r="AA11" s="20">
        <f t="array" ref="AA11">IFERROR(_xll.FDS($B11,"PERCENT_CHANGE(FE_VALUATION(FFEV_EBITDA,MEAN,NTMA,,0,,,''),MAX(FE_VALUATION(FFEV_EBITDA,MEAN,NTMA,,-1AY,0,,'')))")/100,"")</f>
        <v>-0.60575562620403101</v>
      </c>
      <c r="AB11" s="20">
        <f t="array" ref="AB11">IFERROR(_xll.FDS($B11,"FG_PRICE(0,,,USD)/P_PRICE_HIGH(-1AY,0,USD,,,""PRICE"",""INTRA"")")-1, "")</f>
        <v>-0.51536325436813801</v>
      </c>
      <c r="AC11" s="20">
        <f t="array" ref="AC11">IFERROR(_xll.FDS($B11,"RTP_PRICE_TARGET(USD)/FG_PRICE(0,,,USD)")-1, "")</f>
        <v>0.83132305590788991</v>
      </c>
      <c r="AD11" s="25">
        <f t="array" ref="AD11">IFERROR(_xll.FDS($B11,"FG_PRICE(0,,,USD)/FG_PRICE_MAVG(0,,,USD,50)")-1, "")</f>
        <v>-0.22275533348035403</v>
      </c>
      <c r="AE11" s="25">
        <f t="array" ref="AE11">IFERROR(_xll.FDS($B11,"FG_PRICE(0,,,USD)/FG_PRICE_MAVG(0,,,USD,100)")-1, "")</f>
        <v>-0.33323809092579304</v>
      </c>
      <c r="AF11" s="25">
        <f t="array" ref="AF11">IFERROR(_xll.FDS($B11,"FG_PRICE(0,,,USD)/FG_PRICE_MAVG(0,,,USD,200)")-1, "")</f>
        <v>-0.40764628143003201</v>
      </c>
      <c r="AG11" s="26" t="str">
        <f t="array" ref="AG11">IFERROR(_xll.FDS($B11,"FE_RATING(MEAN,TEXTONLY,0,NOW,,,'')"), "")</f>
        <v>Buy</v>
      </c>
      <c r="AH11" s="50">
        <f>IFERROR(IF('3 — Weights'!$E$2=1,PERCENTRANK(I$4:I$91,I11),1-PERCENTRANK(I$4:I$91,I11))*100,"")</f>
        <v>94.199999999999989</v>
      </c>
      <c r="AI11" s="51">
        <f>IFERROR(IF('3 — Weights'!$E$3=1,PERCENTRANK(J$4:J$91,J11),1-PERCENTRANK(J$4:J$91,J11))*100,"")</f>
        <v>60.9</v>
      </c>
      <c r="AJ11" s="51">
        <f>IFERROR(IF('3 — Weights'!$E$4=1,PERCENTRANK(K$4:K$91,K11),1-PERCENTRANK(K$4:K$91,K11))*100,"")</f>
        <v>81.599999999999994</v>
      </c>
      <c r="AK11" s="51">
        <f>IFERROR(IF('3 — Weights'!$E$5=1,PERCENTRANK(L$4:L$91,L11),1-PERCENTRANK(L$4:L$91,L11))*100,"")</f>
        <v>66.600000000000009</v>
      </c>
      <c r="AL11" s="51">
        <f>IFERROR(IF('3 — Weights'!$E$6=1,PERCENTRANK(M$4:M$91,M11),1-PERCENTRANK(M$4:M$91,M11))*100,"")</f>
        <v>69.5</v>
      </c>
      <c r="AM11" s="51">
        <f>IFERROR(IF('3 — Weights'!$E$7=1,PERCENTRANK(N$4:N$91,N11),1-PERCENTRANK(N$4:N$91,N11))*100,"")</f>
        <v>50.6</v>
      </c>
      <c r="AN11" s="51">
        <f>IFERROR(IF('3 — Weights'!$E$8=1,PERCENTRANK(O$4:O$91,O11),1-PERCENTRANK(O$4:O$91,O11))*100,"")</f>
        <v>59</v>
      </c>
      <c r="AO11" s="51">
        <f>IFERROR(IF('3 — Weights'!$E$9=1,PERCENTRANK(P$4:P$91,P11),1-PERCENTRANK(P$4:P$91,P11))*100,"")</f>
        <v>57.9</v>
      </c>
      <c r="AP11" s="51">
        <f>IFERROR(IF('3 — Weights'!$E$10=1,PERCENTRANK(Q$4:Q$91,Q11),1-PERCENTRANK(Q$4:Q$91,Q11))*100,"")</f>
        <v>55.900000000000006</v>
      </c>
      <c r="AQ11" s="51">
        <f>IFERROR(IF('3 — Weights'!$E$11=1,PERCENTRANK(R$4:R$91,R11),1-PERCENTRANK(R$4:R$91,R11))*100,"")</f>
        <v>0</v>
      </c>
      <c r="AR11" s="51">
        <f>IFERROR(IF('3 — Weights'!$E$12=1,PERCENTRANK(S$4:S$91,S11),1-PERCENTRANK(S$4:S$91,S11))*100,"")</f>
        <v>69.099999999999994</v>
      </c>
      <c r="AS11" s="51">
        <f>IFERROR(IF('3 — Weights'!$E$13=1,PERCENTRANK(T$4:T$91,T11),1-PERCENTRANK(T$4:T$91,T11))*100,"")</f>
        <v>76.3</v>
      </c>
      <c r="AT11" s="51">
        <f>IFERROR(IF('3 — Weights'!$E$14=1,PERCENTRANK(U$4:U$91,U11),1-PERCENTRANK(U$4:U$91,U11))*100,"")</f>
        <v>80.400000000000006</v>
      </c>
      <c r="AU11" s="51">
        <f>IFERROR(IF('3 — Weights'!$E$15=1,PERCENTRANK(V$4:V$91,V11),1-PERCENTRANK(V$4:V$91,V11))*100,"")</f>
        <v>43.7</v>
      </c>
      <c r="AV11" s="51">
        <f>IFERROR(IF('3 — Weights'!$E$16=1,PERCENTRANK(W$4:W$91,W11),1-PERCENTRANK(W$4:W$91,W11))*100,"")</f>
        <v>29.900000000000006</v>
      </c>
      <c r="AW11" s="51">
        <f>IFERROR(IF('3 — Weights'!$E$17=1,PERCENTRANK(X$4:X$91,X11),1-PERCENTRANK(X$4:X$91,X11))*100,"")</f>
        <v>32.199999999999996</v>
      </c>
      <c r="AX11" s="51">
        <f>IFERROR(IF('3 — Weights'!$E$18=1,PERCENTRANK(Y$4:Y$91,Y11),1-PERCENTRANK(Y$4:Y$91,Y11))*100,"")</f>
        <v>41.900000000000006</v>
      </c>
      <c r="AY11" s="51">
        <f>IFERROR(IF('3 — Weights'!$E$18=1,PERCENTRANK(Z$4:Z$91,Z11),1-PERCENTRANK(Z$4:Z$91,Z11))*100,"")</f>
        <v>71.300000000000011</v>
      </c>
      <c r="AZ11" s="51">
        <f>IFERROR(IF('3 — Weights'!$E$18=1,PERCENTRANK(AA$4:AA$91,AA11),1-PERCENTRANK(AA$4:AA$91,AA11))*100,"")</f>
        <v>78</v>
      </c>
      <c r="BA11" s="51">
        <f>IFERROR(IF('3 — Weights'!$E$21=1,PERCENTRANK(AB$4:AB$91,AB11),1-PERCENTRANK(AB$4:AB$91,AB11))*100,"")</f>
        <v>24.099999999999998</v>
      </c>
      <c r="BB11" s="51">
        <f>IFERROR(IF('3 — Weights'!$E$22=1,PERCENTRANK(AC$4:AC$91,AC11),1-PERCENTRANK(AC$4:AC$91,AC11))*100,"")</f>
        <v>82.699999999999989</v>
      </c>
      <c r="BC11" s="51">
        <f>IFERROR(IF('3 — Weights'!$E$23=1,PERCENTRANK(AD$4:AD$91,AD11),1-PERCENTRANK(AD$4:AD$91,AD11))*100,"")</f>
        <v>70.199999999999989</v>
      </c>
      <c r="BD11" s="51">
        <f>IFERROR(IF('3 — Weights'!$E$24=1,PERCENTRANK(AE$4:AE$91,AE11),1-PERCENTRANK(AE$4:AE$91,AE11))*100,"")</f>
        <v>82.800000000000011</v>
      </c>
      <c r="BE11" s="51">
        <f>IFERROR(IF('3 — Weights'!$E$25=1,PERCENTRANK(AF$4:AF$91,AF11),1-PERCENTRANK(AF$4:AF$91,AF11))*100,"")</f>
        <v>84</v>
      </c>
      <c r="BF11" s="52" cm="1">
        <f t="array" ref="BF11">IFERROR(SUMPRODUCT(TRANSPOSE(AH11:BE11), [1]!Table2[Weight
Claude]),"")</f>
        <v>60.795000000000002</v>
      </c>
      <c r="BG11" s="53" cm="1">
        <f t="array" ref="BG11">IFERROR(SUMPRODUCT(TRANSPOSE(AH11:BE11), [1]!Table2[Weight
Cape IMC]),"")</f>
        <v>60.795000000000002</v>
      </c>
    </row>
    <row r="12" spans="1:59" ht="22.5" customHeight="1" x14ac:dyDescent="0.25">
      <c r="A12" s="17">
        <f t="shared" si="0"/>
        <v>10</v>
      </c>
      <c r="B12" s="18" t="s">
        <v>95</v>
      </c>
      <c r="C12" s="18" t="s">
        <v>96</v>
      </c>
      <c r="D12" s="18" t="str">
        <f t="array" ref="D12">IFERROR(_xll.FDS($B12,"FR_RBICS_NAME_CURR(""IND"")"), "")</f>
        <v>Network Infrastructure Software</v>
      </c>
      <c r="E12" s="18" t="str">
        <f t="array" ref="E12">PROPER(IFERROR(_xll.FDS($B12,"P_DCOUNTRY"), ""))</f>
        <v>United States</v>
      </c>
      <c r="F12" s="19">
        <f t="array" ref="F12">IFERROR(_xll.FDS($B12,"FCS_EV_DAILY(MV,NOW,,,USD,M)"), "")</f>
        <v>2365.7286151399999</v>
      </c>
      <c r="G12" s="19">
        <f t="array" ref="G12">IFERROR(_xll.FDS($B12,"AVG(P_VOLUME_FRQ(-1AM,NOW,D,,6))*P_PRICE_AVG(-1AM,NOW,,USD)"), "")</f>
        <v>69.851511805810006</v>
      </c>
      <c r="H12" s="20">
        <f t="array" ref="H12">IFERROR(_xll.FDS($B12,"OS_SEC_FLT_PCT(0D,,MTD,SEC)")/100, "")</f>
        <v>0.97951999999999995</v>
      </c>
      <c r="I12" s="19">
        <f t="array" ref="I12">IFERROR(_xll.FDS($B12,"FE_ACTUAL(ACTUAL,SALES,ANN_ROLL,0,,,,'CURRENCY=USD')"), "")</f>
        <v>999.40499999999997</v>
      </c>
      <c r="J12" s="19">
        <f t="array" ref="J12">IFERROR(_xll.FDS($B12,"FE_ACTUAL(ACTUAL,EPS,ANN_ROLL,0,,,,'CURRENCY=USD')"), "")</f>
        <v>1.59</v>
      </c>
      <c r="K12" s="20">
        <f t="array" ref="K12">IFERROR(_xll.FDS($B12,"POW(FE_ESTIMATE(SALES,MEAN,STMA,,NOW,,,'CURRENCY=USD')/FE_ESTIMATE(SALES,MEAN,LTMA,,NOW,,,'CURRENCY=USD'),0.5)-1"), "")</f>
        <v>7.1790184691014905E-2</v>
      </c>
      <c r="L12" s="20">
        <f t="array" ref="L12">IFERROR(_xll.FDS($B12,"POW(FE_ESTIMATE(EPS,MEAN,STMA,,NOW,,,'CURRENCY=USD')/FE_ESTIMATE(EPS,MEAN,LTMA,,NOW,,,'CURRENCY=USD'),0.5)-1"), "")</f>
        <v>0.144816928596009</v>
      </c>
      <c r="M12" s="21">
        <f t="array" ref="M12">IFERROR(_xll.FDS($B12,"FF_GROSS_MGN(LTM_R,0)"), "")</f>
        <v>81.955463500782997</v>
      </c>
      <c r="N12" s="21">
        <f t="array" ref="N12">IFERROR(_xll.FDS($B12,"FF_EBITDA_OPER_MGN(LTM_R,0)"), "")</f>
        <v>4.31816931073989</v>
      </c>
      <c r="O12" s="21">
        <f t="array" ref="O12">IFERROR(_xll.FDS($B12,"FF_NET_MGN(LTM_R,0)"), "")</f>
        <v>-3.6139503004287499</v>
      </c>
      <c r="P12" s="22">
        <f t="array" ref="P12">IFERROR(_xll.FDS($B12,"FE_VALUATION(NETDEBT_EBITDA,MEAN,NTMA,,NOW,,,'')"), "")</f>
        <v>-0.88758623999999997</v>
      </c>
      <c r="Q12" s="23">
        <f t="array" ref="Q12">IFERROR(_xll.FDS($B12,"FE_VALUATION(MCAP_FCF,MEAN,NTMA,,NOW,,,'')"), "")</f>
        <v>12.433495499999999</v>
      </c>
      <c r="R12" s="23">
        <f t="array" ref="R12">IFERROR(_xll.FDS($B12,"FE_VALUATION(DIV_YLD,MEAN,NTMA,,NOW,,,'')"), "")</f>
        <v>0</v>
      </c>
      <c r="S12" s="21">
        <f t="array" ref="S12">IFERROR(_xll.FDS($B12,"FE_VALUATION(ROE,MEAN,NTMA,,0,,,'')" ), "")</f>
        <v>46.280135999999999</v>
      </c>
      <c r="T12" s="21">
        <f t="array" ref="T12">IFERROR(_xll.FDS($B12,"FE_VALUATION(ROIC,MEAN,NTMA,,0,,,'')" ), "")</f>
        <v>26.397570000000002</v>
      </c>
      <c r="U12" s="22">
        <f t="array" ref="U12">IFERROR(((_xll.FDS($B12,"FE_ACTUAL(ACTUAL,SALES,ANN_ROLL,0,,,,'CURRENCY=USD')")/_xll.FDS($B12,"FE_ACTUAL(ACTUAL,SALES,ANN_ROLL,-1,,,,'CURRENCY=USD')")-1)*100)+(_xll.FDS($B12,"FE_VALUATION(EBITDA_MARGIN,MEAN,ANN_ROLL,0,NOW,,,'')")  ), "")</f>
        <v>34.589799010456431</v>
      </c>
      <c r="V12" s="24">
        <f t="array" ref="V12">IFERROR(_xll.FDS($B12,"FE_VALUATION(PE,MEAN,NTMA,,0,,,'')" ), "")</f>
        <v>9.6163640000000008</v>
      </c>
      <c r="W12" s="24">
        <f t="array" ref="W12">IFERROR(_xll.FDS($B12,"FE_VALUATION(P_SALESPS,MEAN,NTMA,,0,,,'')" ), "")</f>
        <v>2.0165839999999999</v>
      </c>
      <c r="X12" s="24">
        <f t="array" ref="X12">IFERROR(_xll.FDS($B12,"FE_VALUATION(FFEV_SALES,MEAN,NTMA,,0,,,'')" ), "")</f>
        <v>2.0413074</v>
      </c>
      <c r="Y12" s="24">
        <f t="array" ref="Y12">IFERROR(_xll.FDS($B12,"FE_VALUATION(FFEV_EBITDA,MEAN,NTMA,,0,,,'')" ), "")</f>
        <v>8.1170299999999997</v>
      </c>
      <c r="Z12" s="20">
        <f t="array" ref="Z12">IFERROR(_xll.FDS($B12,"PERCENT_CHANGE(FE_VALUATION(PE,MEAN,NTMA,,0,,,''),MAX(FE_VALUATION(PE,MEAN,NTMA,,-1AY,0,,'')))")/100,"")</f>
        <v>-0.61633428466806794</v>
      </c>
      <c r="AA12" s="20">
        <f t="array" ref="AA12">IFERROR(_xll.FDS($B12,"PERCENT_CHANGE(FE_VALUATION(FFEV_EBITDA,MEAN,NTMA,,0,,,''),MAX(FE_VALUATION(FFEV_EBITDA,MEAN,NTMA,,-1AY,0,,'')))")/100,"")</f>
        <v>-0.56193107107754103</v>
      </c>
      <c r="AB12" s="20">
        <f t="array" ref="AB12">IFERROR(_xll.FDS($B12,"FG_PRICE(0,,,USD)/P_PRICE_HIGH(-1AY,0,USD,,,""PRICE"",""INTRA"")")-1, "")</f>
        <v>-0.53252396166134197</v>
      </c>
      <c r="AC12" s="20">
        <f t="array" ref="AC12">IFERROR(_xll.FDS($B12,"RTP_PRICE_TARGET(USD)/FG_PRICE(0,,,USD)")-1, "")</f>
        <v>0.67972777474030011</v>
      </c>
      <c r="AD12" s="25">
        <f t="array" ref="AD12">IFERROR(_xll.FDS($B12,"FG_PRICE(0,,,USD)/FG_PRICE_MAVG(0,,,USD,50)")-1, "")</f>
        <v>-0.19493278635127198</v>
      </c>
      <c r="AE12" s="25">
        <f t="array" ref="AE12">IFERROR(_xll.FDS($B12,"FG_PRICE(0,,,USD)/FG_PRICE_MAVG(0,,,USD,100)")-1, "")</f>
        <v>-0.27975537673046702</v>
      </c>
      <c r="AF12" s="25">
        <f t="array" ref="AF12">IFERROR(_xll.FDS($B12,"FG_PRICE(0,,,USD)/FG_PRICE_MAVG(0,,,USD,200)")-1, "")</f>
        <v>-0.35954450272780103</v>
      </c>
      <c r="AG12" s="26" t="str">
        <f t="array" ref="AG12">IFERROR(_xll.FDS($B12,"FE_RATING(MEAN,TEXTONLY,0,NOW,,,'')"), "")</f>
        <v>Overweight</v>
      </c>
      <c r="AH12" s="50">
        <f>IFERROR(IF('3 — Weights'!$E$2=1,PERCENTRANK(I$4:I$91,I12),1-PERCENTRANK(I$4:I$91,I12))*100,"")</f>
        <v>32.1</v>
      </c>
      <c r="AI12" s="51">
        <f>IFERROR(IF('3 — Weights'!$E$3=1,PERCENTRANK(J$4:J$91,J12),1-PERCENTRANK(J$4:J$91,J12))*100,"")</f>
        <v>41.3</v>
      </c>
      <c r="AJ12" s="51">
        <f>IFERROR(IF('3 — Weights'!$E$4=1,PERCENTRANK(K$4:K$91,K12),1-PERCENTRANK(K$4:K$91,K12))*100,"")</f>
        <v>17.2</v>
      </c>
      <c r="AK12" s="51">
        <f>IFERROR(IF('3 — Weights'!$E$5=1,PERCENTRANK(L$4:L$91,L12),1-PERCENTRANK(L$4:L$91,L12))*100,"")</f>
        <v>38</v>
      </c>
      <c r="AL12" s="51">
        <f>IFERROR(IF('3 — Weights'!$E$6=1,PERCENTRANK(M$4:M$91,M12),1-PERCENTRANK(M$4:M$91,M12))*100,"")</f>
        <v>84.1</v>
      </c>
      <c r="AM12" s="51">
        <f>IFERROR(IF('3 — Weights'!$E$7=1,PERCENTRANK(N$4:N$91,N12),1-PERCENTRANK(N$4:N$91,N12))*100,"")</f>
        <v>23.3</v>
      </c>
      <c r="AN12" s="51">
        <f>IFERROR(IF('3 — Weights'!$E$8=1,PERCENTRANK(O$4:O$91,O12),1-PERCENTRANK(O$4:O$91,O12))*100,"")</f>
        <v>20.399999999999999</v>
      </c>
      <c r="AO12" s="51">
        <f>IFERROR(IF('3 — Weights'!$E$9=1,PERCENTRANK(P$4:P$91,P12),1-PERCENTRANK(P$4:P$91,P12))*100,"")</f>
        <v>45.8</v>
      </c>
      <c r="AP12" s="51">
        <f>IFERROR(IF('3 — Weights'!$E$10=1,PERCENTRANK(Q$4:Q$91,Q12),1-PERCENTRANK(Q$4:Q$91,Q12))*100,"")</f>
        <v>96.399999999999991</v>
      </c>
      <c r="AQ12" s="51">
        <f>IFERROR(IF('3 — Weights'!$E$11=1,PERCENTRANK(R$4:R$91,R12),1-PERCENTRANK(R$4:R$91,R12))*100,"")</f>
        <v>0</v>
      </c>
      <c r="AR12" s="51">
        <f>IFERROR(IF('3 — Weights'!$E$12=1,PERCENTRANK(S$4:S$91,S12),1-PERCENTRANK(S$4:S$91,S12))*100,"")</f>
        <v>86.4</v>
      </c>
      <c r="AS12" s="51">
        <f>IFERROR(IF('3 — Weights'!$E$13=1,PERCENTRANK(T$4:T$91,T12),1-PERCENTRANK(T$4:T$91,T12))*100,"")</f>
        <v>81.899999999999991</v>
      </c>
      <c r="AT12" s="51">
        <f>IFERROR(IF('3 — Weights'!$E$14=1,PERCENTRANK(U$4:U$91,U12),1-PERCENTRANK(U$4:U$91,U12))*100,"")</f>
        <v>23.1</v>
      </c>
      <c r="AU12" s="51">
        <f>IFERROR(IF('3 — Weights'!$E$15=1,PERCENTRANK(V$4:V$91,V12),1-PERCENTRANK(V$4:V$91,V12))*100,"")</f>
        <v>95.5</v>
      </c>
      <c r="AV12" s="51">
        <f>IFERROR(IF('3 — Weights'!$E$16=1,PERCENTRANK(W$4:W$91,W12),1-PERCENTRANK(W$4:W$91,W12))*100,"")</f>
        <v>94.3</v>
      </c>
      <c r="AW12" s="51">
        <f>IFERROR(IF('3 — Weights'!$E$17=1,PERCENTRANK(X$4:X$91,X12),1-PERCENTRANK(X$4:X$91,X12))*100,"")</f>
        <v>96.6</v>
      </c>
      <c r="AX12" s="51">
        <f>IFERROR(IF('3 — Weights'!$E$18=1,PERCENTRANK(Y$4:Y$91,Y12),1-PERCENTRANK(Y$4:Y$91,Y12))*100,"")</f>
        <v>89.600000000000009</v>
      </c>
      <c r="AY12" s="51">
        <f>IFERROR(IF('3 — Weights'!$E$18=1,PERCENTRANK(Z$4:Z$91,Z12),1-PERCENTRANK(Z$4:Z$91,Z12))*100,"")</f>
        <v>80.5</v>
      </c>
      <c r="AZ12" s="51">
        <f>IFERROR(IF('3 — Weights'!$E$18=1,PERCENTRANK(AA$4:AA$91,AA12),1-PERCENTRANK(AA$4:AA$91,AA12))*100,"")</f>
        <v>61.7</v>
      </c>
      <c r="BA12" s="51">
        <f>IFERROR(IF('3 — Weights'!$E$21=1,PERCENTRANK(AB$4:AB$91,AB12),1-PERCENTRANK(AB$4:AB$91,AB12))*100,"")</f>
        <v>19.5</v>
      </c>
      <c r="BB12" s="51">
        <f>IFERROR(IF('3 — Weights'!$E$22=1,PERCENTRANK(AC$4:AC$91,AC12),1-PERCENTRANK(AC$4:AC$91,AC12))*100,"")</f>
        <v>73.5</v>
      </c>
      <c r="BC12" s="51">
        <f>IFERROR(IF('3 — Weights'!$E$23=1,PERCENTRANK(AD$4:AD$91,AD12),1-PERCENTRANK(AD$4:AD$91,AD12))*100,"")</f>
        <v>55.2</v>
      </c>
      <c r="BD12" s="51">
        <f>IFERROR(IF('3 — Weights'!$E$24=1,PERCENTRANK(AE$4:AE$91,AE12),1-PERCENTRANK(AE$4:AE$91,AE12))*100,"")</f>
        <v>65.600000000000009</v>
      </c>
      <c r="BE12" s="51">
        <f>IFERROR(IF('3 — Weights'!$E$25=1,PERCENTRANK(AF$4:AF$91,AF12),1-PERCENTRANK(AF$4:AF$91,AF12))*100,"")</f>
        <v>74.8</v>
      </c>
      <c r="BF12" s="52" cm="1">
        <f t="array" ref="BF12">IFERROR(SUMPRODUCT(TRANSPOSE(AH12:BE12), [1]!Table2[Weight
Claude]),"")</f>
        <v>60.214999999999996</v>
      </c>
      <c r="BG12" s="53" cm="1">
        <f t="array" ref="BG12">IFERROR(SUMPRODUCT(TRANSPOSE(AH12:BE12), [1]!Table2[Weight
Cape IMC]),"")</f>
        <v>60.214999999999996</v>
      </c>
    </row>
    <row r="13" spans="1:59" ht="22.5" customHeight="1" x14ac:dyDescent="0.25">
      <c r="A13" s="17">
        <f t="shared" si="0"/>
        <v>6</v>
      </c>
      <c r="B13" s="18" t="s">
        <v>97</v>
      </c>
      <c r="C13" s="18" t="s">
        <v>98</v>
      </c>
      <c r="D13" s="18" t="str">
        <f t="array" ref="D13">IFERROR(_xll.FDS($B13,"FR_RBICS_NAME_CURR(""IND"")"), "")</f>
        <v>Other Business Administrative Services</v>
      </c>
      <c r="E13" s="18" t="str">
        <f t="array" ref="E13">PROPER(IFERROR(_xll.FDS($B13,"P_DCOUNTRY"), ""))</f>
        <v>United States</v>
      </c>
      <c r="F13" s="19">
        <f t="array" ref="F13">IFERROR(_xll.FDS($B13,"FCS_EV_DAILY(MV,NOW,,,USD,M)"), "")</f>
        <v>29497.052172420001</v>
      </c>
      <c r="G13" s="19">
        <f t="array" ref="G13">IFERROR(_xll.FDS($B13,"AVG(P_VOLUME_FRQ(-1AM,NOW,D,,6))*P_PRICE_AVG(-1AM,NOW,,USD)"), "")</f>
        <v>466.769721826477</v>
      </c>
      <c r="H13" s="20">
        <f t="array" ref="H13">IFERROR(_xll.FDS($B13,"OS_SEC_FLT_PCT(0D,,MTD,SEC)")/100, "")</f>
        <v>0.96998400000000007</v>
      </c>
      <c r="I13" s="19">
        <f t="array" ref="I13">IFERROR(_xll.FDS($B13,"FE_ACTUAL(ACTUAL,SALES,ANN_ROLL,0,,,,'CURRENCY=USD')"), "")</f>
        <v>1990.8689999999999</v>
      </c>
      <c r="J13" s="19">
        <f t="array" ref="J13">IFERROR(_xll.FDS($B13,"FE_ACTUAL(ACTUAL,EPS,ANN_ROLL,0,,,,'CURRENCY=USD')"), "")</f>
        <v>29.88</v>
      </c>
      <c r="K13" s="20">
        <f t="array" ref="K13">IFERROR(_xll.FDS($B13,"POW(FE_ESTIMATE(SALES,MEAN,STMA,,NOW,,,'CURRENCY=USD')/FE_ESTIMATE(SALES,MEAN,LTMA,,NOW,,,'CURRENCY=USD'),0.5)-1"), "")</f>
        <v>0.18327503142760501</v>
      </c>
      <c r="L13" s="20">
        <f t="array" ref="L13">IFERROR(_xll.FDS($B13,"POW(FE_ESTIMATE(EPS,MEAN,STMA,,NOW,,,'CURRENCY=USD')/FE_ESTIMATE(EPS,MEAN,LTMA,,NOW,,,'CURRENCY=USD'),0.5)-1"), "")</f>
        <v>0.27673172593148898</v>
      </c>
      <c r="M13" s="21">
        <f t="array" ref="M13">IFERROR(_xll.FDS($B13,"FF_GROSS_MGN(LTM_R,0)"), "")</f>
        <v>82.856907400405305</v>
      </c>
      <c r="N13" s="21">
        <f t="array" ref="N13">IFERROR(_xll.FDS($B13,"FF_EBITDA_OPER_MGN(LTM_R,0)"), "")</f>
        <v>48.7540114210368</v>
      </c>
      <c r="O13" s="21">
        <f t="array" ref="O13">IFERROR(_xll.FDS($B13,"FF_NET_MGN(LTM_R,0)"), "")</f>
        <v>31.8873311809817</v>
      </c>
      <c r="P13" s="22">
        <f t="array" ref="P13">IFERROR(_xll.FDS($B13,"FE_VALUATION(NETDEBT_EBITDA,MEAN,NTMA,,NOW,,,'')"), "")</f>
        <v>1.762651</v>
      </c>
      <c r="Q13" s="23">
        <f t="array" ref="Q13">IFERROR(_xll.FDS($B13,"FE_VALUATION(MCAP_FCF,MEAN,NTMA,,NOW,,,'')"), "")</f>
        <v>3.8997356999999999</v>
      </c>
      <c r="R13" s="23">
        <f t="array" ref="R13">IFERROR(_xll.FDS($B13,"FE_VALUATION(DIV_YLD,MEAN,NTMA,,NOW,,,'')"), "")</f>
        <v>0</v>
      </c>
      <c r="S13" s="21" t="str">
        <f t="array" ref="S13">IFERROR(_xll.FDS($B13,"FE_VALUATION(ROE,MEAN,NTMA,,0,,,'')" ), "")</f>
        <v/>
      </c>
      <c r="T13" s="21">
        <f t="array" ref="T13">IFERROR(_xll.FDS($B13,"FE_VALUATION(ROIC,MEAN,NTMA,,0,,,'')" ), "")</f>
        <v>61.222639999999998</v>
      </c>
      <c r="U13" s="22">
        <f t="array" ref="U13">IFERROR(((_xll.FDS($B13,"FE_ACTUAL(ACTUAL,SALES,ANN_ROLL,0,,,,'CURRENCY=USD')")/_xll.FDS($B13,"FE_ACTUAL(ACTUAL,SALES,ANN_ROLL,-1,,,,'CURRENCY=USD')")-1)*100)+(_xll.FDS($B13,"FE_VALUATION(EBITDA_MARGIN,MEAN,ANN_ROLL,0,NOW,,,'')")  ), "")</f>
        <v>71.080796469817628</v>
      </c>
      <c r="V13" s="24">
        <f t="array" ref="V13">IFERROR(_xll.FDS($B13,"FE_VALUATION(PE,MEAN,NTMA,,0,,,'')" ), "")</f>
        <v>26.600693</v>
      </c>
      <c r="W13" s="24">
        <f t="array" ref="W13">IFERROR(_xll.FDS($B13,"FE_VALUATION(P_SALESPS,MEAN,NTMA,,0,,,'')" ), "")</f>
        <v>10.938102000000001</v>
      </c>
      <c r="X13" s="24">
        <f t="array" ref="X13">IFERROR(_xll.FDS($B13,"FE_VALUATION(FFEV_SALES,MEAN,NTMA,,0,,,'')" ), "")</f>
        <v>12.193436999999999</v>
      </c>
      <c r="Y13" s="24">
        <f t="array" ref="Y13">IFERROR(_xll.FDS($B13,"FE_VALUATION(FFEV_EBITDA,MEAN,NTMA,,0,,,'')" ), "")</f>
        <v>19.825320999999999</v>
      </c>
      <c r="Z13" s="20">
        <f t="array" ref="Z13">IFERROR(_xll.FDS($B13,"PERCENT_CHANGE(FE_VALUATION(PE,MEAN,NTMA,,0,,,''),MAX(FE_VALUATION(PE,MEAN,NTMA,,-1AY,0,,'')))")/100,"")</f>
        <v>-0.59415403887988494</v>
      </c>
      <c r="AA13" s="20">
        <f t="array" ref="AA13">IFERROR(_xll.FDS($B13,"PERCENT_CHANGE(FE_VALUATION(FFEV_EBITDA,MEAN,NTMA,,0,,,''),MAX(FE_VALUATION(FFEV_EBITDA,MEAN,NTMA,,-1AY,0,,'')))")/100,"")</f>
        <v>-0.56480038238115693</v>
      </c>
      <c r="AB13" s="20">
        <f t="array" ref="AB13">IFERROR(_xll.FDS($B13,"FG_PRICE(0,,,USD)/P_PRICE_HIGH(-1AY,0,USD,,,""PRICE"",""INTRA"")")-1, "")</f>
        <v>-0.446415043290043</v>
      </c>
      <c r="AC13" s="20">
        <f t="array" ref="AC13">IFERROR(_xll.FDS($B13,"RTP_PRICE_TARGET(USD)/FG_PRICE(0,,,USD)")-1, "")</f>
        <v>0.57985190977737999</v>
      </c>
      <c r="AD13" s="25">
        <f t="array" ref="AD13">IFERROR(_xll.FDS($B13,"FG_PRICE(0,,,USD)/FG_PRICE_MAVG(0,,,USD,50)")-1, "")</f>
        <v>-0.21109584951192095</v>
      </c>
      <c r="AE13" s="25">
        <f t="array" ref="AE13">IFERROR(_xll.FDS($B13,"FG_PRICE(0,,,USD)/FG_PRICE_MAVG(0,,,USD,100)")-1, "")</f>
        <v>-0.24813650998714998</v>
      </c>
      <c r="AF13" s="25">
        <f t="array" ref="AF13">IFERROR(_xll.FDS($B13,"FG_PRICE(0,,,USD)/FG_PRICE_MAVG(0,,,USD,200)")-1, "")</f>
        <v>-0.24773572515989195</v>
      </c>
      <c r="AG13" s="26" t="str">
        <f t="array" ref="AG13">IFERROR(_xll.FDS($B13,"FE_RATING(MEAN,TEXTONLY,0,NOW,,,'')"), "")</f>
        <v>Overweight</v>
      </c>
      <c r="AH13" s="50">
        <f>IFERROR(IF('3 — Weights'!$E$2=1,PERCENTRANK(I$4:I$91,I13),1-PERCENTRANK(I$4:I$91,I13))*100,"")</f>
        <v>56.3</v>
      </c>
      <c r="AI13" s="51">
        <f>IFERROR(IF('3 — Weights'!$E$3=1,PERCENTRANK(J$4:J$91,J13),1-PERCENTRANK(J$4:J$91,J13))*100,"")</f>
        <v>100</v>
      </c>
      <c r="AJ13" s="51">
        <f>IFERROR(IF('3 — Weights'!$E$4=1,PERCENTRANK(K$4:K$91,K13),1-PERCENTRANK(K$4:K$91,K13))*100,"")</f>
        <v>77</v>
      </c>
      <c r="AK13" s="51">
        <f>IFERROR(IF('3 — Weights'!$E$5=1,PERCENTRANK(L$4:L$91,L13),1-PERCENTRANK(L$4:L$91,L13))*100,"")</f>
        <v>78.5</v>
      </c>
      <c r="AL13" s="51">
        <f>IFERROR(IF('3 — Weights'!$E$6=1,PERCENTRANK(M$4:M$91,M13),1-PERCENTRANK(M$4:M$91,M13))*100,"")</f>
        <v>89</v>
      </c>
      <c r="AM13" s="51">
        <f>IFERROR(IF('3 — Weights'!$E$7=1,PERCENTRANK(N$4:N$91,N13),1-PERCENTRANK(N$4:N$91,N13))*100,"")</f>
        <v>94.8</v>
      </c>
      <c r="AN13" s="51">
        <f>IFERROR(IF('3 — Weights'!$E$8=1,PERCENTRANK(O$4:O$91,O13),1-PERCENTRANK(O$4:O$91,O13))*100,"")</f>
        <v>91.5</v>
      </c>
      <c r="AO13" s="51">
        <f>IFERROR(IF('3 — Weights'!$E$9=1,PERCENTRANK(P$4:P$91,P13),1-PERCENTRANK(P$4:P$91,P13))*100,"")</f>
        <v>9.6999999999999975</v>
      </c>
      <c r="AP13" s="51">
        <f>IFERROR(IF('3 — Weights'!$E$10=1,PERCENTRANK(Q$4:Q$91,Q13),1-PERCENTRANK(Q$4:Q$91,Q13))*100,"")</f>
        <v>32.1</v>
      </c>
      <c r="AQ13" s="51">
        <f>IFERROR(IF('3 — Weights'!$E$11=1,PERCENTRANK(R$4:R$91,R13),1-PERCENTRANK(R$4:R$91,R13))*100,"")</f>
        <v>0</v>
      </c>
      <c r="AR13" s="51" t="str">
        <f>IFERROR(IF('3 — Weights'!$E$12=1,PERCENTRANK(S$4:S$91,S13),1-PERCENTRANK(S$4:S$91,S13))*100,"")</f>
        <v/>
      </c>
      <c r="AS13" s="51">
        <f>IFERROR(IF('3 — Weights'!$E$13=1,PERCENTRANK(T$4:T$91,T13),1-PERCENTRANK(T$4:T$91,T13))*100,"")</f>
        <v>100</v>
      </c>
      <c r="AT13" s="51">
        <f>IFERROR(IF('3 — Weights'!$E$14=1,PERCENTRANK(U$4:U$91,U13),1-PERCENTRANK(U$4:U$91,U13))*100,"")</f>
        <v>92.600000000000009</v>
      </c>
      <c r="AU13" s="51">
        <f>IFERROR(IF('3 — Weights'!$E$15=1,PERCENTRANK(V$4:V$91,V13),1-PERCENTRANK(V$4:V$91,V13))*100,"")</f>
        <v>34.5</v>
      </c>
      <c r="AV13" s="51">
        <f>IFERROR(IF('3 — Weights'!$E$16=1,PERCENTRANK(W$4:W$91,W13),1-PERCENTRANK(W$4:W$91,W13))*100,"")</f>
        <v>10.399999999999999</v>
      </c>
      <c r="AW13" s="51">
        <f>IFERROR(IF('3 — Weights'!$E$17=1,PERCENTRANK(X$4:X$91,X13),1-PERCENTRANK(X$4:X$91,X13))*100,"")</f>
        <v>8.0999999999999961</v>
      </c>
      <c r="AX13" s="51">
        <f>IFERROR(IF('3 — Weights'!$E$18=1,PERCENTRANK(Y$4:Y$91,Y13),1-PERCENTRANK(Y$4:Y$91,Y13))*100,"")</f>
        <v>29.100000000000005</v>
      </c>
      <c r="AY13" s="51">
        <f>IFERROR(IF('3 — Weights'!$E$18=1,PERCENTRANK(Z$4:Z$91,Z13),1-PERCENTRANK(Z$4:Z$91,Z13))*100,"")</f>
        <v>72.5</v>
      </c>
      <c r="AZ13" s="51">
        <f>IFERROR(IF('3 — Weights'!$E$18=1,PERCENTRANK(AA$4:AA$91,AA13),1-PERCENTRANK(AA$4:AA$91,AA13))*100,"")</f>
        <v>62.8</v>
      </c>
      <c r="BA13" s="51">
        <f>IFERROR(IF('3 — Weights'!$E$21=1,PERCENTRANK(AB$4:AB$91,AB13),1-PERCENTRANK(AB$4:AB$91,AB13))*100,"")</f>
        <v>48.199999999999996</v>
      </c>
      <c r="BB13" s="51">
        <f>IFERROR(IF('3 — Weights'!$E$22=1,PERCENTRANK(AC$4:AC$91,AC13),1-PERCENTRANK(AC$4:AC$91,AC13))*100,"")</f>
        <v>54</v>
      </c>
      <c r="BC13" s="51">
        <f>IFERROR(IF('3 — Weights'!$E$23=1,PERCENTRANK(AD$4:AD$91,AD13),1-PERCENTRANK(AD$4:AD$91,AD13))*100,"")</f>
        <v>64.400000000000006</v>
      </c>
      <c r="BD13" s="51">
        <f>IFERROR(IF('3 — Weights'!$E$24=1,PERCENTRANK(AE$4:AE$91,AE13),1-PERCENTRANK(AE$4:AE$91,AE13))*100,"")</f>
        <v>47.199999999999996</v>
      </c>
      <c r="BE13" s="51">
        <f>IFERROR(IF('3 — Weights'!$E$25=1,PERCENTRANK(AF$4:AF$91,AF13),1-PERCENTRANK(AF$4:AF$91,AF13))*100,"")</f>
        <v>38</v>
      </c>
      <c r="BF13" s="52" cm="1">
        <f t="array" ref="BF13">IFERROR(SUMPRODUCT(TRANSPOSE(AH13:BE13), [1]!Table2[Weight
Claude]),"")</f>
        <v>61.82</v>
      </c>
      <c r="BG13" s="53" cm="1">
        <f t="array" ref="BG13">IFERROR(SUMPRODUCT(TRANSPOSE(AH13:BE13), [1]!Table2[Weight
Cape IMC]),"")</f>
        <v>61.82</v>
      </c>
    </row>
    <row r="14" spans="1:59" ht="22.5" customHeight="1" x14ac:dyDescent="0.25">
      <c r="A14" s="17">
        <f t="shared" si="0"/>
        <v>11</v>
      </c>
      <c r="B14" s="18" t="s">
        <v>99</v>
      </c>
      <c r="C14" s="18" t="s">
        <v>100</v>
      </c>
      <c r="D14" s="18" t="str">
        <f t="array" ref="D14">IFERROR(_xll.FDS($B14,"FR_RBICS_NAME_CURR(""IND"")"), "")</f>
        <v>Content Management Software</v>
      </c>
      <c r="E14" s="18" t="str">
        <f t="array" ref="E14">PROPER(IFERROR(_xll.FDS($B14,"P_DCOUNTRY"), ""))</f>
        <v>United States</v>
      </c>
      <c r="F14" s="19">
        <f t="array" ref="F14">IFERROR(_xll.FDS($B14,"FCS_EV_DAILY(MV,NOW,,,USD,M)"), "")</f>
        <v>9687.6822489999995</v>
      </c>
      <c r="G14" s="19">
        <f t="array" ref="G14">IFERROR(_xll.FDS($B14,"AVG(P_VOLUME_FRQ(-1AM,NOW,D,,6))*P_PRICE_AVG(-1AM,NOW,,USD)"), "")</f>
        <v>231.98858879924299</v>
      </c>
      <c r="H14" s="20">
        <f t="array" ref="H14">IFERROR(_xll.FDS($B14,"OS_SEC_FLT_PCT(0D,,MTD,SEC)")/100, "")</f>
        <v>0.98990999999999996</v>
      </c>
      <c r="I14" s="19">
        <f t="array" ref="I14">IFERROR(_xll.FDS($B14,"FE_ACTUAL(ACTUAL,SALES,ANN_ROLL,0,,,,'CURRENCY=USD')"), "")</f>
        <v>2976.739</v>
      </c>
      <c r="J14" s="19">
        <f t="array" ref="J14">IFERROR(_xll.FDS($B14,"FE_ACTUAL(ACTUAL,EPS,ANN_ROLL,0,,,,'CURRENCY=USD')"), "")</f>
        <v>3.55</v>
      </c>
      <c r="K14" s="20">
        <f t="array" ref="K14">IFERROR(_xll.FDS($B14,"POW(FE_ESTIMATE(SALES,MEAN,STMA,,NOW,,,'CURRENCY=USD')/FE_ESTIMATE(SALES,MEAN,LTMA,,NOW,,,'CURRENCY=USD'),0.5)-1"), "")</f>
        <v>6.6447373291340706E-2</v>
      </c>
      <c r="L14" s="20">
        <f t="array" ref="L14">IFERROR(_xll.FDS($B14,"POW(FE_ESTIMATE(EPS,MEAN,STMA,,NOW,,,'CURRENCY=USD')/FE_ESTIMATE(EPS,MEAN,LTMA,,NOW,,,'CURRENCY=USD'),0.5)-1"), "")</f>
        <v>8.9046371831796603E-2</v>
      </c>
      <c r="M14" s="21">
        <f t="array" ref="M14">IFERROR(_xll.FDS($B14,"FF_GROSS_MGN(LTM_R,0)"), "")</f>
        <v>78.887249073409293</v>
      </c>
      <c r="N14" s="21">
        <f t="array" ref="N14">IFERROR(_xll.FDS($B14,"FF_EBITDA_OPER_MGN(LTM_R,0)"), "")</f>
        <v>12.335369490314999</v>
      </c>
      <c r="O14" s="21">
        <f t="array" ref="O14">IFERROR(_xll.FDS($B14,"FF_NET_MGN(LTM_R,0)"), "")</f>
        <v>9.5689564568842496</v>
      </c>
      <c r="P14" s="22">
        <f t="array" ref="P14">IFERROR(_xll.FDS($B14,"FE_VALUATION(NETDEBT_EBITDA,MEAN,NTMA,,NOW,,,'')"), "")</f>
        <v>-1.5786964999999999</v>
      </c>
      <c r="Q14" s="23">
        <f t="array" ref="Q14">IFERROR(_xll.FDS($B14,"FE_VALUATION(MCAP_FCF,MEAN,NTMA,,NOW,,,'')"), "")</f>
        <v>12.631591999999999</v>
      </c>
      <c r="R14" s="23">
        <f t="array" ref="R14">IFERROR(_xll.FDS($B14,"FE_VALUATION(DIV_YLD,MEAN,NTMA,,NOW,,,'')"), "")</f>
        <v>0</v>
      </c>
      <c r="S14" s="21">
        <f t="array" ref="S14">IFERROR(_xll.FDS($B14,"FE_VALUATION(ROE,MEAN,NTMA,,0,,,'')" ), "")</f>
        <v>27.819582</v>
      </c>
      <c r="T14" s="21">
        <f t="array" ref="T14">IFERROR(_xll.FDS($B14,"FE_VALUATION(ROIC,MEAN,NTMA,,0,,,'')" ), "")</f>
        <v>26.941410000000001</v>
      </c>
      <c r="U14" s="22">
        <f t="array" ref="U14">IFERROR(((_xll.FDS($B14,"FE_ACTUAL(ACTUAL,SALES,ANN_ROLL,0,,,,'CURRENCY=USD')")/_xll.FDS($B14,"FE_ACTUAL(ACTUAL,SALES,ANN_ROLL,-1,,,,'CURRENCY=USD')")-1)*100)+(_xll.FDS($B14,"FE_VALUATION(EBITDA_MARGIN,MEAN,ANN_ROLL,0,NOW,,,'')")  ), "")</f>
        <v>38.710344285146867</v>
      </c>
      <c r="V14" s="24">
        <f t="array" ref="V14">IFERROR(_xll.FDS($B14,"FE_VALUATION(PE,MEAN,NTMA,,0,,,'')" ), "")</f>
        <v>10.345724000000001</v>
      </c>
      <c r="W14" s="24">
        <f t="array" ref="W14">IFERROR(_xll.FDS($B14,"FE_VALUATION(P_SALESPS,MEAN,NTMA,,0,,,'')" ), "")</f>
        <v>2.496073</v>
      </c>
      <c r="X14" s="24">
        <f t="array" ref="X14">IFERROR(_xll.FDS($B14,"FE_VALUATION(FFEV_SALES,MEAN,NTMA,,0,,,'')" ), "")</f>
        <v>2.3926935</v>
      </c>
      <c r="Y14" s="24">
        <f t="array" ref="Y14">IFERROR(_xll.FDS($B14,"FE_VALUATION(FFEV_EBITDA,MEAN,NTMA,,0,,,'')" ), "")</f>
        <v>6.8800344000000004</v>
      </c>
      <c r="Z14" s="20">
        <f t="array" ref="Z14">IFERROR(_xll.FDS($B14,"PERCENT_CHANGE(FE_VALUATION(PE,MEAN,NTMA,,0,,,''),MAX(FE_VALUATION(PE,MEAN,NTMA,,-1AY,0,,'')))")/100,"")</f>
        <v>-0.60247347555884401</v>
      </c>
      <c r="AA14" s="20">
        <f t="array" ref="AA14">IFERROR(_xll.FDS($B14,"PERCENT_CHANGE(FE_VALUATION(FFEV_EBITDA,MEAN,NTMA,,0,,,''),MAX(FE_VALUATION(FFEV_EBITDA,MEAN,NTMA,,-1AY,0,,'')))")/100,"")</f>
        <v>-0.61694770761052098</v>
      </c>
      <c r="AB14" s="20">
        <f t="array" ref="AB14">IFERROR(_xll.FDS($B14,"FG_PRICE(0,,,USD)/P_PRICE_HIGH(-1AY,0,USD,,,""PRICE"",""INTRA"")")-1, "")</f>
        <v>-0.54737509242632298</v>
      </c>
      <c r="AC14" s="20">
        <f t="array" ref="AC14">IFERROR(_xll.FDS($B14,"RTP_PRICE_TARGET(USD)/FG_PRICE(0,,,USD)")-1, "")</f>
        <v>0.84801633605601001</v>
      </c>
      <c r="AD14" s="25">
        <f t="array" ref="AD14">IFERROR(_xll.FDS($B14,"FG_PRICE(0,,,USD)/FG_PRICE_MAVG(0,,,USD,50)")-1, "")</f>
        <v>-0.26504513497613302</v>
      </c>
      <c r="AE14" s="25">
        <f t="array" ref="AE14">IFERROR(_xll.FDS($B14,"FG_PRICE(0,,,USD)/FG_PRICE_MAVG(0,,,USD,100)")-1, "")</f>
        <v>-0.32738417586902402</v>
      </c>
      <c r="AF14" s="25">
        <f t="array" ref="AF14">IFERROR(_xll.FDS($B14,"FG_PRICE(0,,,USD)/FG_PRICE_MAVG(0,,,USD,200)")-1, "")</f>
        <v>-0.40009982002994604</v>
      </c>
      <c r="AG14" s="26" t="str">
        <f t="array" ref="AG14">IFERROR(_xll.FDS($B14,"FE_RATING(MEAN,TEXTONLY,0,NOW,,,'')"), "")</f>
        <v>Overweight</v>
      </c>
      <c r="AH14" s="50">
        <f>IFERROR(IF('3 — Weights'!$E$2=1,PERCENTRANK(I$4:I$91,I14),1-PERCENTRANK(I$4:I$91,I14))*100,"")</f>
        <v>66.600000000000009</v>
      </c>
      <c r="AI14" s="51">
        <f>IFERROR(IF('3 — Weights'!$E$3=1,PERCENTRANK(J$4:J$91,J14),1-PERCENTRANK(J$4:J$91,J14))*100,"")</f>
        <v>62</v>
      </c>
      <c r="AJ14" s="51">
        <f>IFERROR(IF('3 — Weights'!$E$4=1,PERCENTRANK(K$4:K$91,K14),1-PERCENTRANK(K$4:K$91,K14))*100,"")</f>
        <v>12.6</v>
      </c>
      <c r="AK14" s="51">
        <f>IFERROR(IF('3 — Weights'!$E$5=1,PERCENTRANK(L$4:L$91,L14),1-PERCENTRANK(L$4:L$91,L14))*100,"")</f>
        <v>13</v>
      </c>
      <c r="AL14" s="51">
        <f>IFERROR(IF('3 — Weights'!$E$6=1,PERCENTRANK(M$4:M$91,M14),1-PERCENTRANK(M$4:M$91,M14))*100,"")</f>
        <v>76.8</v>
      </c>
      <c r="AM14" s="51">
        <f>IFERROR(IF('3 — Weights'!$E$7=1,PERCENTRANK(N$4:N$91,N14),1-PERCENTRANK(N$4:N$91,N14))*100,"")</f>
        <v>37.6</v>
      </c>
      <c r="AN14" s="51">
        <f>IFERROR(IF('3 — Weights'!$E$8=1,PERCENTRANK(O$4:O$91,O14),1-PERCENTRANK(O$4:O$91,O14))*100,"")</f>
        <v>46.9</v>
      </c>
      <c r="AO14" s="51">
        <f>IFERROR(IF('3 — Weights'!$E$9=1,PERCENTRANK(P$4:P$91,P14),1-PERCENTRANK(P$4:P$91,P14))*100,"")</f>
        <v>59.099999999999994</v>
      </c>
      <c r="AP14" s="51">
        <f>IFERROR(IF('3 — Weights'!$E$10=1,PERCENTRANK(Q$4:Q$91,Q14),1-PERCENTRANK(Q$4:Q$91,Q14))*100,"")</f>
        <v>97.6</v>
      </c>
      <c r="AQ14" s="51">
        <f>IFERROR(IF('3 — Weights'!$E$11=1,PERCENTRANK(R$4:R$91,R14),1-PERCENTRANK(R$4:R$91,R14))*100,"")</f>
        <v>0</v>
      </c>
      <c r="AR14" s="51">
        <f>IFERROR(IF('3 — Weights'!$E$12=1,PERCENTRANK(S$4:S$91,S14),1-PERCENTRANK(S$4:S$91,S14))*100,"")</f>
        <v>71.599999999999994</v>
      </c>
      <c r="AS14" s="51">
        <f>IFERROR(IF('3 — Weights'!$E$13=1,PERCENTRANK(T$4:T$91,T14),1-PERCENTRANK(T$4:T$91,T14))*100,"")</f>
        <v>84.7</v>
      </c>
      <c r="AT14" s="51">
        <f>IFERROR(IF('3 — Weights'!$E$14=1,PERCENTRANK(U$4:U$91,U14),1-PERCENTRANK(U$4:U$91,U14))*100,"")</f>
        <v>35.299999999999997</v>
      </c>
      <c r="AU14" s="51">
        <f>IFERROR(IF('3 — Weights'!$E$15=1,PERCENTRANK(V$4:V$91,V14),1-PERCENTRANK(V$4:V$91,V14))*100,"")</f>
        <v>92</v>
      </c>
      <c r="AV14" s="51">
        <f>IFERROR(IF('3 — Weights'!$E$16=1,PERCENTRANK(W$4:W$91,W14),1-PERCENTRANK(W$4:W$91,W14))*100,"")</f>
        <v>88.6</v>
      </c>
      <c r="AW14" s="51">
        <f>IFERROR(IF('3 — Weights'!$E$17=1,PERCENTRANK(X$4:X$91,X14),1-PERCENTRANK(X$4:X$91,X14))*100,"")</f>
        <v>89.7</v>
      </c>
      <c r="AX14" s="51">
        <f>IFERROR(IF('3 — Weights'!$E$18=1,PERCENTRANK(Y$4:Y$91,Y14),1-PERCENTRANK(Y$4:Y$91,Y14))*100,"")</f>
        <v>94.199999999999989</v>
      </c>
      <c r="AY14" s="51">
        <f>IFERROR(IF('3 — Weights'!$E$18=1,PERCENTRANK(Z$4:Z$91,Z14),1-PERCENTRANK(Z$4:Z$91,Z14))*100,"")</f>
        <v>74.8</v>
      </c>
      <c r="AZ14" s="51">
        <f>IFERROR(IF('3 — Weights'!$E$18=1,PERCENTRANK(AA$4:AA$91,AA14),1-PERCENTRANK(AA$4:AA$91,AA14))*100,"")</f>
        <v>79.100000000000009</v>
      </c>
      <c r="BA14" s="51">
        <f>IFERROR(IF('3 — Weights'!$E$21=1,PERCENTRANK(AB$4:AB$91,AB14),1-PERCENTRANK(AB$4:AB$91,AB14))*100,"")</f>
        <v>13.700000000000001</v>
      </c>
      <c r="BB14" s="51">
        <f>IFERROR(IF('3 — Weights'!$E$22=1,PERCENTRANK(AC$4:AC$91,AC14),1-PERCENTRANK(AC$4:AC$91,AC14))*100,"")</f>
        <v>83.899999999999991</v>
      </c>
      <c r="BC14" s="51">
        <f>IFERROR(IF('3 — Weights'!$E$23=1,PERCENTRANK(AD$4:AD$91,AD14),1-PERCENTRANK(AD$4:AD$91,AD14))*100,"")</f>
        <v>79.400000000000006</v>
      </c>
      <c r="BD14" s="51">
        <f>IFERROR(IF('3 — Weights'!$E$24=1,PERCENTRANK(AE$4:AE$91,AE14),1-PERCENTRANK(AE$4:AE$91,AE14))*100,"")</f>
        <v>80.5</v>
      </c>
      <c r="BE14" s="51">
        <f>IFERROR(IF('3 — Weights'!$E$25=1,PERCENTRANK(AF$4:AF$91,AF14),1-PERCENTRANK(AF$4:AF$91,AF14))*100,"")</f>
        <v>82.800000000000011</v>
      </c>
      <c r="BF14" s="52" cm="1">
        <f t="array" ref="BF14">IFERROR(SUMPRODUCT(TRANSPOSE(AH14:BE14), [1]!Table2[Weight
Claude]),"")</f>
        <v>60.134999999999998</v>
      </c>
      <c r="BG14" s="53" cm="1">
        <f t="array" ref="BG14">IFERROR(SUMPRODUCT(TRANSPOSE(AH14:BE14), [1]!Table2[Weight
Cape IMC]),"")</f>
        <v>60.134999999999998</v>
      </c>
    </row>
    <row r="15" spans="1:59" ht="22.5" customHeight="1" x14ac:dyDescent="0.25">
      <c r="A15" s="17">
        <f t="shared" si="0"/>
        <v>14</v>
      </c>
      <c r="B15" s="18" t="s">
        <v>101</v>
      </c>
      <c r="C15" s="18" t="s">
        <v>102</v>
      </c>
      <c r="D15" s="18" t="str">
        <f t="array" ref="D15">IFERROR(_xll.FDS($B15,"FR_RBICS_NAME_CURR(""IND"")"), "")</f>
        <v>Data Storage Infrastructure Software</v>
      </c>
      <c r="E15" s="18" t="str">
        <f t="array" ref="E15">PROPER(IFERROR(_xll.FDS($B15,"P_DCOUNTRY"), ""))</f>
        <v>United States</v>
      </c>
      <c r="F15" s="19">
        <f t="array" ref="F15">IFERROR(_xll.FDS($B15,"FCS_EV_DAILY(MV,NOW,,,USD,M)"), "")</f>
        <v>4029.6918656299999</v>
      </c>
      <c r="G15" s="19">
        <f t="array" ref="G15">IFERROR(_xll.FDS($B15,"AVG(P_VOLUME_FRQ(-1AM,NOW,D,,6))*P_PRICE_AVG(-1AM,NOW,,USD)"), "")</f>
        <v>119.704772674184</v>
      </c>
      <c r="H15" s="20">
        <f t="array" ref="H15">IFERROR(_xll.FDS($B15,"OS_SEC_FLT_PCT(0D,,MTD,SEC)")/100, "")</f>
        <v>0.98537499999999989</v>
      </c>
      <c r="I15" s="19">
        <f t="array" ref="I15">IFERROR(_xll.FDS($B15,"FE_ACTUAL(ACTUAL,SALES,ANN_ROLL,0,,,,'CURRENCY=USD')"), "")</f>
        <v>995.61900000000003</v>
      </c>
      <c r="J15" s="19">
        <f t="array" ref="J15">IFERROR(_xll.FDS($B15,"FE_ACTUAL(ACTUAL,EPS,ANN_ROLL,0,,,,'CURRENCY=USD')"), "")</f>
        <v>3.65</v>
      </c>
      <c r="K15" s="20">
        <f t="array" ref="K15">IFERROR(_xll.FDS($B15,"POW(FE_ESTIMATE(SALES,MEAN,STMA,,NOW,,,'CURRENCY=USD')/FE_ESTIMATE(SALES,MEAN,LTMA,,NOW,,,'CURRENCY=USD'),0.5)-1"), "")</f>
        <v>0.12304082739676001</v>
      </c>
      <c r="L15" s="20">
        <f t="array" ref="L15">IFERROR(_xll.FDS($B15,"POW(FE_ESTIMATE(EPS,MEAN,STMA,,NOW,,,'CURRENCY=USD')/FE_ESTIMATE(EPS,MEAN,LTMA,,NOW,,,'CURRENCY=USD'),0.5)-1"), "")</f>
        <v>0.162659838473833</v>
      </c>
      <c r="M15" s="21">
        <f t="array" ref="M15">IFERROR(_xll.FDS($B15,"FF_GROSS_MGN(LTM_R,0)"), "")</f>
        <v>80.552676156043802</v>
      </c>
      <c r="N15" s="21">
        <f t="array" ref="N15">IFERROR(_xll.FDS($B15,"FF_EBITDA_OPER_MGN(LTM_R,0)"), "")</f>
        <v>9.5521766080780299</v>
      </c>
      <c r="O15" s="21">
        <f t="array" ref="O15">IFERROR(_xll.FDS($B15,"FF_NET_MGN(LTM_R,0)"), "")</f>
        <v>7.5848468706763601</v>
      </c>
      <c r="P15" s="22">
        <f t="array" ref="P15">IFERROR(_xll.FDS($B15,"FE_VALUATION(NETDEBT_EBITDA,MEAN,NTMA,,NOW,,,'')"), "")</f>
        <v>-1.3269114</v>
      </c>
      <c r="Q15" s="23">
        <f t="array" ref="Q15">IFERROR(_xll.FDS($B15,"FE_VALUATION(MCAP_FCF,MEAN,NTMA,,NOW,,,'')"), "")</f>
        <v>6.6709500000000004</v>
      </c>
      <c r="R15" s="23" t="str">
        <f t="array" ref="R15">IFERROR(_xll.FDS($B15,"FE_VALUATION(DIV_YLD,MEAN,NTMA,,NOW,,,'')"), "")</f>
        <v/>
      </c>
      <c r="S15" s="21">
        <f t="array" ref="S15">IFERROR(_xll.FDS($B15,"FE_VALUATION(ROE,MEAN,NTMA,,0,,,'')" ), "")</f>
        <v>49.051380000000002</v>
      </c>
      <c r="T15" s="21">
        <f t="array" ref="T15">IFERROR(_xll.FDS($B15,"FE_VALUATION(ROIC,MEAN,NTMA,,0,,,'')" ), "")</f>
        <v>19.345189999999999</v>
      </c>
      <c r="U15" s="22">
        <f t="array" ref="U15">IFERROR(((_xll.FDS($B15,"FE_ACTUAL(ACTUAL,SALES,ANN_ROLL,0,,,,'CURRENCY=USD')")/_xll.FDS($B15,"FE_ACTUAL(ACTUAL,SALES,ANN_ROLL,-1,,,,'CURRENCY=USD')")-1)*100)+(_xll.FDS($B15,"FE_VALUATION(EBITDA_MARGIN,MEAN,ANN_ROLL,0,NOW,,,'')")  ), "")</f>
        <v>40.619272916593097</v>
      </c>
      <c r="V15" s="24">
        <f t="array" ref="V15">IFERROR(_xll.FDS($B15,"FE_VALUATION(PE,MEAN,NTMA,,0,,,'')" ), "")</f>
        <v>18.581944</v>
      </c>
      <c r="W15" s="24">
        <f t="array" ref="W15">IFERROR(_xll.FDS($B15,"FE_VALUATION(P_SALESPS,MEAN,NTMA,,0,,,'')" ), "")</f>
        <v>2.9897870000000002</v>
      </c>
      <c r="X15" s="24">
        <f t="array" ref="X15">IFERROR(_xll.FDS($B15,"FE_VALUATION(FFEV_SALES,MEAN,NTMA,,0,,,'')" ), "")</f>
        <v>2.9504560999999998</v>
      </c>
      <c r="Y15" s="24">
        <f t="array" ref="Y15">IFERROR(_xll.FDS($B15,"FE_VALUATION(FFEV_EBITDA,MEAN,NTMA,,0,,,'')" ), "")</f>
        <v>14.297599999999999</v>
      </c>
      <c r="Z15" s="20">
        <f t="array" ref="Z15">IFERROR(_xll.FDS($B15,"PERCENT_CHANGE(FE_VALUATION(PE,MEAN,NTMA,,0,,,''),MAX(FE_VALUATION(PE,MEAN,NTMA,,-1AY,0,,'')))")/100,"")</f>
        <v>-0.58833687641167598</v>
      </c>
      <c r="AA15" s="20">
        <f t="array" ref="AA15">IFERROR(_xll.FDS($B15,"PERCENT_CHANGE(FE_VALUATION(FFEV_EBITDA,MEAN,NTMA,,0,,,''),MAX(FE_VALUATION(FFEV_EBITDA,MEAN,NTMA,,-1AY,0,,'')))")/100,"")</f>
        <v>-0.56076659157074704</v>
      </c>
      <c r="AB15" s="20">
        <f t="array" ref="AB15">IFERROR(_xll.FDS($B15,"FG_PRICE(0,,,USD)/P_PRICE_HIGH(-1AY,0,USD,,,""PRICE"",""INTRA"")")-1, "")</f>
        <v>-0.559059339879592</v>
      </c>
      <c r="AC15" s="20">
        <f t="array" ref="AC15">IFERROR(_xll.FDS($B15,"RTP_PRICE_TARGET(USD)/FG_PRICE(0,,,USD)")-1, "")</f>
        <v>0.58586653859192994</v>
      </c>
      <c r="AD15" s="25">
        <f t="array" ref="AD15">IFERROR(_xll.FDS($B15,"FG_PRICE(0,,,USD)/FG_PRICE_MAVG(0,,,USD,50)")-1, "")</f>
        <v>-0.19343224703268003</v>
      </c>
      <c r="AE15" s="25">
        <f t="array" ref="AE15">IFERROR(_xll.FDS($B15,"FG_PRICE(0,,,USD)/FG_PRICE_MAVG(0,,,USD,100)")-1, "")</f>
        <v>-0.30538520742874398</v>
      </c>
      <c r="AF15" s="25">
        <f t="array" ref="AF15">IFERROR(_xll.FDS($B15,"FG_PRICE(0,,,USD)/FG_PRICE_MAVG(0,,,USD,200)")-1, "")</f>
        <v>-0.42445517225141605</v>
      </c>
      <c r="AG15" s="26" t="str">
        <f t="array" ref="AG15">IFERROR(_xll.FDS($B15,"FE_RATING(MEAN,TEXTONLY,0,NOW,,,'')"), "")</f>
        <v>Buy</v>
      </c>
      <c r="AH15" s="50">
        <f>IFERROR(IF('3 — Weights'!$E$2=1,PERCENTRANK(I$4:I$91,I15),1-PERCENTRANK(I$4:I$91,I15))*100,"")</f>
        <v>31</v>
      </c>
      <c r="AI15" s="51">
        <f>IFERROR(IF('3 — Weights'!$E$3=1,PERCENTRANK(J$4:J$91,J15),1-PERCENTRANK(J$4:J$91,J15))*100,"")</f>
        <v>63.2</v>
      </c>
      <c r="AJ15" s="51">
        <f>IFERROR(IF('3 — Weights'!$E$4=1,PERCENTRANK(K$4:K$91,K15),1-PERCENTRANK(K$4:K$91,K15))*100,"")</f>
        <v>44.800000000000004</v>
      </c>
      <c r="AK15" s="51">
        <f>IFERROR(IF('3 — Weights'!$E$5=1,PERCENTRANK(L$4:L$91,L15),1-PERCENTRANK(L$4:L$91,L15))*100,"")</f>
        <v>50</v>
      </c>
      <c r="AL15" s="51">
        <f>IFERROR(IF('3 — Weights'!$E$6=1,PERCENTRANK(M$4:M$91,M15),1-PERCENTRANK(M$4:M$91,M15))*100,"")</f>
        <v>81.699999999999989</v>
      </c>
      <c r="AM15" s="51">
        <f>IFERROR(IF('3 — Weights'!$E$7=1,PERCENTRANK(N$4:N$91,N15),1-PERCENTRANK(N$4:N$91,N15))*100,"")</f>
        <v>33.700000000000003</v>
      </c>
      <c r="AN15" s="51">
        <f>IFERROR(IF('3 — Weights'!$E$8=1,PERCENTRANK(O$4:O$91,O15),1-PERCENTRANK(O$4:O$91,O15))*100,"")</f>
        <v>42.1</v>
      </c>
      <c r="AO15" s="51">
        <f>IFERROR(IF('3 — Weights'!$E$9=1,PERCENTRANK(P$4:P$91,P15),1-PERCENTRANK(P$4:P$91,P15))*100,"")</f>
        <v>54.29999999999999</v>
      </c>
      <c r="AP15" s="51">
        <f>IFERROR(IF('3 — Weights'!$E$10=1,PERCENTRANK(Q$4:Q$91,Q15),1-PERCENTRANK(Q$4:Q$91,Q15))*100,"")</f>
        <v>67.800000000000011</v>
      </c>
      <c r="AQ15" s="51" t="str">
        <f>IFERROR(IF('3 — Weights'!$E$11=1,PERCENTRANK(R$4:R$91,R15),1-PERCENTRANK(R$4:R$91,R15))*100,"")</f>
        <v/>
      </c>
      <c r="AR15" s="51">
        <f>IFERROR(IF('3 — Weights'!$E$12=1,PERCENTRANK(S$4:S$91,S15),1-PERCENTRANK(S$4:S$91,S15))*100,"")</f>
        <v>90.100000000000009</v>
      </c>
      <c r="AS15" s="51">
        <f>IFERROR(IF('3 — Weights'!$E$13=1,PERCENTRANK(T$4:T$91,T15),1-PERCENTRANK(T$4:T$91,T15))*100,"")</f>
        <v>58.3</v>
      </c>
      <c r="AT15" s="51">
        <f>IFERROR(IF('3 — Weights'!$E$14=1,PERCENTRANK(U$4:U$91,U15),1-PERCENTRANK(U$4:U$91,U15))*100,"")</f>
        <v>39</v>
      </c>
      <c r="AU15" s="51">
        <f>IFERROR(IF('3 — Weights'!$E$15=1,PERCENTRANK(V$4:V$91,V15),1-PERCENTRANK(V$4:V$91,V15))*100,"")</f>
        <v>61</v>
      </c>
      <c r="AV15" s="51">
        <f>IFERROR(IF('3 — Weights'!$E$16=1,PERCENTRANK(W$4:W$91,W15),1-PERCENTRANK(W$4:W$91,W15))*100,"")</f>
        <v>77.100000000000009</v>
      </c>
      <c r="AW15" s="51">
        <f>IFERROR(IF('3 — Weights'!$E$17=1,PERCENTRANK(X$4:X$91,X15),1-PERCENTRANK(X$4:X$91,X15))*100,"")</f>
        <v>78.2</v>
      </c>
      <c r="AX15" s="51">
        <f>IFERROR(IF('3 — Weights'!$E$18=1,PERCENTRANK(Y$4:Y$91,Y15),1-PERCENTRANK(Y$4:Y$91,Y15))*100,"")</f>
        <v>53.499999999999993</v>
      </c>
      <c r="AY15" s="51">
        <f>IFERROR(IF('3 — Weights'!$E$18=1,PERCENTRANK(Z$4:Z$91,Z15),1-PERCENTRANK(Z$4:Z$91,Z15))*100,"")</f>
        <v>66.7</v>
      </c>
      <c r="AZ15" s="51">
        <f>IFERROR(IF('3 — Weights'!$E$18=1,PERCENTRANK(AA$4:AA$91,AA15),1-PERCENTRANK(AA$4:AA$91,AA15))*100,"")</f>
        <v>60.5</v>
      </c>
      <c r="BA15" s="51">
        <f>IFERROR(IF('3 — Weights'!$E$21=1,PERCENTRANK(AB$4:AB$91,AB15),1-PERCENTRANK(AB$4:AB$91,AB15))*100,"")</f>
        <v>10.299999999999999</v>
      </c>
      <c r="BB15" s="51">
        <f>IFERROR(IF('3 — Weights'!$E$22=1,PERCENTRANK(AC$4:AC$91,AC15),1-PERCENTRANK(AC$4:AC$91,AC15))*100,"")</f>
        <v>56.3</v>
      </c>
      <c r="BC15" s="51">
        <f>IFERROR(IF('3 — Weights'!$E$23=1,PERCENTRANK(AD$4:AD$91,AD15),1-PERCENTRANK(AD$4:AD$91,AD15))*100,"")</f>
        <v>52.900000000000006</v>
      </c>
      <c r="BD15" s="51">
        <f>IFERROR(IF('3 — Weights'!$E$24=1,PERCENTRANK(AE$4:AE$91,AE15),1-PERCENTRANK(AE$4:AE$91,AE15))*100,"")</f>
        <v>72.5</v>
      </c>
      <c r="BE15" s="51">
        <f>IFERROR(IF('3 — Weights'!$E$25=1,PERCENTRANK(AF$4:AF$91,AF15),1-PERCENTRANK(AF$4:AF$91,AF15))*100,"")</f>
        <v>89.7</v>
      </c>
      <c r="BF15" s="52" cm="1">
        <f t="array" ref="BF15">IFERROR(SUMPRODUCT(TRANSPOSE(AH15:BE15), [1]!Table2[Weight
Claude]),"")</f>
        <v>58.535000000000004</v>
      </c>
      <c r="BG15" s="53" cm="1">
        <f t="array" ref="BG15">IFERROR(SUMPRODUCT(TRANSPOSE(AH15:BE15), [1]!Table2[Weight
Cape IMC]),"")</f>
        <v>58.535000000000004</v>
      </c>
    </row>
    <row r="16" spans="1:59" ht="22.5" customHeight="1" x14ac:dyDescent="0.25">
      <c r="A16" s="17">
        <f t="shared" si="0"/>
        <v>16</v>
      </c>
      <c r="B16" s="18" t="s">
        <v>103</v>
      </c>
      <c r="C16" s="18" t="s">
        <v>104</v>
      </c>
      <c r="D16" s="18" t="str">
        <f t="array" ref="D16">IFERROR(_xll.FDS($B16,"FR_RBICS_NAME_CURR(""IND"")"), "")</f>
        <v>Enterprise Resource Planning Software</v>
      </c>
      <c r="E16" s="18" t="str">
        <f t="array" ref="E16">PROPER(IFERROR(_xll.FDS($B16,"P_DCOUNTRY"), ""))</f>
        <v>United States</v>
      </c>
      <c r="F16" s="19">
        <f t="array" ref="F16">IFERROR(_xll.FDS($B16,"FCS_EV_DAILY(MV,NOW,,,USD,M)"), "")</f>
        <v>36218.233359999998</v>
      </c>
      <c r="G16" s="19">
        <f t="array" ref="G16">IFERROR(_xll.FDS($B16,"AVG(P_VOLUME_FRQ(-1AM,NOW,D,,6))*P_PRICE_AVG(-1AM,NOW,,USD)"), "")</f>
        <v>817.44870373178799</v>
      </c>
      <c r="H16" s="20">
        <f t="array" ref="H16">IFERROR(_xll.FDS($B16,"OS_SEC_FLT_PCT(0D,,MTD,SEC)")/100, "")</f>
        <v>0.99268100000000004</v>
      </c>
      <c r="I16" s="19">
        <f t="array" ref="I16">IFERROR(_xll.FDS($B16,"FE_ACTUAL(ACTUAL,SALES,ANN_ROLL,0,,,,'CURRENCY=USD')"), "")</f>
        <v>9552</v>
      </c>
      <c r="J16" s="19">
        <f t="array" ref="J16">IFERROR(_xll.FDS($B16,"FE_ACTUAL(ACTUAL,EPS,ANN_ROLL,0,,,,'CURRENCY=USD')"), "")</f>
        <v>9.23</v>
      </c>
      <c r="K16" s="20">
        <f t="array" ref="K16">IFERROR(_xll.FDS($B16,"POW(FE_ESTIMATE(SALES,MEAN,STMA,,NOW,,,'CURRENCY=USD')/FE_ESTIMATE(SALES,MEAN,LTMA,,NOW,,,'CURRENCY=USD'),0.5)-1"), "")</f>
        <v>0.114747415336766</v>
      </c>
      <c r="L16" s="20">
        <f t="array" ref="L16">IFERROR(_xll.FDS($B16,"POW(FE_ESTIMATE(EPS,MEAN,STMA,,NOW,,,'CURRENCY=USD')/FE_ESTIMATE(EPS,MEAN,LTMA,,NOW,,,'CURRENCY=USD'),0.5)-1"), "")</f>
        <v>0.16562082170832901</v>
      </c>
      <c r="M16" s="21">
        <f t="array" ref="M16">IFERROR(_xll.FDS($B16,"FF_GROSS_MGN(LTM_R,0)"), "")</f>
        <v>75.652994859960103</v>
      </c>
      <c r="N16" s="21">
        <f t="array" ref="N16">IFERROR(_xll.FDS($B16,"FF_EBITDA_OPER_MGN(LTM_R,0)"), "")</f>
        <v>14.4970103849785</v>
      </c>
      <c r="O16" s="21">
        <f t="array" ref="O16">IFERROR(_xll.FDS($B16,"FF_NET_MGN(LTM_R,0)"), "")</f>
        <v>7.26948494702612</v>
      </c>
      <c r="P16" s="22">
        <f t="array" ref="P16">IFERROR(_xll.FDS($B16,"FE_VALUATION(NETDEBT_EBITDA,MEAN,NTMA,,NOW,,,'')"), "")</f>
        <v>-0.27741440000000001</v>
      </c>
      <c r="Q16" s="23">
        <f t="array" ref="Q16">IFERROR(_xll.FDS($B16,"FE_VALUATION(MCAP_FCF,MEAN,NTMA,,NOW,,,'')"), "")</f>
        <v>9.4490079999999992</v>
      </c>
      <c r="R16" s="23">
        <f t="array" ref="R16">IFERROR(_xll.FDS($B16,"FE_VALUATION(DIV_YLD,MEAN,NTMA,,NOW,,,'')"), "")</f>
        <v>0</v>
      </c>
      <c r="S16" s="21">
        <f t="array" ref="S16">IFERROR(_xll.FDS($B16,"FE_VALUATION(ROE,MEAN,NTMA,,0,,,'')" ), "")</f>
        <v>28.069597000000002</v>
      </c>
      <c r="T16" s="21">
        <f t="array" ref="T16">IFERROR(_xll.FDS($B16,"FE_VALUATION(ROIC,MEAN,NTMA,,0,,,'')" ), "")</f>
        <v>21.25536</v>
      </c>
      <c r="U16" s="22">
        <f t="array" ref="U16">IFERROR(((_xll.FDS($B16,"FE_ACTUAL(ACTUAL,SALES,ANN_ROLL,0,,,,'CURRENCY=USD')")/_xll.FDS($B16,"FE_ACTUAL(ACTUAL,SALES,ANN_ROLL,-1,,,,'CURRENCY=USD')")-1)*100)+(_xll.FDS($B16,"FE_VALUATION(EBITDA_MARGIN,MEAN,ANN_ROLL,0,NOW,,,'')")  ), "")</f>
        <v>45.911252192280358</v>
      </c>
      <c r="V16" s="24">
        <f t="array" ref="V16">IFERROR(_xll.FDS($B16,"FE_VALUATION(PE,MEAN,NTMA,,0,,,'')" ), "")</f>
        <v>11.98555</v>
      </c>
      <c r="W16" s="24">
        <f t="array" ref="W16">IFERROR(_xll.FDS($B16,"FE_VALUATION(P_SALESPS,MEAN,NTMA,,0,,,'')" ), "")</f>
        <v>3.1713710000000002</v>
      </c>
      <c r="X16" s="24">
        <f t="array" ref="X16">IFERROR(_xll.FDS($B16,"FE_VALUATION(FFEV_SALES,MEAN,NTMA,,0,,,'')" ), "")</f>
        <v>3.0828872</v>
      </c>
      <c r="Y16" s="24">
        <f t="array" ref="Y16">IFERROR(_xll.FDS($B16,"FE_VALUATION(FFEV_EBITDA,MEAN,NTMA,,0,,,'')" ), "")</f>
        <v>8.9741909999999994</v>
      </c>
      <c r="Z16" s="20">
        <f t="array" ref="Z16">IFERROR(_xll.FDS($B16,"PERCENT_CHANGE(FE_VALUATION(PE,MEAN,NTMA,,0,,,''),MAX(FE_VALUATION(PE,MEAN,NTMA,,-1AY,0,,'')))")/100,"")</f>
        <v>-0.61844300436766408</v>
      </c>
      <c r="AA16" s="20">
        <f t="array" ref="AA16">IFERROR(_xll.FDS($B16,"PERCENT_CHANGE(FE_VALUATION(FFEV_EBITDA,MEAN,NTMA,,0,,,''),MAX(FE_VALUATION(FFEV_EBITDA,MEAN,NTMA,,-1AY,0,,'')))")/100,"")</f>
        <v>-0.59992308022891694</v>
      </c>
      <c r="AB16" s="20">
        <f t="array" ref="AB16">IFERROR(_xll.FDS($B16,"FG_PRICE(0,,,USD)/P_PRICE_HIGH(-1AY,0,USD,,,""PRICE"",""INTRA"")")-1, "")</f>
        <v>-0.53654804270462608</v>
      </c>
      <c r="AC16" s="20">
        <f t="array" ref="AC16">IFERROR(_xll.FDS($B16,"RTP_PRICE_TARGET(USD)/FG_PRICE(0,,,USD)")-1, "")</f>
        <v>0.45983483068416997</v>
      </c>
      <c r="AD16" s="25">
        <f t="array" ref="AD16">IFERROR(_xll.FDS($B16,"FG_PRICE(0,,,USD)/FG_PRICE_MAVG(0,,,USD,50)")-1, "")</f>
        <v>-0.30290778930825502</v>
      </c>
      <c r="AE16" s="25">
        <f t="array" ref="AE16">IFERROR(_xll.FDS($B16,"FG_PRICE(0,,,USD)/FG_PRICE_MAVG(0,,,USD,100)")-1, "")</f>
        <v>-0.37475556509796604</v>
      </c>
      <c r="AF16" s="25">
        <f t="array" ref="AF16">IFERROR(_xll.FDS($B16,"FG_PRICE(0,,,USD)/FG_PRICE_MAVG(0,,,USD,200)")-1, "")</f>
        <v>-0.417110838233823</v>
      </c>
      <c r="AG16" s="26" t="str">
        <f t="array" ref="AG16">IFERROR(_xll.FDS($B16,"FE_RATING(MEAN,TEXTONLY,0,NOW,,,'')"), "")</f>
        <v>Overweight</v>
      </c>
      <c r="AH16" s="50">
        <f>IFERROR(IF('3 — Weights'!$E$2=1,PERCENTRANK(I$4:I$91,I16),1-PERCENTRANK(I$4:I$91,I16))*100,"")</f>
        <v>93.100000000000009</v>
      </c>
      <c r="AI16" s="51">
        <f>IFERROR(IF('3 — Weights'!$E$3=1,PERCENTRANK(J$4:J$91,J16),1-PERCENTRANK(J$4:J$91,J16))*100,"")</f>
        <v>86.2</v>
      </c>
      <c r="AJ16" s="51">
        <f>IFERROR(IF('3 — Weights'!$E$4=1,PERCENTRANK(K$4:K$91,K16),1-PERCENTRANK(K$4:K$91,K16))*100,"")</f>
        <v>42.5</v>
      </c>
      <c r="AK16" s="51">
        <f>IFERROR(IF('3 — Weights'!$E$5=1,PERCENTRANK(L$4:L$91,L16),1-PERCENTRANK(L$4:L$91,L16))*100,"")</f>
        <v>52.300000000000004</v>
      </c>
      <c r="AL16" s="51">
        <f>IFERROR(IF('3 — Weights'!$E$6=1,PERCENTRANK(M$4:M$91,M16),1-PERCENTRANK(M$4:M$91,M16))*100,"")</f>
        <v>60.9</v>
      </c>
      <c r="AM16" s="51">
        <f>IFERROR(IF('3 — Weights'!$E$7=1,PERCENTRANK(N$4:N$91,N16),1-PERCENTRANK(N$4:N$91,N16))*100,"")</f>
        <v>44.1</v>
      </c>
      <c r="AN16" s="51">
        <f>IFERROR(IF('3 — Weights'!$E$8=1,PERCENTRANK(O$4:O$91,O16),1-PERCENTRANK(O$4:O$91,O16))*100,"")</f>
        <v>40.9</v>
      </c>
      <c r="AO16" s="51">
        <f>IFERROR(IF('3 — Weights'!$E$9=1,PERCENTRANK(P$4:P$91,P16),1-PERCENTRANK(P$4:P$91,P16))*100,"")</f>
        <v>29.000000000000004</v>
      </c>
      <c r="AP16" s="51">
        <f>IFERROR(IF('3 — Weights'!$E$10=1,PERCENTRANK(Q$4:Q$91,Q16),1-PERCENTRANK(Q$4:Q$91,Q16))*100,"")</f>
        <v>90.4</v>
      </c>
      <c r="AQ16" s="51">
        <f>IFERROR(IF('3 — Weights'!$E$11=1,PERCENTRANK(R$4:R$91,R16),1-PERCENTRANK(R$4:R$91,R16))*100,"")</f>
        <v>0</v>
      </c>
      <c r="AR16" s="51">
        <f>IFERROR(IF('3 — Weights'!$E$12=1,PERCENTRANK(S$4:S$91,S16),1-PERCENTRANK(S$4:S$91,S16))*100,"")</f>
        <v>72.8</v>
      </c>
      <c r="AS16" s="51">
        <f>IFERROR(IF('3 — Weights'!$E$13=1,PERCENTRANK(T$4:T$91,T16),1-PERCENTRANK(T$4:T$91,T16))*100,"")</f>
        <v>68</v>
      </c>
      <c r="AT16" s="51">
        <f>IFERROR(IF('3 — Weights'!$E$14=1,PERCENTRANK(U$4:U$91,U16),1-PERCENTRANK(U$4:U$91,U16))*100,"")</f>
        <v>52.400000000000006</v>
      </c>
      <c r="AU16" s="51">
        <f>IFERROR(IF('3 — Weights'!$E$15=1,PERCENTRANK(V$4:V$91,V16),1-PERCENTRANK(V$4:V$91,V16))*100,"")</f>
        <v>86.3</v>
      </c>
      <c r="AV16" s="51">
        <f>IFERROR(IF('3 — Weights'!$E$16=1,PERCENTRANK(W$4:W$91,W16),1-PERCENTRANK(W$4:W$91,W16))*100,"")</f>
        <v>71.300000000000011</v>
      </c>
      <c r="AW16" s="51">
        <f>IFERROR(IF('3 — Weights'!$E$17=1,PERCENTRANK(X$4:X$91,X16),1-PERCENTRANK(X$4:X$91,X16))*100,"")</f>
        <v>71.300000000000011</v>
      </c>
      <c r="AX16" s="51">
        <f>IFERROR(IF('3 — Weights'!$E$18=1,PERCENTRANK(Y$4:Y$91,Y16),1-PERCENTRANK(Y$4:Y$91,Y16))*100,"")</f>
        <v>83.8</v>
      </c>
      <c r="AY16" s="51">
        <f>IFERROR(IF('3 — Weights'!$E$18=1,PERCENTRANK(Z$4:Z$91,Z16),1-PERCENTRANK(Z$4:Z$91,Z16))*100,"")</f>
        <v>81.699999999999989</v>
      </c>
      <c r="AZ16" s="51">
        <f>IFERROR(IF('3 — Weights'!$E$18=1,PERCENTRANK(AA$4:AA$91,AA16),1-PERCENTRANK(AA$4:AA$91,AA16))*100,"")</f>
        <v>75.599999999999994</v>
      </c>
      <c r="BA16" s="51">
        <f>IFERROR(IF('3 — Weights'!$E$21=1,PERCENTRANK(AB$4:AB$91,AB16),1-PERCENTRANK(AB$4:AB$91,AB16))*100,"")</f>
        <v>17.2</v>
      </c>
      <c r="BB16" s="51">
        <f>IFERROR(IF('3 — Weights'!$E$22=1,PERCENTRANK(AC$4:AC$91,AC16),1-PERCENTRANK(AC$4:AC$91,AC16))*100,"")</f>
        <v>42.5</v>
      </c>
      <c r="BC16" s="51">
        <f>IFERROR(IF('3 — Weights'!$E$23=1,PERCENTRANK(AD$4:AD$91,AD16),1-PERCENTRANK(AD$4:AD$91,AD16))*100,"")</f>
        <v>90.9</v>
      </c>
      <c r="BD16" s="51">
        <f>IFERROR(IF('3 — Weights'!$E$24=1,PERCENTRANK(AE$4:AE$91,AE16),1-PERCENTRANK(AE$4:AE$91,AE16))*100,"")</f>
        <v>93.199999999999989</v>
      </c>
      <c r="BE16" s="51">
        <f>IFERROR(IF('3 — Weights'!$E$25=1,PERCENTRANK(AF$4:AF$91,AF16),1-PERCENTRANK(AF$4:AF$91,AF16))*100,"")</f>
        <v>88.6</v>
      </c>
      <c r="BF16" s="52" cm="1">
        <f t="array" ref="BF16">IFERROR(SUMPRODUCT(TRANSPOSE(AH16:BE16), [1]!Table2[Weight
Claude]),"")</f>
        <v>58</v>
      </c>
      <c r="BG16" s="53" cm="1">
        <f t="array" ref="BG16">IFERROR(SUMPRODUCT(TRANSPOSE(AH16:BE16), [1]!Table2[Weight
Cape IMC]),"")</f>
        <v>58</v>
      </c>
    </row>
    <row r="17" spans="1:59" ht="22.5" customHeight="1" x14ac:dyDescent="0.25">
      <c r="A17" s="17">
        <f t="shared" si="0"/>
        <v>12</v>
      </c>
      <c r="B17" s="18" t="s">
        <v>105</v>
      </c>
      <c r="C17" s="18" t="s">
        <v>106</v>
      </c>
      <c r="D17" s="18" t="str">
        <f t="array" ref="D17">IFERROR(_xll.FDS($B17,"FR_RBICS_NAME_CURR(""IND"")"), "")</f>
        <v>Enterprise Resource Planning Software</v>
      </c>
      <c r="E17" s="18" t="str">
        <f t="array" ref="E17">PROPER(IFERROR(_xll.FDS($B17,"P_DCOUNTRY"), ""))</f>
        <v>United States</v>
      </c>
      <c r="F17" s="19">
        <f t="array" ref="F17">IFERROR(_xll.FDS($B17,"FCS_EV_DAILY(MV,NOW,,,USD,M)"), "")</f>
        <v>5708.7981281000002</v>
      </c>
      <c r="G17" s="19">
        <f t="array" ref="G17">IFERROR(_xll.FDS($B17,"AVG(P_VOLUME_FRQ(-1AM,NOW,D,,6))*P_PRICE_AVG(-1AM,NOW,,USD)"), "")</f>
        <v>346.25910472445401</v>
      </c>
      <c r="H17" s="20">
        <f t="array" ref="H17">IFERROR(_xll.FDS($B17,"OS_SEC_FLT_PCT(0D,,MTD,SEC)")/100, "")</f>
        <v>0.88669399999999998</v>
      </c>
      <c r="I17" s="19">
        <f t="array" ref="I17">IFERROR(_xll.FDS($B17,"FE_ACTUAL(ACTUAL,SALES,ANN_ROLL,0,,,,'CURRENCY=USD')"), "")</f>
        <v>1429.664</v>
      </c>
      <c r="J17" s="19">
        <f t="array" ref="J17">IFERROR(_xll.FDS($B17,"FE_ACTUAL(ACTUAL,EPS,ANN_ROLL,0,,,,'CURRENCY=USD')"), "")</f>
        <v>0.53</v>
      </c>
      <c r="K17" s="20">
        <f t="array" ref="K17">IFERROR(_xll.FDS($B17,"POW(FE_ESTIMATE(SALES,MEAN,STMA,,NOW,,,'CURRENCY=USD')/FE_ESTIMATE(SALES,MEAN,LTMA,,NOW,,,'CURRENCY=USD'),0.5)-1"), "")</f>
        <v>8.3593281632919694E-2</v>
      </c>
      <c r="L17" s="20">
        <f t="array" ref="L17">IFERROR(_xll.FDS($B17,"POW(FE_ESTIMATE(EPS,MEAN,STMA,,NOW,,,'CURRENCY=USD')/FE_ESTIMATE(EPS,MEAN,LTMA,,NOW,,,'CURRENCY=USD'),0.5)-1"), "")</f>
        <v>0.10121532862560501</v>
      </c>
      <c r="M17" s="21">
        <f t="array" ref="M17">IFERROR(_xll.FDS($B17,"FF_GROSS_MGN(LTM_R,0)"), "")</f>
        <v>83.162246613410105</v>
      </c>
      <c r="N17" s="21">
        <f t="array" ref="N17">IFERROR(_xll.FDS($B17,"FF_EBITDA_OPER_MGN(LTM_R,0)"), "")</f>
        <v>2.4966019814424101</v>
      </c>
      <c r="O17" s="21">
        <f t="array" ref="O17">IFERROR(_xll.FDS($B17,"FF_NET_MGN(LTM_R,0)"), "")</f>
        <v>14.787223836544801</v>
      </c>
      <c r="P17" s="22">
        <f t="array" ref="P17">IFERROR(_xll.FDS($B17,"FE_VALUATION(NETDEBT_EBITDA,MEAN,NTMA,,NOW,,,'')"), "")</f>
        <v>-4.3219713999999998</v>
      </c>
      <c r="Q17" s="23">
        <f t="array" ref="Q17">IFERROR(_xll.FDS($B17,"FE_VALUATION(MCAP_FCF,MEAN,NTMA,,NOW,,,'')"), "")</f>
        <v>7.9243674000000004</v>
      </c>
      <c r="R17" s="23">
        <f t="array" ref="R17">IFERROR(_xll.FDS($B17,"FE_VALUATION(DIV_YLD,MEAN,NTMA,,NOW,,,'')"), "")</f>
        <v>0</v>
      </c>
      <c r="S17" s="21">
        <f t="array" ref="S17">IFERROR(_xll.FDS($B17,"FE_VALUATION(ROE,MEAN,NTMA,,0,,,'')" ), "")</f>
        <v>17.313624999999998</v>
      </c>
      <c r="T17" s="21">
        <f t="array" ref="T17">IFERROR(_xll.FDS($B17,"FE_VALUATION(ROIC,MEAN,NTMA,,0,,,'')" ), "")</f>
        <v>16.627403000000001</v>
      </c>
      <c r="U17" s="22">
        <f t="array" ref="U17">IFERROR(((_xll.FDS($B17,"FE_ACTUAL(ACTUAL,SALES,ANN_ROLL,0,,,,'CURRENCY=USD')")/_xll.FDS($B17,"FE_ACTUAL(ACTUAL,SALES,ANN_ROLL,-1,,,,'CURRENCY=USD')")-1)*100)+(_xll.FDS($B17,"FE_VALUATION(EBITDA_MARGIN,MEAN,ANN_ROLL,0,NOW,,,'')")  ), "")</f>
        <v>26.996932785228953</v>
      </c>
      <c r="V17" s="24">
        <f t="array" ref="V17">IFERROR(_xll.FDS($B17,"FE_VALUATION(PE,MEAN,NTMA,,0,,,'')" ), "")</f>
        <v>13.206932999999999</v>
      </c>
      <c r="W17" s="24">
        <f t="array" ref="W17">IFERROR(_xll.FDS($B17,"FE_VALUATION(P_SALESPS,MEAN,NTMA,,0,,,'')" ), "")</f>
        <v>3.0849983999999999</v>
      </c>
      <c r="X17" s="24">
        <f t="array" ref="X17">IFERROR(_xll.FDS($B17,"FE_VALUATION(FFEV_SALES,MEAN,NTMA,,0,,,'')" ), "")</f>
        <v>2.3575807000000002</v>
      </c>
      <c r="Y17" s="24">
        <f t="array" ref="Y17">IFERROR(_xll.FDS($B17,"FE_VALUATION(FFEV_EBITDA,MEAN,NTMA,,0,,,'')" ), "")</f>
        <v>9.6176349999999999</v>
      </c>
      <c r="Z17" s="20">
        <f t="array" ref="Z17">IFERROR(_xll.FDS($B17,"PERCENT_CHANGE(FE_VALUATION(PE,MEAN,NTMA,,0,,,''),MAX(FE_VALUATION(PE,MEAN,NTMA,,-1AY,0,,'')))")/100,"")</f>
        <v>-0.48980721823497803</v>
      </c>
      <c r="AA17" s="20">
        <f t="array" ref="AA17">IFERROR(_xll.FDS($B17,"PERCENT_CHANGE(FE_VALUATION(FFEV_EBITDA,MEAN,NTMA,,0,,,''),MAX(FE_VALUATION(FFEV_EBITDA,MEAN,NTMA,,-1AY,0,,'')))")/100,"")</f>
        <v>-0.57562360612457797</v>
      </c>
      <c r="AB17" s="20">
        <f t="array" ref="AB17">IFERROR(_xll.FDS($B17,"FG_PRICE(0,,,USD)/P_PRICE_HIGH(-1AY,0,USD,,,""PRICE"",""INTRA"")")-1, "")</f>
        <v>-0.49092741935483897</v>
      </c>
      <c r="AC17" s="20">
        <f t="array" ref="AC17">IFERROR(_xll.FDS($B17,"RTP_PRICE_TARGET(USD)/FG_PRICE(0,,,USD)")-1, "")</f>
        <v>0.59123049504950997</v>
      </c>
      <c r="AD17" s="25">
        <f t="array" ref="AD17">IFERROR(_xll.FDS($B17,"FG_PRICE(0,,,USD)/FG_PRICE_MAVG(0,,,USD,50)")-1, "")</f>
        <v>-0.30293870001518397</v>
      </c>
      <c r="AE17" s="25">
        <f t="array" ref="AE17">IFERROR(_xll.FDS($B17,"FG_PRICE(0,,,USD)/FG_PRICE_MAVG(0,,,USD,100)")-1, "")</f>
        <v>-0.32134145931744396</v>
      </c>
      <c r="AF17" s="25">
        <f t="array" ref="AF17">IFERROR(_xll.FDS($B17,"FG_PRICE(0,,,USD)/FG_PRICE_MAVG(0,,,USD,200)")-1, "")</f>
        <v>-0.25278172348484895</v>
      </c>
      <c r="AG17" s="26" t="str">
        <f t="array" ref="AG17">IFERROR(_xll.FDS($B17,"FE_RATING(MEAN,TEXTONLY,0,NOW,,,'')"), "")</f>
        <v>Hold</v>
      </c>
      <c r="AH17" s="50">
        <f>IFERROR(IF('3 — Weights'!$E$2=1,PERCENTRANK(I$4:I$91,I17),1-PERCENTRANK(I$4:I$91,I17))*100,"")</f>
        <v>47.099999999999994</v>
      </c>
      <c r="AI17" s="51">
        <f>IFERROR(IF('3 — Weights'!$E$3=1,PERCENTRANK(J$4:J$91,J17),1-PERCENTRANK(J$4:J$91,J17))*100,"")</f>
        <v>21.8</v>
      </c>
      <c r="AJ17" s="51">
        <f>IFERROR(IF('3 — Weights'!$E$4=1,PERCENTRANK(K$4:K$91,K17),1-PERCENTRANK(K$4:K$91,K17))*100,"")</f>
        <v>22.900000000000002</v>
      </c>
      <c r="AK17" s="51">
        <f>IFERROR(IF('3 — Weights'!$E$5=1,PERCENTRANK(L$4:L$91,L17),1-PERCENTRANK(L$4:L$91,L17))*100,"")</f>
        <v>21.4</v>
      </c>
      <c r="AL17" s="51">
        <f>IFERROR(IF('3 — Weights'!$E$6=1,PERCENTRANK(M$4:M$91,M17),1-PERCENTRANK(M$4:M$91,M17))*100,"")</f>
        <v>91.4</v>
      </c>
      <c r="AM17" s="51">
        <f>IFERROR(IF('3 — Weights'!$E$7=1,PERCENTRANK(N$4:N$91,N17),1-PERCENTRANK(N$4:N$91,N17))*100,"")</f>
        <v>22</v>
      </c>
      <c r="AN17" s="51">
        <f>IFERROR(IF('3 — Weights'!$E$8=1,PERCENTRANK(O$4:O$91,O17),1-PERCENTRANK(O$4:O$91,O17))*100,"")</f>
        <v>62.6</v>
      </c>
      <c r="AO17" s="51">
        <f>IFERROR(IF('3 — Weights'!$E$9=1,PERCENTRANK(P$4:P$91,P17),1-PERCENTRANK(P$4:P$91,P17))*100,"")</f>
        <v>90.4</v>
      </c>
      <c r="AP17" s="51">
        <f>IFERROR(IF('3 — Weights'!$E$10=1,PERCENTRANK(Q$4:Q$91,Q17),1-PERCENTRANK(Q$4:Q$91,Q17))*100,"")</f>
        <v>77.3</v>
      </c>
      <c r="AQ17" s="51">
        <f>IFERROR(IF('3 — Weights'!$E$11=1,PERCENTRANK(R$4:R$91,R17),1-PERCENTRANK(R$4:R$91,R17))*100,"")</f>
        <v>0</v>
      </c>
      <c r="AR17" s="51">
        <f>IFERROR(IF('3 — Weights'!$E$12=1,PERCENTRANK(S$4:S$91,S17),1-PERCENTRANK(S$4:S$91,S17))*100,"")</f>
        <v>35.799999999999997</v>
      </c>
      <c r="AS17" s="51">
        <f>IFERROR(IF('3 — Weights'!$E$13=1,PERCENTRANK(T$4:T$91,T17),1-PERCENTRANK(T$4:T$91,T17))*100,"")</f>
        <v>51.300000000000004</v>
      </c>
      <c r="AT17" s="51">
        <f>IFERROR(IF('3 — Weights'!$E$14=1,PERCENTRANK(U$4:U$91,U17),1-PERCENTRANK(U$4:U$91,U17))*100,"")</f>
        <v>8.5</v>
      </c>
      <c r="AU17" s="51">
        <f>IFERROR(IF('3 — Weights'!$E$15=1,PERCENTRANK(V$4:V$91,V17),1-PERCENTRANK(V$4:V$91,V17))*100,"")</f>
        <v>82.800000000000011</v>
      </c>
      <c r="AV17" s="51">
        <f>IFERROR(IF('3 — Weights'!$E$16=1,PERCENTRANK(W$4:W$91,W17),1-PERCENTRANK(W$4:W$91,W17))*100,"")</f>
        <v>74.8</v>
      </c>
      <c r="AW17" s="51">
        <f>IFERROR(IF('3 — Weights'!$E$17=1,PERCENTRANK(X$4:X$91,X17),1-PERCENTRANK(X$4:X$91,X17))*100,"")</f>
        <v>92</v>
      </c>
      <c r="AX17" s="51">
        <f>IFERROR(IF('3 — Weights'!$E$18=1,PERCENTRANK(Y$4:Y$91,Y17),1-PERCENTRANK(Y$4:Y$91,Y17))*100,"")</f>
        <v>79.100000000000009</v>
      </c>
      <c r="AY17" s="51">
        <f>IFERROR(IF('3 — Weights'!$E$18=1,PERCENTRANK(Z$4:Z$91,Z17),1-PERCENTRANK(Z$4:Z$91,Z17))*100,"")</f>
        <v>44.9</v>
      </c>
      <c r="AZ17" s="51">
        <f>IFERROR(IF('3 — Weights'!$E$18=1,PERCENTRANK(AA$4:AA$91,AA17),1-PERCENTRANK(AA$4:AA$91,AA17))*100,"")</f>
        <v>69.8</v>
      </c>
      <c r="BA17" s="51">
        <f>IFERROR(IF('3 — Weights'!$E$21=1,PERCENTRANK(AB$4:AB$91,AB17),1-PERCENTRANK(AB$4:AB$91,AB17))*100,"")</f>
        <v>34.4</v>
      </c>
      <c r="BB17" s="51">
        <f>IFERROR(IF('3 — Weights'!$E$22=1,PERCENTRANK(AC$4:AC$91,AC17),1-PERCENTRANK(AC$4:AC$91,AC17))*100,"")</f>
        <v>59.699999999999996</v>
      </c>
      <c r="BC17" s="51">
        <f>IFERROR(IF('3 — Weights'!$E$23=1,PERCENTRANK(AD$4:AD$91,AD17),1-PERCENTRANK(AD$4:AD$91,AD17))*100,"")</f>
        <v>92</v>
      </c>
      <c r="BD17" s="51">
        <f>IFERROR(IF('3 — Weights'!$E$24=1,PERCENTRANK(AE$4:AE$91,AE17),1-PERCENTRANK(AE$4:AE$91,AE17))*100,"")</f>
        <v>77.100000000000009</v>
      </c>
      <c r="BE17" s="51">
        <f>IFERROR(IF('3 — Weights'!$E$25=1,PERCENTRANK(AF$4:AF$91,AF17),1-PERCENTRANK(AF$4:AF$91,AF17))*100,"")</f>
        <v>40.300000000000004</v>
      </c>
      <c r="BF17" s="52" cm="1">
        <f t="array" ref="BF17">IFERROR(SUMPRODUCT(TRANSPOSE(AH17:BE17), [1]!Table2[Weight
Claude]),"")</f>
        <v>59.12</v>
      </c>
      <c r="BG17" s="53" cm="1">
        <f t="array" ref="BG17">IFERROR(SUMPRODUCT(TRANSPOSE(AH17:BE17), [1]!Table2[Weight
Cape IMC]),"")</f>
        <v>59.12</v>
      </c>
    </row>
    <row r="18" spans="1:59" ht="22.5" customHeight="1" x14ac:dyDescent="0.25">
      <c r="A18" s="17">
        <f t="shared" si="0"/>
        <v>13</v>
      </c>
      <c r="B18" s="18" t="s">
        <v>107</v>
      </c>
      <c r="C18" s="18" t="s">
        <v>108</v>
      </c>
      <c r="D18" s="18" t="str">
        <f t="array" ref="D18">IFERROR(_xll.FDS($B18,"FR_RBICS_NAME_CURR(""IND"")"), "")</f>
        <v>Enterprise Resource Planning Software</v>
      </c>
      <c r="E18" s="18" t="str">
        <f t="array" ref="E18">PROPER(IFERROR(_xll.FDS($B18,"P_DCOUNTRY"), ""))</f>
        <v>United States</v>
      </c>
      <c r="F18" s="19">
        <f t="array" ref="F18">IFERROR(_xll.FDS($B18,"FCS_EV_DAILY(MV,NOW,,,USD,M)"), "")</f>
        <v>102867.29432067</v>
      </c>
      <c r="G18" s="19">
        <f t="array" ref="G18">IFERROR(_xll.FDS($B18,"AVG(P_VOLUME_FRQ(-1AM,NOW,D,,6))*P_PRICE_AVG(-1AM,NOW,,USD)"), "")</f>
        <v>1905.3348143795799</v>
      </c>
      <c r="H18" s="20">
        <f t="array" ref="H18">IFERROR(_xll.FDS($B18,"OS_SEC_FLT_PCT(0D,,MTD,SEC)")/100, "")</f>
        <v>0.97857299999999992</v>
      </c>
      <c r="I18" s="19">
        <f t="array" ref="I18">IFERROR(_xll.FDS($B18,"FE_ACTUAL(ACTUAL,SALES,ANN_ROLL,0,,,,'CURRENCY=USD')"), "")</f>
        <v>18831</v>
      </c>
      <c r="J18" s="19">
        <f t="array" ref="J18">IFERROR(_xll.FDS($B18,"FE_ACTUAL(ACTUAL,EPS,ANN_ROLL,0,,,,'CURRENCY=USD')"), "")</f>
        <v>20.149999999999999</v>
      </c>
      <c r="K18" s="20">
        <f t="array" ref="K18">IFERROR(_xll.FDS($B18,"POW(FE_ESTIMATE(SALES,MEAN,STMA,,NOW,,,'CURRENCY=USD')/FE_ESTIMATE(SALES,MEAN,LTMA,,NOW,,,'CURRENCY=USD'),0.5)-1"), "")</f>
        <v>0.125172920043848</v>
      </c>
      <c r="L18" s="20">
        <f t="array" ref="L18">IFERROR(_xll.FDS($B18,"POW(FE_ESTIMATE(EPS,MEAN,STMA,,NOW,,,'CURRENCY=USD')/FE_ESTIMATE(EPS,MEAN,LTMA,,NOW,,,'CURRENCY=USD'),0.5)-1"), "")</f>
        <v>0.14059699280683699</v>
      </c>
      <c r="M18" s="21">
        <f t="array" ref="M18">IFERROR(_xll.FDS($B18,"FF_GROSS_MGN(LTM_R,0)"), "")</f>
        <v>77.409561055935797</v>
      </c>
      <c r="N18" s="21">
        <f t="array" ref="N18">IFERROR(_xll.FDS($B18,"FF_EBITDA_OPER_MGN(LTM_R,0)"), "")</f>
        <v>30.921628158287501</v>
      </c>
      <c r="O18" s="21">
        <f t="array" ref="O18">IFERROR(_xll.FDS($B18,"FF_NET_MGN(LTM_R,0)"), "")</f>
        <v>21.190757988987801</v>
      </c>
      <c r="P18" s="22">
        <f t="array" ref="P18">IFERROR(_xll.FDS($B18,"FE_VALUATION(NETDEBT_EBITDA,MEAN,NTMA,,NOW,,,'')"), "")</f>
        <v>-0.4057327</v>
      </c>
      <c r="Q18" s="23">
        <f t="array" ref="Q18">IFERROR(_xll.FDS($B18,"FE_VALUATION(MCAP_FCF,MEAN,NTMA,,NOW,,,'')"), "")</f>
        <v>7.6218880000000002</v>
      </c>
      <c r="R18" s="23">
        <f t="array" ref="R18">IFERROR(_xll.FDS($B18,"FE_VALUATION(DIV_YLD,MEAN,NTMA,,NOW,,,'')"), "")</f>
        <v>1.3334625</v>
      </c>
      <c r="S18" s="21">
        <f t="array" ref="S18">IFERROR(_xll.FDS($B18,"FE_VALUATION(ROE,MEAN,NTMA,,0,,,'')" ), "")</f>
        <v>27.713139999999999</v>
      </c>
      <c r="T18" s="21">
        <f t="array" ref="T18">IFERROR(_xll.FDS($B18,"FE_VALUATION(ROIC,MEAN,NTMA,,0,,,'')" ), "")</f>
        <v>22.812156999999999</v>
      </c>
      <c r="U18" s="22">
        <f t="array" ref="U18">IFERROR(((_xll.FDS($B18,"FE_ACTUAL(ACTUAL,SALES,ANN_ROLL,0,,,,'CURRENCY=USD')")/_xll.FDS($B18,"FE_ACTUAL(ACTUAL,SALES,ANN_ROLL,-1,,,,'CURRENCY=USD')")-1)*100)+(_xll.FDS($B18,"FE_VALUATION(EBITDA_MARGIN,MEAN,ANN_ROLL,0,NOW,,,'')")  ), "")</f>
        <v>57.466024035922629</v>
      </c>
      <c r="V18" s="24">
        <f t="array" ref="V18">IFERROR(_xll.FDS($B18,"FE_VALUATION(PE,MEAN,NTMA,,0,,,'')" ), "")</f>
        <v>14.352569000000001</v>
      </c>
      <c r="W18" s="24">
        <f t="array" ref="W18">IFERROR(_xll.FDS($B18,"FE_VALUATION(P_SALESPS,MEAN,NTMA,,0,,,'')" ), "")</f>
        <v>4.3861400000000001</v>
      </c>
      <c r="X18" s="24">
        <f t="array" ref="X18">IFERROR(_xll.FDS($B18,"FE_VALUATION(FFEV_SALES,MEAN,NTMA,,0,,,'')" ), "")</f>
        <v>4.5681770000000004</v>
      </c>
      <c r="Y18" s="24">
        <f t="array" ref="Y18">IFERROR(_xll.FDS($B18,"FE_VALUATION(FFEV_EBITDA,MEAN,NTMA,,0,,,'')" ), "")</f>
        <v>10.691338</v>
      </c>
      <c r="Z18" s="20">
        <f t="array" ref="Z18">IFERROR(_xll.FDS($B18,"PERCENT_CHANGE(FE_VALUATION(PE,MEAN,NTMA,,0,,,''),MAX(FE_VALUATION(PE,MEAN,NTMA,,-1AY,0,,'')))")/100,"")</f>
        <v>-0.59150107158409393</v>
      </c>
      <c r="AA18" s="20">
        <f t="array" ref="AA18">IFERROR(_xll.FDS($B18,"PERCENT_CHANGE(FE_VALUATION(FFEV_EBITDA,MEAN,NTMA,,0,,,''),MAX(FE_VALUATION(FFEV_EBITDA,MEAN,NTMA,,-1AY,0,,'')))")/100,"")</f>
        <v>-0.58151663893370797</v>
      </c>
      <c r="AB18" s="20">
        <f t="array" ref="AB18">IFERROR(_xll.FDS($B18,"FG_PRICE(0,,,USD)/P_PRICE_HIGH(-1AY,0,USD,,,""PRICE"",""INTRA"")")-1, "")</f>
        <v>-0.55916185326287304</v>
      </c>
      <c r="AC18" s="20">
        <f t="array" ref="AC18">IFERROR(_xll.FDS($B18,"RTP_PRICE_TARGET(USD)/FG_PRICE(0,,,USD)")-1, "")</f>
        <v>1.0536553204538501</v>
      </c>
      <c r="AD18" s="25">
        <f t="array" ref="AD18">IFERROR(_xll.FDS($B18,"FG_PRICE(0,,,USD)/FG_PRICE_MAVG(0,,,USD,50)")-1, "")</f>
        <v>-0.34806942512667005</v>
      </c>
      <c r="AE18" s="25">
        <f t="array" ref="AE18">IFERROR(_xll.FDS($B18,"FG_PRICE(0,,,USD)/FG_PRICE_MAVG(0,,,USD,100)")-1, "")</f>
        <v>-0.40634491524266603</v>
      </c>
      <c r="AF18" s="25">
        <f t="array" ref="AF18">IFERROR(_xll.FDS($B18,"FG_PRICE(0,,,USD)/FG_PRICE_MAVG(0,,,USD,200)")-1, "")</f>
        <v>-0.46013606539711605</v>
      </c>
      <c r="AG18" s="26" t="str">
        <f t="array" ref="AG18">IFERROR(_xll.FDS($B18,"FE_RATING(MEAN,TEXTONLY,0,NOW,,,'')"), "")</f>
        <v>Buy</v>
      </c>
      <c r="AH18" s="50">
        <f>IFERROR(IF('3 — Weights'!$E$2=1,PERCENTRANK(I$4:I$91,I18),1-PERCENTRANK(I$4:I$91,I18))*100,"")</f>
        <v>95.399999999999991</v>
      </c>
      <c r="AI18" s="51">
        <f>IFERROR(IF('3 — Weights'!$E$3=1,PERCENTRANK(J$4:J$91,J18),1-PERCENTRANK(J$4:J$91,J18))*100,"")</f>
        <v>98.8</v>
      </c>
      <c r="AJ18" s="51">
        <f>IFERROR(IF('3 — Weights'!$E$4=1,PERCENTRANK(K$4:K$91,K18),1-PERCENTRANK(K$4:K$91,K18))*100,"")</f>
        <v>47.099999999999994</v>
      </c>
      <c r="AK18" s="51">
        <f>IFERROR(IF('3 — Weights'!$E$5=1,PERCENTRANK(L$4:L$91,L18),1-PERCENTRANK(L$4:L$91,L18))*100,"")</f>
        <v>34.5</v>
      </c>
      <c r="AL18" s="51">
        <f>IFERROR(IF('3 — Weights'!$E$6=1,PERCENTRANK(M$4:M$91,M18),1-PERCENTRANK(M$4:M$91,M18))*100,"")</f>
        <v>68.2</v>
      </c>
      <c r="AM18" s="51">
        <f>IFERROR(IF('3 — Weights'!$E$7=1,PERCENTRANK(N$4:N$91,N18),1-PERCENTRANK(N$4:N$91,N18))*100,"")</f>
        <v>75.3</v>
      </c>
      <c r="AN18" s="51">
        <f>IFERROR(IF('3 — Weights'!$E$8=1,PERCENTRANK(O$4:O$91,O18),1-PERCENTRANK(O$4:O$91,O18))*100,"")</f>
        <v>79.5</v>
      </c>
      <c r="AO18" s="51">
        <f>IFERROR(IF('3 — Weights'!$E$9=1,PERCENTRANK(P$4:P$91,P18),1-PERCENTRANK(P$4:P$91,P18))*100,"")</f>
        <v>32.599999999999994</v>
      </c>
      <c r="AP18" s="51">
        <f>IFERROR(IF('3 — Weights'!$E$10=1,PERCENTRANK(Q$4:Q$91,Q18),1-PERCENTRANK(Q$4:Q$91,Q18))*100,"")</f>
        <v>75</v>
      </c>
      <c r="AQ18" s="51">
        <f>IFERROR(IF('3 — Weights'!$E$11=1,PERCENTRANK(R$4:R$91,R18),1-PERCENTRANK(R$4:R$91,R18))*100,"")</f>
        <v>84.6</v>
      </c>
      <c r="AR18" s="51">
        <f>IFERROR(IF('3 — Weights'!$E$12=1,PERCENTRANK(S$4:S$91,S18),1-PERCENTRANK(S$4:S$91,S18))*100,"")</f>
        <v>70.3</v>
      </c>
      <c r="AS18" s="51">
        <f>IFERROR(IF('3 — Weights'!$E$13=1,PERCENTRANK(T$4:T$91,T18),1-PERCENTRANK(T$4:T$91,T18))*100,"")</f>
        <v>70.8</v>
      </c>
      <c r="AT18" s="51">
        <f>IFERROR(IF('3 — Weights'!$E$14=1,PERCENTRANK(U$4:U$91,U18),1-PERCENTRANK(U$4:U$91,U18))*100,"")</f>
        <v>79.2</v>
      </c>
      <c r="AU18" s="51">
        <f>IFERROR(IF('3 — Weights'!$E$15=1,PERCENTRANK(V$4:V$91,V18),1-PERCENTRANK(V$4:V$91,V18))*100,"")</f>
        <v>79.400000000000006</v>
      </c>
      <c r="AV18" s="51">
        <f>IFERROR(IF('3 — Weights'!$E$16=1,PERCENTRANK(W$4:W$91,W18),1-PERCENTRANK(W$4:W$91,W18))*100,"")</f>
        <v>54.099999999999994</v>
      </c>
      <c r="AW18" s="51">
        <f>IFERROR(IF('3 — Weights'!$E$17=1,PERCENTRANK(X$4:X$91,X18),1-PERCENTRANK(X$4:X$91,X18))*100,"")</f>
        <v>52.900000000000006</v>
      </c>
      <c r="AX18" s="51">
        <f>IFERROR(IF('3 — Weights'!$E$18=1,PERCENTRANK(Y$4:Y$91,Y18),1-PERCENTRANK(Y$4:Y$91,Y18))*100,"")</f>
        <v>76.8</v>
      </c>
      <c r="AY18" s="51">
        <f>IFERROR(IF('3 — Weights'!$E$18=1,PERCENTRANK(Z$4:Z$91,Z18),1-PERCENTRANK(Z$4:Z$91,Z18))*100,"")</f>
        <v>69</v>
      </c>
      <c r="AZ18" s="51">
        <f>IFERROR(IF('3 — Weights'!$E$18=1,PERCENTRANK(AA$4:AA$91,AA18),1-PERCENTRANK(AA$4:AA$91,AA18))*100,"")</f>
        <v>72.099999999999994</v>
      </c>
      <c r="BA18" s="51">
        <f>IFERROR(IF('3 — Weights'!$E$21=1,PERCENTRANK(AB$4:AB$91,AB18),1-PERCENTRANK(AB$4:AB$91,AB18))*100,"")</f>
        <v>9.1</v>
      </c>
      <c r="BB18" s="51">
        <f>IFERROR(IF('3 — Weights'!$E$22=1,PERCENTRANK(AC$4:AC$91,AC18),1-PERCENTRANK(AC$4:AC$91,AC18))*100,"")</f>
        <v>96.5</v>
      </c>
      <c r="BC18" s="51">
        <f>IFERROR(IF('3 — Weights'!$E$23=1,PERCENTRANK(AD$4:AD$91,AD18),1-PERCENTRANK(AD$4:AD$91,AD18))*100,"")</f>
        <v>96.6</v>
      </c>
      <c r="BD18" s="51">
        <f>IFERROR(IF('3 — Weights'!$E$24=1,PERCENTRANK(AE$4:AE$91,AE18),1-PERCENTRANK(AE$4:AE$91,AE18))*100,"")</f>
        <v>97.8</v>
      </c>
      <c r="BE18" s="51">
        <f>IFERROR(IF('3 — Weights'!$E$25=1,PERCENTRANK(AF$4:AF$91,AF18),1-PERCENTRANK(AF$4:AF$91,AF18))*100,"")</f>
        <v>92</v>
      </c>
      <c r="BF18" s="52" cm="1">
        <f t="array" ref="BF18">IFERROR(SUMPRODUCT(TRANSPOSE(AH18:BE18), [1]!Table2[Weight
Claude]),"")</f>
        <v>58.759999999999991</v>
      </c>
      <c r="BG18" s="53" cm="1">
        <f t="array" ref="BG18">IFERROR(SUMPRODUCT(TRANSPOSE(AH18:BE18), [1]!Table2[Weight
Cape IMC]),"")</f>
        <v>58.759999999999991</v>
      </c>
    </row>
    <row r="19" spans="1:59" ht="22.5" customHeight="1" x14ac:dyDescent="0.25">
      <c r="A19" s="17">
        <f t="shared" si="0"/>
        <v>15</v>
      </c>
      <c r="B19" s="18" t="s">
        <v>109</v>
      </c>
      <c r="C19" s="18" t="s">
        <v>110</v>
      </c>
      <c r="D19" s="18" t="str">
        <f t="array" ref="D19">IFERROR(_xll.FDS($B19,"FR_RBICS_NAME_CURR(""IND"")"), "")</f>
        <v>Data Storage Infrastructure Software</v>
      </c>
      <c r="E19" s="18" t="str">
        <f t="array" ref="E19">PROPER(IFERROR(_xll.FDS($B19,"P_DCOUNTRY"), ""))</f>
        <v>United States</v>
      </c>
      <c r="F19" s="19">
        <f t="array" ref="F19">IFERROR(_xll.FDS($B19,"FCS_EV_DAILY(MV,NOW,,,USD,M)"), "")</f>
        <v>2391.6135767000001</v>
      </c>
      <c r="G19" s="19">
        <f t="array" ref="G19">IFERROR(_xll.FDS($B19,"AVG(P_VOLUME_FRQ(-1AM,NOW,D,,6))*P_PRICE_AVG(-1AM,NOW,,USD)"), "")</f>
        <v>23.997087085061199</v>
      </c>
      <c r="H19" s="20">
        <f t="array" ref="H19">IFERROR(_xll.FDS($B19,"OS_SEC_FLT_PCT(0D,,MTD,SEC)")/100, "")</f>
        <v>0.631664</v>
      </c>
      <c r="I19" s="19">
        <f t="array" ref="I19">IFERROR(_xll.FDS($B19,"FE_ACTUAL(ACTUAL,SALES,ANN_ROLL,0,,,,'CURRENCY=USD')"), "")</f>
        <v>330.48200000000003</v>
      </c>
      <c r="J19" s="19">
        <f t="array" ref="J19">IFERROR(_xll.FDS($B19,"FE_ACTUAL(ACTUAL,EPS,ANN_ROLL,0,,,,'CURRENCY=USD')"), "")</f>
        <v>6.0329000000000001E-2</v>
      </c>
      <c r="K19" s="20">
        <f t="array" ref="K19">IFERROR(_xll.FDS($B19,"POW(FE_ESTIMATE(SALES,MEAN,STMA,,NOW,,,'CURRENCY=USD')/FE_ESTIMATE(SALES,MEAN,LTMA,,NOW,,,'CURRENCY=USD'),0.5)-1"), "")</f>
        <v>0.17738583310654801</v>
      </c>
      <c r="L19" s="20">
        <f t="array" ref="L19">IFERROR(_xll.FDS($B19,"POW(FE_ESTIMATE(EPS,MEAN,STMA,,NOW,,,'CURRENCY=USD')/FE_ESTIMATE(EPS,MEAN,LTMA,,NOW,,,'CURRENCY=USD'),0.5)-1"), "")</f>
        <v>0.200508725499319</v>
      </c>
      <c r="M19" s="21">
        <f t="array" ref="M19">IFERROR(_xll.FDS($B19,"FF_GROSS_MGN(LTM_R,0)"), "")</f>
        <v>74.476450089214794</v>
      </c>
      <c r="N19" s="21">
        <f t="array" ref="N19">IFERROR(_xll.FDS($B19,"FF_EBITDA_OPER_MGN(LTM_R,0)"), "")</f>
        <v>9.1034612290066104</v>
      </c>
      <c r="O19" s="21">
        <f t="array" ref="O19">IFERROR(_xll.FDS($B19,"FF_NET_MGN(LTM_R,0)"), "")</f>
        <v>0.50000888340655902</v>
      </c>
      <c r="P19" s="22">
        <f t="array" ref="P19">IFERROR(_xll.FDS($B19,"FE_VALUATION(NETDEBT_EBITDA,MEAN,NTMA,,NOW,,,'')"), "")</f>
        <v>-5.4163322000000003</v>
      </c>
      <c r="Q19" s="23">
        <f t="array" ref="Q19">IFERROR(_xll.FDS($B19,"FE_VALUATION(MCAP_FCF,MEAN,NTMA,,NOW,,,'')"), "")</f>
        <v>5.1313560000000003</v>
      </c>
      <c r="R19" s="23">
        <f t="array" ref="R19">IFERROR(_xll.FDS($B19,"FE_VALUATION(DIV_YLD,MEAN,NTMA,,NOW,,,'')"), "")</f>
        <v>0</v>
      </c>
      <c r="S19" s="21">
        <f t="array" ref="S19">IFERROR(_xll.FDS($B19,"FE_VALUATION(ROE,MEAN,NTMA,,0,,,'')" ), "")</f>
        <v>19.618808999999999</v>
      </c>
      <c r="T19" s="21">
        <f t="array" ref="T19">IFERROR(_xll.FDS($B19,"FE_VALUATION(ROIC,MEAN,NTMA,,0,,,'')" ), "")</f>
        <v>16.405860000000001</v>
      </c>
      <c r="U19" s="22">
        <f t="array" ref="U19">IFERROR(((_xll.FDS($B19,"FE_ACTUAL(ACTUAL,SALES,ANN_ROLL,0,,,,'CURRENCY=USD')")/_xll.FDS($B19,"FE_ACTUAL(ACTUAL,SALES,ANN_ROLL,-1,,,,'CURRENCY=USD')")-1)*100)+(_xll.FDS($B19,"FE_VALUATION(EBITDA_MARGIN,MEAN,ANN_ROLL,0,NOW,,,'')")  ), "")</f>
        <v>37.135403049572353</v>
      </c>
      <c r="V19" s="24">
        <f t="array" ref="V19">IFERROR(_xll.FDS($B19,"FE_VALUATION(PE,MEAN,NTMA,,0,,,'')" ), "")</f>
        <v>25.189057999999999</v>
      </c>
      <c r="W19" s="24">
        <f t="array" ref="W19">IFERROR(_xll.FDS($B19,"FE_VALUATION(P_SALESPS,MEAN,NTMA,,0,,,'')" ), "")</f>
        <v>4.3355063999999999</v>
      </c>
      <c r="X19" s="24">
        <f t="array" ref="X19">IFERROR(_xll.FDS($B19,"FE_VALUATION(FFEV_SALES,MEAN,NTMA,,0,,,'')" ), "")</f>
        <v>3.7919580000000002</v>
      </c>
      <c r="Y19" s="24">
        <f t="array" ref="Y19">IFERROR(_xll.FDS($B19,"FE_VALUATION(FFEV_EBITDA,MEAN,NTMA,,0,,,'')" ), "")</f>
        <v>17.858791</v>
      </c>
      <c r="Z19" s="20">
        <f t="array" ref="Z19">IFERROR(_xll.FDS($B19,"PERCENT_CHANGE(FE_VALUATION(PE,MEAN,NTMA,,0,,,''),MAX(FE_VALUATION(PE,MEAN,NTMA,,-1AY,0,,'')))")/100,"")</f>
        <v>-0.66485773550312499</v>
      </c>
      <c r="AA19" s="20">
        <f t="array" ref="AA19">IFERROR(_xll.FDS($B19,"PERCENT_CHANGE(FE_VALUATION(FFEV_EBITDA,MEAN,NTMA,,0,,,''),MAX(FE_VALUATION(FFEV_EBITDA,MEAN,NTMA,,-1AY,0,,'')))")/100,"")</f>
        <v>-0.67246278661262904</v>
      </c>
      <c r="AB19" s="20">
        <f t="array" ref="AB19">IFERROR(_xll.FDS($B19,"FG_PRICE(0,,,USD)/P_PRICE_HIGH(-1AY,0,USD,,,""PRICE"",""INTRA"")")-1, "")</f>
        <v>-0.49962953815757005</v>
      </c>
      <c r="AC19" s="20">
        <f t="array" ref="AC19">IFERROR(_xll.FDS($B19,"RTP_PRICE_TARGET(USD)/FG_PRICE(0,,,USD)")-1, "")</f>
        <v>0.82462734452122</v>
      </c>
      <c r="AD19" s="25">
        <f t="array" ref="AD19">IFERROR(_xll.FDS($B19,"FG_PRICE(0,,,USD)/FG_PRICE_MAVG(0,,,USD,50)")-1, "")</f>
        <v>-0.18451135082917403</v>
      </c>
      <c r="AE19" s="25">
        <f t="array" ref="AE19">IFERROR(_xll.FDS($B19,"FG_PRICE(0,,,USD)/FG_PRICE_MAVG(0,,,USD,100)")-1, "")</f>
        <v>-0.22785220191703004</v>
      </c>
      <c r="AF19" s="25">
        <f t="array" ref="AF19">IFERROR(_xll.FDS($B19,"FG_PRICE(0,,,USD)/FG_PRICE_MAVG(0,,,USD,200)")-1, "")</f>
        <v>-0.33917507783284695</v>
      </c>
      <c r="AG19" s="26" t="str">
        <f t="array" ref="AG19">IFERROR(_xll.FDS($B19,"FE_RATING(MEAN,TEXTONLY,0,NOW,,,'')"), "")</f>
        <v>Buy</v>
      </c>
      <c r="AH19" s="50">
        <f>IFERROR(IF('3 — Weights'!$E$2=1,PERCENTRANK(I$4:I$91,I19),1-PERCENTRANK(I$4:I$91,I19))*100,"")</f>
        <v>2.1999999999999997</v>
      </c>
      <c r="AI19" s="51">
        <f>IFERROR(IF('3 — Weights'!$E$3=1,PERCENTRANK(J$4:J$91,J19),1-PERCENTRANK(J$4:J$91,J19))*100,"")</f>
        <v>9.1</v>
      </c>
      <c r="AJ19" s="51">
        <f>IFERROR(IF('3 — Weights'!$E$4=1,PERCENTRANK(K$4:K$91,K19),1-PERCENTRANK(K$4:K$91,K19))*100,"")</f>
        <v>71.2</v>
      </c>
      <c r="AK19" s="51">
        <f>IFERROR(IF('3 — Weights'!$E$5=1,PERCENTRANK(L$4:L$91,L19),1-PERCENTRANK(L$4:L$91,L19))*100,"")</f>
        <v>65.400000000000006</v>
      </c>
      <c r="AL19" s="51">
        <f>IFERROR(IF('3 — Weights'!$E$6=1,PERCENTRANK(M$4:M$91,M19),1-PERCENTRANK(M$4:M$91,M19))*100,"")</f>
        <v>53.6</v>
      </c>
      <c r="AM19" s="51">
        <f>IFERROR(IF('3 — Weights'!$E$7=1,PERCENTRANK(N$4:N$91,N19),1-PERCENTRANK(N$4:N$91,N19))*100,"")</f>
        <v>31.1</v>
      </c>
      <c r="AN19" s="51">
        <f>IFERROR(IF('3 — Weights'!$E$8=1,PERCENTRANK(O$4:O$91,O19),1-PERCENTRANK(O$4:O$91,O19))*100,"")</f>
        <v>28.9</v>
      </c>
      <c r="AO19" s="51">
        <f>IFERROR(IF('3 — Weights'!$E$9=1,PERCENTRANK(P$4:P$91,P19),1-PERCENTRANK(P$4:P$91,P19))*100,"")</f>
        <v>95.199999999999989</v>
      </c>
      <c r="AP19" s="51">
        <f>IFERROR(IF('3 — Weights'!$E$10=1,PERCENTRANK(Q$4:Q$91,Q19),1-PERCENTRANK(Q$4:Q$91,Q19))*100,"")</f>
        <v>50</v>
      </c>
      <c r="AQ19" s="51">
        <f>IFERROR(IF('3 — Weights'!$E$11=1,PERCENTRANK(R$4:R$91,R19),1-PERCENTRANK(R$4:R$91,R19))*100,"")</f>
        <v>0</v>
      </c>
      <c r="AR19" s="51">
        <f>IFERROR(IF('3 — Weights'!$E$12=1,PERCENTRANK(S$4:S$91,S19),1-PERCENTRANK(S$4:S$91,S19))*100,"")</f>
        <v>45.6</v>
      </c>
      <c r="AS19" s="51">
        <f>IFERROR(IF('3 — Weights'!$E$13=1,PERCENTRANK(T$4:T$91,T19),1-PERCENTRANK(T$4:T$91,T19))*100,"")</f>
        <v>48.6</v>
      </c>
      <c r="AT19" s="51">
        <f>IFERROR(IF('3 — Weights'!$E$14=1,PERCENTRANK(U$4:U$91,U19),1-PERCENTRANK(U$4:U$91,U19))*100,"")</f>
        <v>31.7</v>
      </c>
      <c r="AU19" s="51">
        <f>IFERROR(IF('3 — Weights'!$E$15=1,PERCENTRANK(V$4:V$91,V19),1-PERCENTRANK(V$4:V$91,V19))*100,"")</f>
        <v>38</v>
      </c>
      <c r="AV19" s="51">
        <f>IFERROR(IF('3 — Weights'!$E$16=1,PERCENTRANK(W$4:W$91,W19),1-PERCENTRANK(W$4:W$91,W19))*100,"")</f>
        <v>55.2</v>
      </c>
      <c r="AW19" s="51">
        <f>IFERROR(IF('3 — Weights'!$E$17=1,PERCENTRANK(X$4:X$91,X19),1-PERCENTRANK(X$4:X$91,X19))*100,"")</f>
        <v>61</v>
      </c>
      <c r="AX19" s="51">
        <f>IFERROR(IF('3 — Weights'!$E$18=1,PERCENTRANK(Y$4:Y$91,Y19),1-PERCENTRANK(Y$4:Y$91,Y19))*100,"")</f>
        <v>40.700000000000003</v>
      </c>
      <c r="AY19" s="51">
        <f>IFERROR(IF('3 — Weights'!$E$18=1,PERCENTRANK(Z$4:Z$91,Z19),1-PERCENTRANK(Z$4:Z$91,Z19))*100,"")</f>
        <v>85.1</v>
      </c>
      <c r="AZ19" s="51">
        <f>IFERROR(IF('3 — Weights'!$E$18=1,PERCENTRANK(AA$4:AA$91,AA19),1-PERCENTRANK(AA$4:AA$91,AA19))*100,"")</f>
        <v>88.4</v>
      </c>
      <c r="BA19" s="51">
        <f>IFERROR(IF('3 — Weights'!$E$21=1,PERCENTRANK(AB$4:AB$91,AB19),1-PERCENTRANK(AB$4:AB$91,AB19))*100,"")</f>
        <v>33.300000000000004</v>
      </c>
      <c r="BB19" s="51">
        <f>IFERROR(IF('3 — Weights'!$E$22=1,PERCENTRANK(AC$4:AC$91,AC19),1-PERCENTRANK(AC$4:AC$91,AC19))*100,"")</f>
        <v>81.599999999999994</v>
      </c>
      <c r="BC19" s="51">
        <f>IFERROR(IF('3 — Weights'!$E$23=1,PERCENTRANK(AD$4:AD$91,AD19),1-PERCENTRANK(AD$4:AD$91,AD19))*100,"")</f>
        <v>48.3</v>
      </c>
      <c r="BD19" s="51">
        <f>IFERROR(IF('3 — Weights'!$E$24=1,PERCENTRANK(AE$4:AE$91,AE19),1-PERCENTRANK(AE$4:AE$91,AE19))*100,"")</f>
        <v>42.6</v>
      </c>
      <c r="BE19" s="51">
        <f>IFERROR(IF('3 — Weights'!$E$25=1,PERCENTRANK(AF$4:AF$91,AF19),1-PERCENTRANK(AF$4:AF$91,AF19))*100,"")</f>
        <v>64.400000000000006</v>
      </c>
      <c r="BF19" s="52" cm="1">
        <f t="array" ref="BF19">IFERROR(SUMPRODUCT(TRANSPOSE(AH19:BE19), [1]!Table2[Weight
Claude]),"")</f>
        <v>58.024999999999999</v>
      </c>
      <c r="BG19" s="53" cm="1">
        <f t="array" ref="BG19">IFERROR(SUMPRODUCT(TRANSPOSE(AH19:BE19), [1]!Table2[Weight
Cape IMC]),"")</f>
        <v>58.024999999999999</v>
      </c>
    </row>
    <row r="20" spans="1:59" ht="22.5" customHeight="1" x14ac:dyDescent="0.25">
      <c r="A20" s="17">
        <f t="shared" si="0"/>
        <v>17</v>
      </c>
      <c r="B20" s="18" t="s">
        <v>111</v>
      </c>
      <c r="C20" s="18" t="s">
        <v>112</v>
      </c>
      <c r="D20" s="18" t="str">
        <f t="array" ref="D20">IFERROR(_xll.FDS($B20,"FR_RBICS_NAME_CURR(""IND"")"), "")</f>
        <v>Computer Aided Design Software</v>
      </c>
      <c r="E20" s="18" t="str">
        <f t="array" ref="E20">PROPER(IFERROR(_xll.FDS($B20,"P_DCOUNTRY"), ""))</f>
        <v>United States</v>
      </c>
      <c r="F20" s="19">
        <f t="array" ref="F20">IFERROR(_xll.FDS($B20,"FCS_EV_DAILY(MV,NOW,,,USD,M)"), "")</f>
        <v>47927.749960000001</v>
      </c>
      <c r="G20" s="19">
        <f t="array" ref="G20">IFERROR(_xll.FDS($B20,"AVG(P_VOLUME_FRQ(-1AM,NOW,D,,6))*P_PRICE_AVG(-1AM,NOW,,USD)"), "")</f>
        <v>541.29167589653002</v>
      </c>
      <c r="H20" s="20">
        <f t="array" ref="H20">IFERROR(_xll.FDS($B20,"OS_SEC_FLT_PCT(0D,,MTD,SEC)")/100, "")</f>
        <v>0.99657499999999999</v>
      </c>
      <c r="I20" s="19">
        <f t="array" ref="I20">IFERROR(_xll.FDS($B20,"FE_ACTUAL(ACTUAL,SALES,ANN_ROLL,0,,,,'CURRENCY=USD')"), "")</f>
        <v>6131</v>
      </c>
      <c r="J20" s="19">
        <f t="array" ref="J20">IFERROR(_xll.FDS($B20,"FE_ACTUAL(ACTUAL,EPS,ANN_ROLL,0,,,,'CURRENCY=USD')"), "")</f>
        <v>8.4700000000000006</v>
      </c>
      <c r="K20" s="20">
        <f t="array" ref="K20">IFERROR(_xll.FDS($B20,"POW(FE_ESTIMATE(SALES,MEAN,STMA,,NOW,,,'CURRENCY=USD')/FE_ESTIMATE(SALES,MEAN,LTMA,,NOW,,,'CURRENCY=USD'),0.5)-1"), "")</f>
        <v>0.106749294104134</v>
      </c>
      <c r="L20" s="20">
        <f t="array" ref="L20">IFERROR(_xll.FDS($B20,"POW(FE_ESTIMATE(EPS,MEAN,STMA,,NOW,,,'CURRENCY=USD')/FE_ESTIMATE(EPS,MEAN,LTMA,,NOW,,,'CURRENCY=USD'),0.5)-1"), "")</f>
        <v>0.13985959661705699</v>
      </c>
      <c r="M20" s="21">
        <f t="array" ref="M20">IFERROR(_xll.FDS($B20,"FF_GROSS_MGN(LTM_R,0)"), "")</f>
        <v>84.963609898107705</v>
      </c>
      <c r="N20" s="21">
        <f t="array" ref="N20">IFERROR(_xll.FDS($B20,"FF_EBITDA_OPER_MGN(LTM_R,0)"), "")</f>
        <v>21.7467248908297</v>
      </c>
      <c r="O20" s="21">
        <f t="array" ref="O20">IFERROR(_xll.FDS($B20,"FF_NET_MGN(LTM_R,0)"), "")</f>
        <v>16.171761280931602</v>
      </c>
      <c r="P20" s="22">
        <f t="array" ref="P20">IFERROR(_xll.FDS($B20,"FE_VALUATION(NETDEBT_EBITDA,MEAN,NTMA,,NOW,,,'')"), "")</f>
        <v>-0.63201404000000005</v>
      </c>
      <c r="Q20" s="23">
        <f t="array" ref="Q20">IFERROR(_xll.FDS($B20,"FE_VALUATION(MCAP_FCF,MEAN,NTMA,,NOW,,,'')"), "")</f>
        <v>5.5977854999999996</v>
      </c>
      <c r="R20" s="23">
        <f t="array" ref="R20">IFERROR(_xll.FDS($B20,"FE_VALUATION(DIV_YLD,MEAN,NTMA,,NOW,,,'')"), "")</f>
        <v>0</v>
      </c>
      <c r="S20" s="21">
        <f t="array" ref="S20">IFERROR(_xll.FDS($B20,"FE_VALUATION(ROE,MEAN,NTMA,,0,,,'')" ), "")</f>
        <v>52.529358000000002</v>
      </c>
      <c r="T20" s="21">
        <f t="array" ref="T20">IFERROR(_xll.FDS($B20,"FE_VALUATION(ROIC,MEAN,NTMA,,0,,,'')" ), "")</f>
        <v>34.820605999999998</v>
      </c>
      <c r="U20" s="22">
        <f t="array" ref="U20">IFERROR(((_xll.FDS($B20,"FE_ACTUAL(ACTUAL,SALES,ANN_ROLL,0,,,,'CURRENCY=USD')")/_xll.FDS($B20,"FE_ACTUAL(ACTUAL,SALES,ANN_ROLL,-1,,,,'CURRENCY=USD')")-1)*100)+(_xll.FDS($B20,"FE_VALUATION(EBITDA_MARGIN,MEAN,ANN_ROLL,0,NOW,,,'')")  ), "")</f>
        <v>50.124330762052033</v>
      </c>
      <c r="V20" s="24">
        <f t="array" ref="V20">IFERROR(_xll.FDS($B20,"FE_VALUATION(PE,MEAN,NTMA,,0,,,'')" ), "")</f>
        <v>18.877137999999999</v>
      </c>
      <c r="W20" s="24">
        <f t="array" ref="W20">IFERROR(_xll.FDS($B20,"FE_VALUATION(P_SALESPS,MEAN,NTMA,,0,,,'')" ), "")</f>
        <v>5.8431477999999997</v>
      </c>
      <c r="X20" s="24">
        <f t="array" ref="X20">IFERROR(_xll.FDS($B20,"FE_VALUATION(FFEV_SALES,MEAN,NTMA,,0,,,'')" ), "")</f>
        <v>5.9813539999999996</v>
      </c>
      <c r="Y20" s="24">
        <f t="array" ref="Y20">IFERROR(_xll.FDS($B20,"FE_VALUATION(FFEV_EBITDA,MEAN,NTMA,,0,,,'')" ), "")</f>
        <v>14.93609</v>
      </c>
      <c r="Z20" s="20">
        <f t="array" ref="Z20">IFERROR(_xll.FDS($B20,"PERCENT_CHANGE(FE_VALUATION(PE,MEAN,NTMA,,0,,,''),MAX(FE_VALUATION(PE,MEAN,NTMA,,-1AY,0,,'')))")/100,"")</f>
        <v>-0.38886462969747199</v>
      </c>
      <c r="AA20" s="20">
        <f t="array" ref="AA20">IFERROR(_xll.FDS($B20,"PERCENT_CHANGE(FE_VALUATION(FFEV_EBITDA,MEAN,NTMA,,0,,,''),MAX(FE_VALUATION(FFEV_EBITDA,MEAN,NTMA,,-1AY,0,,'')))")/100,"")</f>
        <v>-0.37741115730340097</v>
      </c>
      <c r="AB20" s="20">
        <f t="array" ref="AB20">IFERROR(_xll.FDS($B20,"FG_PRICE(0,,,USD)/P_PRICE_HIGH(-1AY,0,USD,,,""PRICE"",""INTRA"")")-1, "")</f>
        <v>-0.32872466498526198</v>
      </c>
      <c r="AC20" s="20">
        <f t="array" ref="AC20">IFERROR(_xll.FDS($B20,"RTP_PRICE_TARGET(USD)/FG_PRICE(0,,,USD)")-1, "")</f>
        <v>0.58334964465166994</v>
      </c>
      <c r="AD20" s="25">
        <f t="array" ref="AD20">IFERROR(_xll.FDS($B20,"FG_PRICE(0,,,USD)/FG_PRICE_MAVG(0,,,USD,50)")-1, "")</f>
        <v>-0.17177271232720603</v>
      </c>
      <c r="AE20" s="25">
        <f t="array" ref="AE20">IFERROR(_xll.FDS($B20,"FG_PRICE(0,,,USD)/FG_PRICE_MAVG(0,,,USD,100)")-1, "")</f>
        <v>-0.22560973899777603</v>
      </c>
      <c r="AF20" s="25">
        <f t="array" ref="AF20">IFERROR(_xll.FDS($B20,"FG_PRICE(0,,,USD)/FG_PRICE_MAVG(0,,,USD,200)")-1, "")</f>
        <v>-0.24785749529702406</v>
      </c>
      <c r="AG20" s="26" t="str">
        <f t="array" ref="AG20">IFERROR(_xll.FDS($B20,"FE_RATING(MEAN,TEXTONLY,0,NOW,,,'')"), "")</f>
        <v>Buy</v>
      </c>
      <c r="AH20" s="50">
        <f>IFERROR(IF('3 — Weights'!$E$2=1,PERCENTRANK(I$4:I$91,I20),1-PERCENTRANK(I$4:I$91,I20))*100,"")</f>
        <v>81.599999999999994</v>
      </c>
      <c r="AI20" s="51">
        <f>IFERROR(IF('3 — Weights'!$E$3=1,PERCENTRANK(J$4:J$91,J20),1-PERCENTRANK(J$4:J$91,J20))*100,"")</f>
        <v>85</v>
      </c>
      <c r="AJ20" s="51">
        <f>IFERROR(IF('3 — Weights'!$E$4=1,PERCENTRANK(K$4:K$91,K20),1-PERCENTRANK(K$4:K$91,K20))*100,"")</f>
        <v>39</v>
      </c>
      <c r="AK20" s="51">
        <f>IFERROR(IF('3 — Weights'!$E$5=1,PERCENTRANK(L$4:L$91,L20),1-PERCENTRANK(L$4:L$91,L20))*100,"")</f>
        <v>30.9</v>
      </c>
      <c r="AL20" s="51">
        <f>IFERROR(IF('3 — Weights'!$E$6=1,PERCENTRANK(M$4:M$91,M20),1-PERCENTRANK(M$4:M$91,M20))*100,"")</f>
        <v>93.899999999999991</v>
      </c>
      <c r="AM20" s="51">
        <f>IFERROR(IF('3 — Weights'!$E$7=1,PERCENTRANK(N$4:N$91,N20),1-PERCENTRANK(N$4:N$91,N20))*100,"")</f>
        <v>54.500000000000007</v>
      </c>
      <c r="AN20" s="51">
        <f>IFERROR(IF('3 — Weights'!$E$8=1,PERCENTRANK(O$4:O$91,O20),1-PERCENTRANK(O$4:O$91,O20))*100,"")</f>
        <v>66.2</v>
      </c>
      <c r="AO20" s="51">
        <f>IFERROR(IF('3 — Weights'!$E$9=1,PERCENTRANK(P$4:P$91,P20),1-PERCENTRANK(P$4:P$91,P20))*100,"")</f>
        <v>38.6</v>
      </c>
      <c r="AP20" s="51">
        <f>IFERROR(IF('3 — Weights'!$E$10=1,PERCENTRANK(Q$4:Q$91,Q20),1-PERCENTRANK(Q$4:Q$91,Q20))*100,"")</f>
        <v>58.3</v>
      </c>
      <c r="AQ20" s="51">
        <f>IFERROR(IF('3 — Weights'!$E$11=1,PERCENTRANK(R$4:R$91,R20),1-PERCENTRANK(R$4:R$91,R20))*100,"")</f>
        <v>0</v>
      </c>
      <c r="AR20" s="51">
        <f>IFERROR(IF('3 — Weights'!$E$12=1,PERCENTRANK(S$4:S$91,S20),1-PERCENTRANK(S$4:S$91,S20))*100,"")</f>
        <v>91.3</v>
      </c>
      <c r="AS20" s="51">
        <f>IFERROR(IF('3 — Weights'!$E$13=1,PERCENTRANK(T$4:T$91,T20),1-PERCENTRANK(T$4:T$91,T20))*100,"")</f>
        <v>91.600000000000009</v>
      </c>
      <c r="AT20" s="51">
        <f>IFERROR(IF('3 — Weights'!$E$14=1,PERCENTRANK(U$4:U$91,U20),1-PERCENTRANK(U$4:U$91,U20))*100,"")</f>
        <v>62.1</v>
      </c>
      <c r="AU20" s="51">
        <f>IFERROR(IF('3 — Weights'!$E$15=1,PERCENTRANK(V$4:V$91,V20),1-PERCENTRANK(V$4:V$91,V20))*100,"")</f>
        <v>58.699999999999996</v>
      </c>
      <c r="AV20" s="51">
        <f>IFERROR(IF('3 — Weights'!$E$16=1,PERCENTRANK(W$4:W$91,W20),1-PERCENTRANK(W$4:W$91,W20))*100,"")</f>
        <v>36.799999999999997</v>
      </c>
      <c r="AW20" s="51">
        <f>IFERROR(IF('3 — Weights'!$E$17=1,PERCENTRANK(X$4:X$91,X20),1-PERCENTRANK(X$4:X$91,X20))*100,"")</f>
        <v>36.799999999999997</v>
      </c>
      <c r="AX20" s="51">
        <f>IFERROR(IF('3 — Weights'!$E$18=1,PERCENTRANK(Y$4:Y$91,Y20),1-PERCENTRANK(Y$4:Y$91,Y20))*100,"")</f>
        <v>47.699999999999996</v>
      </c>
      <c r="AY20" s="51">
        <f>IFERROR(IF('3 — Weights'!$E$18=1,PERCENTRANK(Z$4:Z$91,Z20),1-PERCENTRANK(Z$4:Z$91,Z20))*100,"")</f>
        <v>21.9</v>
      </c>
      <c r="AZ20" s="51">
        <f>IFERROR(IF('3 — Weights'!$E$18=1,PERCENTRANK(AA$4:AA$91,AA20),1-PERCENTRANK(AA$4:AA$91,AA20))*100,"")</f>
        <v>19.799999999999997</v>
      </c>
      <c r="BA20" s="51">
        <f>IFERROR(IF('3 — Weights'!$E$21=1,PERCENTRANK(AB$4:AB$91,AB20),1-PERCENTRANK(AB$4:AB$91,AB20))*100,"")</f>
        <v>73.5</v>
      </c>
      <c r="BB20" s="51">
        <f>IFERROR(IF('3 — Weights'!$E$22=1,PERCENTRANK(AC$4:AC$91,AC20),1-PERCENTRANK(AC$4:AC$91,AC20))*100,"")</f>
        <v>55.1</v>
      </c>
      <c r="BC20" s="51">
        <f>IFERROR(IF('3 — Weights'!$E$23=1,PERCENTRANK(AD$4:AD$91,AD20),1-PERCENTRANK(AD$4:AD$91,AD20))*100,"")</f>
        <v>41.400000000000006</v>
      </c>
      <c r="BD20" s="51">
        <f>IFERROR(IF('3 — Weights'!$E$24=1,PERCENTRANK(AE$4:AE$91,AE20),1-PERCENTRANK(AE$4:AE$91,AE20))*100,"")</f>
        <v>41.400000000000006</v>
      </c>
      <c r="BE20" s="51">
        <f>IFERROR(IF('3 — Weights'!$E$25=1,PERCENTRANK(AF$4:AF$91,AF20),1-PERCENTRANK(AF$4:AF$91,AF20))*100,"")</f>
        <v>39.1</v>
      </c>
      <c r="BF20" s="52" cm="1">
        <f t="array" ref="BF20">IFERROR(SUMPRODUCT(TRANSPOSE(AH20:BE20), [1]!Table2[Weight
Claude]),"")</f>
        <v>57.489999999999995</v>
      </c>
      <c r="BG20" s="53" cm="1">
        <f t="array" ref="BG20">IFERROR(SUMPRODUCT(TRANSPOSE(AH20:BE20), [1]!Table2[Weight
Cape IMC]),"")</f>
        <v>57.489999999999995</v>
      </c>
    </row>
    <row r="21" spans="1:59" ht="22.5" customHeight="1" x14ac:dyDescent="0.25">
      <c r="A21" s="17">
        <f t="shared" si="0"/>
        <v>19</v>
      </c>
      <c r="B21" s="18" t="s">
        <v>113</v>
      </c>
      <c r="C21" s="18" t="s">
        <v>114</v>
      </c>
      <c r="D21" s="18" t="str">
        <f t="array" ref="D21">IFERROR(_xll.FDS($B21,"FR_RBICS_NAME_CURR(""IND"")"), "")</f>
        <v>Business Intelligence Software</v>
      </c>
      <c r="E21" s="18" t="str">
        <f t="array" ref="E21">PROPER(IFERROR(_xll.FDS($B21,"P_DCOUNTRY"), ""))</f>
        <v>United States</v>
      </c>
      <c r="F21" s="19">
        <f t="array" ref="F21">IFERROR(_xll.FDS($B21,"FCS_EV_DAILY(MV,NOW,,,USD,M)"), "")</f>
        <v>6339.5886055199999</v>
      </c>
      <c r="G21" s="19">
        <f t="array" ref="G21">IFERROR(_xll.FDS($B21,"AVG(P_VOLUME_FRQ(-1AM,NOW,D,,6))*P_PRICE_AVG(-1AM,NOW,,USD)"), "")</f>
        <v>130.95635485287499</v>
      </c>
      <c r="H21" s="20">
        <f t="array" ref="H21">IFERROR(_xll.FDS($B21,"OS_SEC_FLT_PCT(0D,,MTD,SEC)")/100, "")</f>
        <v>0.86997800000000003</v>
      </c>
      <c r="I21" s="19">
        <f t="array" ref="I21">IFERROR(_xll.FDS($B21,"FE_ACTUAL(ACTUAL,SALES,ANN_ROLL,0,,,,'CURRENCY=USD')"), "")</f>
        <v>1483.296</v>
      </c>
      <c r="J21" s="19">
        <f t="array" ref="J21">IFERROR(_xll.FDS($B21,"FE_ACTUAL(ACTUAL,EPS,ANN_ROLL,0,,,,'CURRENCY=USD')"), "")</f>
        <v>2.04</v>
      </c>
      <c r="K21" s="20">
        <f t="array" ref="K21">IFERROR(_xll.FDS($B21,"POW(FE_ESTIMATE(SALES,MEAN,STMA,,NOW,,,'CURRENCY=USD')/FE_ESTIMATE(SALES,MEAN,LTMA,,NOW,,,'CURRENCY=USD'),0.5)-1"), "")</f>
        <v>0.13665117780258301</v>
      </c>
      <c r="L21" s="20">
        <f t="array" ref="L21">IFERROR(_xll.FDS($B21,"POW(FE_ESTIMATE(EPS,MEAN,STMA,,NOW,,,'CURRENCY=USD')/FE_ESTIMATE(EPS,MEAN,LTMA,,NOW,,,'CURRENCY=USD'),0.5)-1"), "")</f>
        <v>0.15657213350486701</v>
      </c>
      <c r="M21" s="21">
        <f t="array" ref="M21">IFERROR(_xll.FDS($B21,"FF_GROSS_MGN(LTM_R,0)"), "")</f>
        <v>75.535082682733403</v>
      </c>
      <c r="N21" s="21">
        <f t="array" ref="N21">IFERROR(_xll.FDS($B21,"FF_EBITDA_OPER_MGN(LTM_R,0)"), "")</f>
        <v>-1.4452390006984499</v>
      </c>
      <c r="O21" s="21">
        <f t="array" ref="O21">IFERROR(_xll.FDS($B21,"FF_NET_MGN(LTM_R,0)"), "")</f>
        <v>-6.7933316928522203</v>
      </c>
      <c r="P21" s="22">
        <f t="array" ref="P21">IFERROR(_xll.FDS($B21,"FE_VALUATION(NETDEBT_EBITDA,MEAN,NTMA,,NOW,,,'')"), "")</f>
        <v>-3.8603928000000001</v>
      </c>
      <c r="Q21" s="23">
        <f t="array" ref="Q21">IFERROR(_xll.FDS($B21,"FE_VALUATION(MCAP_FCF,MEAN,NTMA,,NOW,,,'')"), "")</f>
        <v>6.3301764</v>
      </c>
      <c r="R21" s="23">
        <f t="array" ref="R21">IFERROR(_xll.FDS($B21,"FE_VALUATION(DIV_YLD,MEAN,NTMA,,NOW,,,'')"), "")</f>
        <v>4.3687509999999999E-2</v>
      </c>
      <c r="S21" s="21">
        <f t="array" ref="S21">IFERROR(_xll.FDS($B21,"FE_VALUATION(ROE,MEAN,NTMA,,0,,,'')" ), "")</f>
        <v>25.867802000000001</v>
      </c>
      <c r="T21" s="21">
        <f t="array" ref="T21">IFERROR(_xll.FDS($B21,"FE_VALUATION(ROIC,MEAN,NTMA,,0,,,'')" ), "")</f>
        <v>16.988789000000001</v>
      </c>
      <c r="U21" s="22">
        <f t="array" ref="U21">IFERROR(((_xll.FDS($B21,"FE_ACTUAL(ACTUAL,SALES,ANN_ROLL,0,,,,'CURRENCY=USD')")/_xll.FDS($B21,"FE_ACTUAL(ACTUAL,SALES,ANN_ROLL,-1,,,,'CURRENCY=USD')")-1)*100)+(_xll.FDS($B21,"FE_VALUATION(EBITDA_MARGIN,MEAN,ANN_ROLL,0,NOW,,,'')")  ), "")</f>
        <v>34.546855431513421</v>
      </c>
      <c r="V21" s="24">
        <f t="array" ref="V21">IFERROR(_xll.FDS($B21,"FE_VALUATION(PE,MEAN,NTMA,,0,,,'')" ), "")</f>
        <v>20.717393999999999</v>
      </c>
      <c r="W21" s="24">
        <f t="array" ref="W21">IFERROR(_xll.FDS($B21,"FE_VALUATION(P_SALESPS,MEAN,NTMA,,0,,,'')" ), "")</f>
        <v>3.1120682</v>
      </c>
      <c r="X21" s="24">
        <f t="array" ref="X21">IFERROR(_xll.FDS($B21,"FE_VALUATION(FFEV_SALES,MEAN,NTMA,,0,,,'')" ), "")</f>
        <v>2.7242231000000001</v>
      </c>
      <c r="Y21" s="24">
        <f t="array" ref="Y21">IFERROR(_xll.FDS($B21,"FE_VALUATION(FFEV_EBITDA,MEAN,NTMA,,0,,,'')" ), "")</f>
        <v>15.385044000000001</v>
      </c>
      <c r="Z21" s="20">
        <f t="array" ref="Z21">IFERROR(_xll.FDS($B21,"PERCENT_CHANGE(FE_VALUATION(PE,MEAN,NTMA,,0,,,''),MAX(FE_VALUATION(PE,MEAN,NTMA,,-1AY,0,,'')))")/100,"")</f>
        <v>-0.63316895570940701</v>
      </c>
      <c r="AA21" s="20">
        <f t="array" ref="AA21">IFERROR(_xll.FDS($B21,"PERCENT_CHANGE(FE_VALUATION(FFEV_EBITDA,MEAN,NTMA,,0,,,''),MAX(FE_VALUATION(FFEV_EBITDA,MEAN,NTMA,,-1AY,0,,'')))")/100,"")</f>
        <v>-0.64757907560748396</v>
      </c>
      <c r="AB21" s="20">
        <f t="array" ref="AB21">IFERROR(_xll.FDS($B21,"FG_PRICE(0,,,USD)/P_PRICE_HIGH(-1AY,0,USD,,,""PRICE"",""INTRA"")")-1, "")</f>
        <v>-0.52012937271257098</v>
      </c>
      <c r="AC21" s="20">
        <f t="array" ref="AC21">IFERROR(_xll.FDS($B21,"RTP_PRICE_TARGET(USD)/FG_PRICE(0,,,USD)")-1, "")</f>
        <v>0.67048272437033996</v>
      </c>
      <c r="AD21" s="25">
        <f t="array" ref="AD21">IFERROR(_xll.FDS($B21,"FG_PRICE(0,,,USD)/FG_PRICE_MAVG(0,,,USD,50)")-1, "")</f>
        <v>-0.19370523762670799</v>
      </c>
      <c r="AE21" s="25">
        <f t="array" ref="AE21">IFERROR(_xll.FDS($B21,"FG_PRICE(0,,,USD)/FG_PRICE_MAVG(0,,,USD,100)")-1, "")</f>
        <v>-0.26284561466359302</v>
      </c>
      <c r="AF21" s="25">
        <f t="array" ref="AF21">IFERROR(_xll.FDS($B21,"FG_PRICE(0,,,USD)/FG_PRICE_MAVG(0,,,USD,200)")-1, "")</f>
        <v>-0.30215992519075197</v>
      </c>
      <c r="AG21" s="26" t="str">
        <f t="array" ref="AG21">IFERROR(_xll.FDS($B21,"FE_RATING(MEAN,TEXTONLY,0,NOW,,,'')"), "")</f>
        <v>Overweight</v>
      </c>
      <c r="AH21" s="50">
        <f>IFERROR(IF('3 — Weights'!$E$2=1,PERCENTRANK(I$4:I$91,I21),1-PERCENTRANK(I$4:I$91,I21))*100,"")</f>
        <v>48.199999999999996</v>
      </c>
      <c r="AI21" s="51">
        <f>IFERROR(IF('3 — Weights'!$E$3=1,PERCENTRANK(J$4:J$91,J21),1-PERCENTRANK(J$4:J$91,J21))*100,"")</f>
        <v>45.9</v>
      </c>
      <c r="AJ21" s="51">
        <f>IFERROR(IF('3 — Weights'!$E$4=1,PERCENTRANK(K$4:K$91,K21),1-PERCENTRANK(K$4:K$91,K21))*100,"")</f>
        <v>54</v>
      </c>
      <c r="AK21" s="51">
        <f>IFERROR(IF('3 — Weights'!$E$5=1,PERCENTRANK(L$4:L$91,L21),1-PERCENTRANK(L$4:L$91,L21))*100,"")</f>
        <v>46.400000000000006</v>
      </c>
      <c r="AL21" s="51">
        <f>IFERROR(IF('3 — Weights'!$E$6=1,PERCENTRANK(M$4:M$91,M21),1-PERCENTRANK(M$4:M$91,M21))*100,"")</f>
        <v>59.699999999999996</v>
      </c>
      <c r="AM21" s="51">
        <f>IFERROR(IF('3 — Weights'!$E$7=1,PERCENTRANK(N$4:N$91,N21),1-PERCENTRANK(N$4:N$91,N21))*100,"")</f>
        <v>14.2</v>
      </c>
      <c r="AN21" s="51">
        <f>IFERROR(IF('3 — Weights'!$E$8=1,PERCENTRANK(O$4:O$91,O21),1-PERCENTRANK(O$4:O$91,O21))*100,"")</f>
        <v>15.6</v>
      </c>
      <c r="AO21" s="51">
        <f>IFERROR(IF('3 — Weights'!$E$9=1,PERCENTRANK(P$4:P$91,P21),1-PERCENTRANK(P$4:P$91,P21))*100,"")</f>
        <v>88</v>
      </c>
      <c r="AP21" s="51">
        <f>IFERROR(IF('3 — Weights'!$E$10=1,PERCENTRANK(Q$4:Q$91,Q21),1-PERCENTRANK(Q$4:Q$91,Q21))*100,"")</f>
        <v>65.400000000000006</v>
      </c>
      <c r="AQ21" s="51">
        <f>IFERROR(IF('3 — Weights'!$E$11=1,PERCENTRANK(R$4:R$91,R21),1-PERCENTRANK(R$4:R$91,R21))*100,"")</f>
        <v>69.199999999999989</v>
      </c>
      <c r="AR21" s="51">
        <f>IFERROR(IF('3 — Weights'!$E$12=1,PERCENTRANK(S$4:S$91,S21),1-PERCENTRANK(S$4:S$91,S21))*100,"")</f>
        <v>66.600000000000009</v>
      </c>
      <c r="AS21" s="51">
        <f>IFERROR(IF('3 — Weights'!$E$13=1,PERCENTRANK(T$4:T$91,T21),1-PERCENTRANK(T$4:T$91,T21))*100,"")</f>
        <v>52.7</v>
      </c>
      <c r="AT21" s="51">
        <f>IFERROR(IF('3 — Weights'!$E$14=1,PERCENTRANK(U$4:U$91,U21),1-PERCENTRANK(U$4:U$91,U21))*100,"")</f>
        <v>21.9</v>
      </c>
      <c r="AU21" s="51">
        <f>IFERROR(IF('3 — Weights'!$E$15=1,PERCENTRANK(V$4:V$91,V21),1-PERCENTRANK(V$4:V$91,V21))*100,"")</f>
        <v>50.6</v>
      </c>
      <c r="AV21" s="51">
        <f>IFERROR(IF('3 — Weights'!$E$16=1,PERCENTRANK(W$4:W$91,W21),1-PERCENTRANK(W$4:W$91,W21))*100,"")</f>
        <v>72.5</v>
      </c>
      <c r="AW21" s="51">
        <f>IFERROR(IF('3 — Weights'!$E$17=1,PERCENTRANK(X$4:X$91,X21),1-PERCENTRANK(X$4:X$91,X21))*100,"")</f>
        <v>84</v>
      </c>
      <c r="AX21" s="51">
        <f>IFERROR(IF('3 — Weights'!$E$18=1,PERCENTRANK(Y$4:Y$91,Y21),1-PERCENTRANK(Y$4:Y$91,Y21))*100,"")</f>
        <v>46.599999999999994</v>
      </c>
      <c r="AY21" s="51">
        <f>IFERROR(IF('3 — Weights'!$E$18=1,PERCENTRANK(Z$4:Z$91,Z21),1-PERCENTRANK(Z$4:Z$91,Z21))*100,"")</f>
        <v>84</v>
      </c>
      <c r="AZ21" s="51">
        <f>IFERROR(IF('3 — Weights'!$E$18=1,PERCENTRANK(AA$4:AA$91,AA21),1-PERCENTRANK(AA$4:AA$91,AA21))*100,"")</f>
        <v>84.899999999999991</v>
      </c>
      <c r="BA21" s="51">
        <f>IFERROR(IF('3 — Weights'!$E$21=1,PERCENTRANK(AB$4:AB$91,AB21),1-PERCENTRANK(AB$4:AB$91,AB21))*100,"")</f>
        <v>22.900000000000002</v>
      </c>
      <c r="BB21" s="51">
        <f>IFERROR(IF('3 — Weights'!$E$22=1,PERCENTRANK(AC$4:AC$91,AC21),1-PERCENTRANK(AC$4:AC$91,AC21))*100,"")</f>
        <v>72.399999999999991</v>
      </c>
      <c r="BC21" s="51">
        <f>IFERROR(IF('3 — Weights'!$E$23=1,PERCENTRANK(AD$4:AD$91,AD21),1-PERCENTRANK(AD$4:AD$91,AD21))*100,"")</f>
        <v>54.099999999999994</v>
      </c>
      <c r="BD21" s="51">
        <f>IFERROR(IF('3 — Weights'!$E$24=1,PERCENTRANK(AE$4:AE$91,AE21),1-PERCENTRANK(AE$4:AE$91,AE21))*100,"")</f>
        <v>54.099999999999994</v>
      </c>
      <c r="BE21" s="51">
        <f>IFERROR(IF('3 — Weights'!$E$25=1,PERCENTRANK(AF$4:AF$91,AF21),1-PERCENTRANK(AF$4:AF$91,AF21))*100,"")</f>
        <v>55.2</v>
      </c>
      <c r="BF21" s="52" cm="1">
        <f t="array" ref="BF21">IFERROR(SUMPRODUCT(TRANSPOSE(AH21:BE21), [1]!Table2[Weight
Claude]),"")</f>
        <v>56.929999999999993</v>
      </c>
      <c r="BG21" s="53" cm="1">
        <f t="array" ref="BG21">IFERROR(SUMPRODUCT(TRANSPOSE(AH21:BE21), [1]!Table2[Weight
Cape IMC]),"")</f>
        <v>56.929999999999993</v>
      </c>
    </row>
    <row r="22" spans="1:59" ht="22.5" customHeight="1" x14ac:dyDescent="0.25">
      <c r="A22" s="17">
        <f t="shared" si="0"/>
        <v>18</v>
      </c>
      <c r="B22" s="18" t="s">
        <v>115</v>
      </c>
      <c r="C22" s="18" t="s">
        <v>116</v>
      </c>
      <c r="D22" s="18" t="str">
        <f t="array" ref="D22">IFERROR(_xll.FDS($B22,"FR_RBICS_NAME_CURR(""IND"")"), "")</f>
        <v>Network Infrastructure Software</v>
      </c>
      <c r="E22" s="18" t="str">
        <f t="array" ref="E22">PROPER(IFERROR(_xll.FDS($B22,"P_DCOUNTRY"), ""))</f>
        <v>United States</v>
      </c>
      <c r="F22" s="19">
        <f t="array" ref="F22">IFERROR(_xll.FDS($B22,"FCS_EV_DAILY(MV,NOW,,,USD,M)"), "")</f>
        <v>56752.211713459998</v>
      </c>
      <c r="G22" s="19">
        <f t="array" ref="G22">IFERROR(_xll.FDS($B22,"AVG(P_VOLUME_FRQ(-1AM,NOW,D,,6))*P_PRICE_AVG(-1AM,NOW,,USD)"), "")</f>
        <v>611.34853786025599</v>
      </c>
      <c r="H22" s="20">
        <f t="array" ref="H22">IFERROR(_xll.FDS($B22,"OS_SEC_FLT_PCT(0D,,MTD,SEC)")/100, "")</f>
        <v>0.82627200000000001</v>
      </c>
      <c r="I22" s="19">
        <f t="array" ref="I22">IFERROR(_xll.FDS($B22,"FE_ACTUAL(ACTUAL,SALES,ANN_ROLL,0,,,,'CURRENCY=USD')"), "")</f>
        <v>6799.6</v>
      </c>
      <c r="J22" s="19">
        <f t="array" ref="J22">IFERROR(_xll.FDS($B22,"FE_ACTUAL(ACTUAL,EPS,ANN_ROLL,0,,,,'CURRENCY=USD')"), "")</f>
        <v>2.76</v>
      </c>
      <c r="K22" s="20">
        <f t="array" ref="K22">IFERROR(_xll.FDS($B22,"POW(FE_ESTIMATE(SALES,MEAN,STMA,,NOW,,,'CURRENCY=USD')/FE_ESTIMATE(SALES,MEAN,LTMA,,NOW,,,'CURRENCY=USD'),0.5)-1"), "")</f>
        <v>0.10886969477932799</v>
      </c>
      <c r="L22" s="20">
        <f t="array" ref="L22">IFERROR(_xll.FDS($B22,"POW(FE_ESTIMATE(EPS,MEAN,STMA,,NOW,,,'CURRENCY=USD')/FE_ESTIMATE(EPS,MEAN,LTMA,,NOW,,,'CURRENCY=USD'),0.5)-1"), "")</f>
        <v>9.7236802153482196E-2</v>
      </c>
      <c r="M22" s="21">
        <f t="array" ref="M22">IFERROR(_xll.FDS($B22,"FF_GROSS_MGN(LTM_R,0)"), "")</f>
        <v>82.296017412788999</v>
      </c>
      <c r="N22" s="21">
        <f t="array" ref="N22">IFERROR(_xll.FDS($B22,"FF_EBITDA_OPER_MGN(LTM_R,0)"), "")</f>
        <v>37.687511030060598</v>
      </c>
      <c r="O22" s="21">
        <f t="array" ref="O22">IFERROR(_xll.FDS($B22,"FF_NET_MGN(LTM_R,0)"), "")</f>
        <v>27.257485734454999</v>
      </c>
      <c r="P22" s="22">
        <f t="array" ref="P22">IFERROR(_xll.FDS($B22,"FE_VALUATION(NETDEBT_EBITDA,MEAN,NTMA,,NOW,,,'')"), "")</f>
        <v>-1.8245005999999999</v>
      </c>
      <c r="Q22" s="23">
        <f t="array" ref="Q22">IFERROR(_xll.FDS($B22,"FE_VALUATION(MCAP_FCF,MEAN,NTMA,,NOW,,,'')"), "")</f>
        <v>4.6090790000000004</v>
      </c>
      <c r="R22" s="23">
        <f t="array" ref="R22">IFERROR(_xll.FDS($B22,"FE_VALUATION(DIV_YLD,MEAN,NTMA,,NOW,,,'')"), "")</f>
        <v>0</v>
      </c>
      <c r="S22" s="21">
        <f t="array" ref="S22">IFERROR(_xll.FDS($B22,"FE_VALUATION(ROE,MEAN,NTMA,,0,,,'')" ), "")</f>
        <v>65.035736</v>
      </c>
      <c r="T22" s="21">
        <f t="array" ref="T22">IFERROR(_xll.FDS($B22,"FE_VALUATION(ROIC,MEAN,NTMA,,0,,,'')" ), "")</f>
        <v>49.19408</v>
      </c>
      <c r="U22" s="22">
        <f t="array" ref="U22">IFERROR(((_xll.FDS($B22,"FE_ACTUAL(ACTUAL,SALES,ANN_ROLL,0,,,,'CURRENCY=USD')")/_xll.FDS($B22,"FE_ACTUAL(ACTUAL,SALES,ANN_ROLL,-1,,,,'CURRENCY=USD')")-1)*100)+(_xll.FDS($B22,"FE_VALUATION(EBITDA_MARGIN,MEAN,ANN_ROLL,0,NOW,,,'')")  ), "")</f>
        <v>51.539555071929883</v>
      </c>
      <c r="V22" s="24">
        <f t="array" ref="V22">IFERROR(_xll.FDS($B22,"FE_VALUATION(PE,MEAN,NTMA,,0,,,'')" ), "")</f>
        <v>24.865862</v>
      </c>
      <c r="W22" s="24">
        <f t="array" ref="W22">IFERROR(_xll.FDS($B22,"FE_VALUATION(P_SALESPS,MEAN,NTMA,,0,,,'')" ), "")</f>
        <v>7.2471990000000002</v>
      </c>
      <c r="X22" s="24">
        <f t="array" ref="X22">IFERROR(_xll.FDS($B22,"FE_VALUATION(FFEV_SALES,MEAN,NTMA,,0,,,'')" ), "")</f>
        <v>7.1163616000000003</v>
      </c>
      <c r="Y22" s="24">
        <f t="array" ref="Y22">IFERROR(_xll.FDS($B22,"FE_VALUATION(FFEV_EBITDA,MEAN,NTMA,,0,,,'')" ), "")</f>
        <v>19.464127000000001</v>
      </c>
      <c r="Z22" s="20">
        <f t="array" ref="Z22">IFERROR(_xll.FDS($B22,"PERCENT_CHANGE(FE_VALUATION(PE,MEAN,NTMA,,0,,,''),MAX(FE_VALUATION(PE,MEAN,NTMA,,-1AY,0,,'')))")/100,"")</f>
        <v>-0.428647864437188</v>
      </c>
      <c r="AA22" s="20">
        <f t="array" ref="AA22">IFERROR(_xll.FDS($B22,"PERCENT_CHANGE(FE_VALUATION(FFEV_EBITDA,MEAN,NTMA,,0,,,''),MAX(FE_VALUATION(FFEV_EBITDA,MEAN,NTMA,,-1AY,0,,'')))")/100,"")</f>
        <v>-0.42851182973380902</v>
      </c>
      <c r="AB22" s="20">
        <f t="array" ref="AB22">IFERROR(_xll.FDS($B22,"FG_PRICE(0,,,USD)/P_PRICE_HIGH(-1AY,0,USD,,,""PRICE"",""INTRA"")")-1, "")</f>
        <v>-0.32413978977629998</v>
      </c>
      <c r="AC22" s="20">
        <f t="array" ref="AC22">IFERROR(_xll.FDS($B22,"RTP_PRICE_TARGET(USD)/FG_PRICE(0,,,USD)")-1, "")</f>
        <v>0.18835570915857991</v>
      </c>
      <c r="AD22" s="25">
        <f t="array" ref="AD22">IFERROR(_xll.FDS($B22,"FG_PRICE(0,,,USD)/FG_PRICE_MAVG(0,,,USD,50)")-1, "")</f>
        <v>-6.3800449993031028E-2</v>
      </c>
      <c r="AE22" s="25">
        <f t="array" ref="AE22">IFERROR(_xll.FDS($B22,"FG_PRICE(0,,,USD)/FG_PRICE_MAVG(0,,,USD,100)")-1, "")</f>
        <v>-8.1675688575388983E-2</v>
      </c>
      <c r="AF22" s="25">
        <f t="array" ref="AF22">IFERROR(_xll.FDS($B22,"FG_PRICE(0,,,USD)/FG_PRICE_MAVG(0,,,USD,200)")-1, "")</f>
        <v>-0.14516414939117195</v>
      </c>
      <c r="AG22" s="26" t="str">
        <f t="array" ref="AG22">IFERROR(_xll.FDS($B22,"FE_RATING(MEAN,TEXTONLY,0,NOW,,,'')"), "")</f>
        <v>Hold</v>
      </c>
      <c r="AH22" s="50">
        <f>IFERROR(IF('3 — Weights'!$E$2=1,PERCENTRANK(I$4:I$91,I22),1-PERCENTRANK(I$4:I$91,I22))*100,"")</f>
        <v>87.3</v>
      </c>
      <c r="AI22" s="51">
        <f>IFERROR(IF('3 — Weights'!$E$3=1,PERCENTRANK(J$4:J$91,J22),1-PERCENTRANK(J$4:J$91,J22))*100,"")</f>
        <v>55.1</v>
      </c>
      <c r="AJ22" s="51">
        <f>IFERROR(IF('3 — Weights'!$E$4=1,PERCENTRANK(K$4:K$91,K22),1-PERCENTRANK(K$4:K$91,K22))*100,"")</f>
        <v>40.200000000000003</v>
      </c>
      <c r="AK22" s="51">
        <f>IFERROR(IF('3 — Weights'!$E$5=1,PERCENTRANK(L$4:L$91,L22),1-PERCENTRANK(L$4:L$91,L22))*100,"")</f>
        <v>17.8</v>
      </c>
      <c r="AL22" s="51">
        <f>IFERROR(IF('3 — Weights'!$E$6=1,PERCENTRANK(M$4:M$91,M22),1-PERCENTRANK(M$4:M$91,M22))*100,"")</f>
        <v>85.3</v>
      </c>
      <c r="AM22" s="51">
        <f>IFERROR(IF('3 — Weights'!$E$7=1,PERCENTRANK(N$4:N$91,N22),1-PERCENTRANK(N$4:N$91,N22))*100,"")</f>
        <v>85.7</v>
      </c>
      <c r="AN22" s="51">
        <f>IFERROR(IF('3 — Weights'!$E$8=1,PERCENTRANK(O$4:O$91,O22),1-PERCENTRANK(O$4:O$91,O22))*100,"")</f>
        <v>86.7</v>
      </c>
      <c r="AO22" s="51">
        <f>IFERROR(IF('3 — Weights'!$E$9=1,PERCENTRANK(P$4:P$91,P22),1-PERCENTRANK(P$4:P$91,P22))*100,"")</f>
        <v>61.5</v>
      </c>
      <c r="AP22" s="51">
        <f>IFERROR(IF('3 — Weights'!$E$10=1,PERCENTRANK(Q$4:Q$91,Q22),1-PERCENTRANK(Q$4:Q$91,Q22))*100,"")</f>
        <v>40.400000000000006</v>
      </c>
      <c r="AQ22" s="51">
        <f>IFERROR(IF('3 — Weights'!$E$11=1,PERCENTRANK(R$4:R$91,R22),1-PERCENTRANK(R$4:R$91,R22))*100,"")</f>
        <v>0</v>
      </c>
      <c r="AR22" s="51">
        <f>IFERROR(IF('3 — Weights'!$E$12=1,PERCENTRANK(S$4:S$91,S22),1-PERCENTRANK(S$4:S$91,S22))*100,"")</f>
        <v>93.8</v>
      </c>
      <c r="AS22" s="51">
        <f>IFERROR(IF('3 — Weights'!$E$13=1,PERCENTRANK(T$4:T$91,T22),1-PERCENTRANK(T$4:T$91,T22))*100,"")</f>
        <v>97.2</v>
      </c>
      <c r="AT22" s="51">
        <f>IFERROR(IF('3 — Weights'!$E$14=1,PERCENTRANK(U$4:U$91,U22),1-PERCENTRANK(U$4:U$91,U22))*100,"")</f>
        <v>67</v>
      </c>
      <c r="AU22" s="51">
        <f>IFERROR(IF('3 — Weights'!$E$15=1,PERCENTRANK(V$4:V$91,V22),1-PERCENTRANK(V$4:V$91,V22))*100,"")</f>
        <v>40.300000000000004</v>
      </c>
      <c r="AV22" s="51">
        <f>IFERROR(IF('3 — Weights'!$E$16=1,PERCENTRANK(W$4:W$91,W22),1-PERCENTRANK(W$4:W$91,W22))*100,"")</f>
        <v>24.2</v>
      </c>
      <c r="AW22" s="51">
        <f>IFERROR(IF('3 — Weights'!$E$17=1,PERCENTRANK(X$4:X$91,X22),1-PERCENTRANK(X$4:X$91,X22))*100,"")</f>
        <v>21.9</v>
      </c>
      <c r="AX22" s="51">
        <f>IFERROR(IF('3 — Weights'!$E$18=1,PERCENTRANK(Y$4:Y$91,Y22),1-PERCENTRANK(Y$4:Y$91,Y22))*100,"")</f>
        <v>30.300000000000004</v>
      </c>
      <c r="AY22" s="51">
        <f>IFERROR(IF('3 — Weights'!$E$18=1,PERCENTRANK(Z$4:Z$91,Z22),1-PERCENTRANK(Z$4:Z$91,Z22))*100,"")</f>
        <v>25.3</v>
      </c>
      <c r="AZ22" s="51">
        <f>IFERROR(IF('3 — Weights'!$E$18=1,PERCENTRANK(AA$4:AA$91,AA22),1-PERCENTRANK(AA$4:AA$91,AA22))*100,"")</f>
        <v>30.300000000000004</v>
      </c>
      <c r="BA22" s="51">
        <f>IFERROR(IF('3 — Weights'!$E$21=1,PERCENTRANK(AB$4:AB$91,AB22),1-PERCENTRANK(AB$4:AB$91,AB22))*100,"")</f>
        <v>75.8</v>
      </c>
      <c r="BB22" s="51">
        <f>IFERROR(IF('3 — Weights'!$E$22=1,PERCENTRANK(AC$4:AC$91,AC22),1-PERCENTRANK(AC$4:AC$91,AC22))*100,"")</f>
        <v>8</v>
      </c>
      <c r="BC22" s="51">
        <f>IFERROR(IF('3 — Weights'!$E$23=1,PERCENTRANK(AD$4:AD$91,AD22),1-PERCENTRANK(AD$4:AD$91,AD22))*100,"")</f>
        <v>17.300000000000004</v>
      </c>
      <c r="BD22" s="51">
        <f>IFERROR(IF('3 — Weights'!$E$24=1,PERCENTRANK(AE$4:AE$91,AE22),1-PERCENTRANK(AE$4:AE$91,AE22))*100,"")</f>
        <v>16.100000000000001</v>
      </c>
      <c r="BE22" s="51">
        <f>IFERROR(IF('3 — Weights'!$E$25=1,PERCENTRANK(AF$4:AF$91,AF22),1-PERCENTRANK(AF$4:AF$91,AF22))*100,"")</f>
        <v>19.599999999999994</v>
      </c>
      <c r="BF22" s="52" cm="1">
        <f t="array" ref="BF22">IFERROR(SUMPRODUCT(TRANSPOSE(AH22:BE22), [1]!Table2[Weight
Claude]),"")</f>
        <v>57.164999999999992</v>
      </c>
      <c r="BG22" s="53" cm="1">
        <f t="array" ref="BG22">IFERROR(SUMPRODUCT(TRANSPOSE(AH22:BE22), [1]!Table2[Weight
Cape IMC]),"")</f>
        <v>57.164999999999992</v>
      </c>
    </row>
    <row r="23" spans="1:59" ht="22.5" customHeight="1" x14ac:dyDescent="0.25">
      <c r="A23" s="17">
        <f t="shared" si="0"/>
        <v>20</v>
      </c>
      <c r="B23" s="27" t="s">
        <v>117</v>
      </c>
      <c r="C23" s="27" t="s">
        <v>118</v>
      </c>
      <c r="D23" s="27" t="str">
        <f t="array" ref="D23">IFERROR(_xll.FDS($B23,"FR_RBICS_NAME_CURR(""IND"")"), "")</f>
        <v>Enterprise Resource Planning Software</v>
      </c>
      <c r="E23" s="18" t="str">
        <f t="array" ref="E23">PROPER(IFERROR(_xll.FDS($B23,"P_DCOUNTRY"), ""))</f>
        <v>United States</v>
      </c>
      <c r="F23" s="19">
        <f t="array" ref="F23">IFERROR(_xll.FDS($B23,"FCS_EV_DAILY(MV,NOW,,,USD,M)"), "")</f>
        <v>6650.9968519800004</v>
      </c>
      <c r="G23" s="19">
        <f t="array" ref="G23">IFERROR(_xll.FDS($B23,"AVG(P_VOLUME_FRQ(-1AM,NOW,D,,6))*P_PRICE_AVG(-1AM,NOW,,USD)"), "")</f>
        <v>263.09181163695501</v>
      </c>
      <c r="H23" s="20">
        <f t="array" ref="H23">IFERROR(_xll.FDS($B23,"OS_SEC_FLT_PCT(0D,,MTD,SEC)")/100, "")</f>
        <v>0.87661600000000006</v>
      </c>
      <c r="I23" s="19">
        <f t="array" ref="I23">IFERROR(_xll.FDS($B23,"FE_ACTUAL(ACTUAL,SALES,ANN_ROLL,0,,,,'CURRENCY=USD')"), "")</f>
        <v>2051.6999999999998</v>
      </c>
      <c r="J23" s="19">
        <f t="array" ref="J23">IFERROR(_xll.FDS($B23,"FE_ACTUAL(ACTUAL,EPS,ANN_ROLL,0,,,,'CURRENCY=USD')"), "")</f>
        <v>9.24</v>
      </c>
      <c r="K23" s="20">
        <f t="array" ref="K23">IFERROR(_xll.FDS($B23,"POW(FE_ESTIMATE(SALES,MEAN,STMA,,NOW,,,'CURRENCY=USD')/FE_ESTIMATE(SALES,MEAN,LTMA,,NOW,,,'CURRENCY=USD'),0.5)-1"), "")</f>
        <v>7.2093186248284993E-2</v>
      </c>
      <c r="L23" s="20">
        <f t="array" ref="L23">IFERROR(_xll.FDS($B23,"POW(FE_ESTIMATE(EPS,MEAN,STMA,,NOW,,,'CURRENCY=USD')/FE_ESTIMATE(EPS,MEAN,LTMA,,NOW,,,'CURRENCY=USD'),0.5)-1"), "")</f>
        <v>0.106061435906704</v>
      </c>
      <c r="M23" s="21">
        <f t="array" ref="M23">IFERROR(_xll.FDS($B23,"FF_GROSS_MGN(LTM_R,0)"), "")</f>
        <v>74.016669103670097</v>
      </c>
      <c r="N23" s="21">
        <f t="array" ref="N23">IFERROR(_xll.FDS($B23,"FF_EBITDA_OPER_MGN(LTM_R,0)"), "")</f>
        <v>40.810059950285101</v>
      </c>
      <c r="O23" s="21">
        <f t="array" ref="O23">IFERROR(_xll.FDS($B23,"FF_NET_MGN(LTM_R,0)"), "")</f>
        <v>22.098747380221301</v>
      </c>
      <c r="P23" s="22">
        <f t="array" ref="P23">IFERROR(_xll.FDS($B23,"FE_VALUATION(NETDEBT_EBITDA,MEAN,NTMA,,NOW,,,'')"), "")</f>
        <v>-0.78601089999999996</v>
      </c>
      <c r="Q23" s="23">
        <f t="array" ref="Q23">IFERROR(_xll.FDS($B23,"FE_VALUATION(MCAP_FCF,MEAN,NTMA,,NOW,,,'')"), "")</f>
        <v>7.7023630000000001</v>
      </c>
      <c r="R23" s="23">
        <f t="array" ref="R23">IFERROR(_xll.FDS($B23,"FE_VALUATION(DIV_YLD,MEAN,NTMA,,NOW,,,'')"), "")</f>
        <v>0.62845653000000001</v>
      </c>
      <c r="S23" s="21">
        <f t="array" ref="S23">IFERROR(_xll.FDS($B23,"FE_VALUATION(ROE,MEAN,NTMA,,0,,,'')" ), "")</f>
        <v>24.74314</v>
      </c>
      <c r="T23" s="21">
        <f t="array" ref="T23">IFERROR(_xll.FDS($B23,"FE_VALUATION(ROIC,MEAN,NTMA,,0,,,'')" ), "")</f>
        <v>26.904764</v>
      </c>
      <c r="U23" s="22">
        <f t="array" ref="U23">IFERROR(((_xll.FDS($B23,"FE_ACTUAL(ACTUAL,SALES,ANN_ROLL,0,,,,'CURRENCY=USD')")/_xll.FDS($B23,"FE_ACTUAL(ACTUAL,SALES,ANN_ROLL,-1,,,,'CURRENCY=USD')")-1)*100)+(_xll.FDS($B23,"FE_VALUATION(EBITDA_MARGIN,MEAN,ANN_ROLL,0,NOW,,,'')")  ), "")</f>
        <v>51.950896108751053</v>
      </c>
      <c r="V23" s="24">
        <f t="array" ref="V23">IFERROR(_xll.FDS($B23,"FE_VALUATION(PE,MEAN,NTMA,,0,,,'')" ), "")</f>
        <v>11.483673</v>
      </c>
      <c r="W23" s="24">
        <f t="array" ref="W23">IFERROR(_xll.FDS($B23,"FE_VALUATION(P_SALESPS,MEAN,NTMA,,0,,,'')" ), "")</f>
        <v>2.9279852000000002</v>
      </c>
      <c r="X23" s="24">
        <f t="array" ref="X23">IFERROR(_xll.FDS($B23,"FE_VALUATION(FFEV_SALES,MEAN,NTMA,,0,,,'')" ), "")</f>
        <v>2.9008596</v>
      </c>
      <c r="Y23" s="24">
        <f t="array" ref="Y23">IFERROR(_xll.FDS($B23,"FE_VALUATION(FFEV_EBITDA,MEAN,NTMA,,0,,,'')" ), "")</f>
        <v>6.5902469999999997</v>
      </c>
      <c r="Z23" s="20">
        <f t="array" ref="Z23">IFERROR(_xll.FDS($B23,"PERCENT_CHANGE(FE_VALUATION(PE,MEAN,NTMA,,0,,,''),MAX(FE_VALUATION(PE,MEAN,NTMA,,-1AY,0,,'')))")/100,"")</f>
        <v>-0.59467502027918007</v>
      </c>
      <c r="AA23" s="20">
        <f t="array" ref="AA23">IFERROR(_xll.FDS($B23,"PERCENT_CHANGE(FE_VALUATION(FFEV_EBITDA,MEAN,NTMA,,0,,,''),MAX(FE_VALUATION(FFEV_EBITDA,MEAN,NTMA,,-1AY,0,,'')))")/100,"")</f>
        <v>-0.59610823501378696</v>
      </c>
      <c r="AB23" s="20">
        <f t="array" ref="AB23">IFERROR(_xll.FDS($B23,"FG_PRICE(0,,,USD)/P_PRICE_HIGH(-1AY,0,USD,,,""PRICE"",""INTRA"")")-1, "")</f>
        <v>-0.55430236032267699</v>
      </c>
      <c r="AC23" s="20">
        <f t="array" ref="AC23">IFERROR(_xll.FDS($B23,"RTP_PRICE_TARGET(USD)/FG_PRICE(0,,,USD)")-1, "")</f>
        <v>0.22898164906987994</v>
      </c>
      <c r="AD23" s="25">
        <f t="array" ref="AD23">IFERROR(_xll.FDS($B23,"FG_PRICE(0,,,USD)/FG_PRICE_MAVG(0,,,USD,50)")-1, "")</f>
        <v>-0.17906484658542199</v>
      </c>
      <c r="AE23" s="25">
        <f t="array" ref="AE23">IFERROR(_xll.FDS($B23,"FG_PRICE(0,,,USD)/FG_PRICE_MAVG(0,,,USD,100)")-1, "")</f>
        <v>-0.269171838313914</v>
      </c>
      <c r="AF23" s="25">
        <f t="array" ref="AF23">IFERROR(_xll.FDS($B23,"FG_PRICE(0,,,USD)/FG_PRICE_MAVG(0,,,USD,200)")-1, "")</f>
        <v>-0.39999773754803003</v>
      </c>
      <c r="AG23" s="26" t="str">
        <f t="array" ref="AG23">IFERROR(_xll.FDS($B23,"FE_RATING(MEAN,TEXTONLY,0,NOW,,,'')"), "")</f>
        <v>Overweight</v>
      </c>
      <c r="AH23" s="50">
        <f>IFERROR(IF('3 — Weights'!$E$2=1,PERCENTRANK(I$4:I$91,I23),1-PERCENTRANK(I$4:I$91,I23))*100,"")</f>
        <v>58.599999999999994</v>
      </c>
      <c r="AI23" s="51">
        <f>IFERROR(IF('3 — Weights'!$E$3=1,PERCENTRANK(J$4:J$91,J23),1-PERCENTRANK(J$4:J$91,J23))*100,"")</f>
        <v>87.3</v>
      </c>
      <c r="AJ23" s="51">
        <f>IFERROR(IF('3 — Weights'!$E$4=1,PERCENTRANK(K$4:K$91,K23),1-PERCENTRANK(K$4:K$91,K23))*100,"")</f>
        <v>18.3</v>
      </c>
      <c r="AK23" s="51">
        <f>IFERROR(IF('3 — Weights'!$E$5=1,PERCENTRANK(L$4:L$91,L23),1-PERCENTRANK(L$4:L$91,L23))*100,"")</f>
        <v>22.6</v>
      </c>
      <c r="AL23" s="51">
        <f>IFERROR(IF('3 — Weights'!$E$6=1,PERCENTRANK(M$4:M$91,M23),1-PERCENTRANK(M$4:M$91,M23))*100,"")</f>
        <v>48.699999999999996</v>
      </c>
      <c r="AM23" s="51">
        <f>IFERROR(IF('3 — Weights'!$E$7=1,PERCENTRANK(N$4:N$91,N23),1-PERCENTRANK(N$4:N$91,N23))*100,"")</f>
        <v>88.3</v>
      </c>
      <c r="AN23" s="51">
        <f>IFERROR(IF('3 — Weights'!$E$8=1,PERCENTRANK(O$4:O$91,O23),1-PERCENTRANK(O$4:O$91,O23))*100,"")</f>
        <v>80.7</v>
      </c>
      <c r="AO23" s="51">
        <f>IFERROR(IF('3 — Weights'!$E$9=1,PERCENTRANK(P$4:P$91,P23),1-PERCENTRANK(P$4:P$91,P23))*100,"")</f>
        <v>42.2</v>
      </c>
      <c r="AP23" s="51">
        <f>IFERROR(IF('3 — Weights'!$E$10=1,PERCENTRANK(Q$4:Q$91,Q23),1-PERCENTRANK(Q$4:Q$91,Q23))*100,"")</f>
        <v>76.099999999999994</v>
      </c>
      <c r="AQ23" s="51">
        <f>IFERROR(IF('3 — Weights'!$E$11=1,PERCENTRANK(R$4:R$91,R23),1-PERCENTRANK(R$4:R$91,R23))*100,"")</f>
        <v>78.2</v>
      </c>
      <c r="AR23" s="51">
        <f>IFERROR(IF('3 — Weights'!$E$12=1,PERCENTRANK(S$4:S$91,S23),1-PERCENTRANK(S$4:S$91,S23))*100,"")</f>
        <v>59.199999999999996</v>
      </c>
      <c r="AS23" s="51">
        <f>IFERROR(IF('3 — Weights'!$E$13=1,PERCENTRANK(T$4:T$91,T23),1-PERCENTRANK(T$4:T$91,T23))*100,"")</f>
        <v>83.3</v>
      </c>
      <c r="AT23" s="51">
        <f>IFERROR(IF('3 — Weights'!$E$14=1,PERCENTRANK(U$4:U$91,U23),1-PERCENTRANK(U$4:U$91,U23))*100,"")</f>
        <v>70.7</v>
      </c>
      <c r="AU23" s="51">
        <f>IFERROR(IF('3 — Weights'!$E$15=1,PERCENTRANK(V$4:V$91,V23),1-PERCENTRANK(V$4:V$91,V23))*100,"")</f>
        <v>90.9</v>
      </c>
      <c r="AV23" s="51">
        <f>IFERROR(IF('3 — Weights'!$E$16=1,PERCENTRANK(W$4:W$91,W23),1-PERCENTRANK(W$4:W$91,W23))*100,"")</f>
        <v>78.2</v>
      </c>
      <c r="AW23" s="51">
        <f>IFERROR(IF('3 — Weights'!$E$17=1,PERCENTRANK(X$4:X$91,X23),1-PERCENTRANK(X$4:X$91,X23))*100,"")</f>
        <v>80.5</v>
      </c>
      <c r="AX23" s="51">
        <f>IFERROR(IF('3 — Weights'!$E$18=1,PERCENTRANK(Y$4:Y$91,Y23),1-PERCENTRANK(Y$4:Y$91,Y23))*100,"")</f>
        <v>95.399999999999991</v>
      </c>
      <c r="AY23" s="51">
        <f>IFERROR(IF('3 — Weights'!$E$18=1,PERCENTRANK(Z$4:Z$91,Z23),1-PERCENTRANK(Z$4:Z$91,Z23))*100,"")</f>
        <v>73.599999999999994</v>
      </c>
      <c r="AZ23" s="51">
        <f>IFERROR(IF('3 — Weights'!$E$18=1,PERCENTRANK(AA$4:AA$91,AA23),1-PERCENTRANK(AA$4:AA$91,AA23))*100,"")</f>
        <v>74.5</v>
      </c>
      <c r="BA23" s="51">
        <f>IFERROR(IF('3 — Weights'!$E$21=1,PERCENTRANK(AB$4:AB$91,AB23),1-PERCENTRANK(AB$4:AB$91,AB23))*100,"")</f>
        <v>12.6</v>
      </c>
      <c r="BB23" s="51">
        <f>IFERROR(IF('3 — Weights'!$E$22=1,PERCENTRANK(AC$4:AC$91,AC23),1-PERCENTRANK(AC$4:AC$91,AC23))*100,"")</f>
        <v>11.4</v>
      </c>
      <c r="BC23" s="51">
        <f>IFERROR(IF('3 — Weights'!$E$23=1,PERCENTRANK(AD$4:AD$91,AD23),1-PERCENTRANK(AD$4:AD$91,AD23))*100,"")</f>
        <v>46</v>
      </c>
      <c r="BD23" s="51">
        <f>IFERROR(IF('3 — Weights'!$E$24=1,PERCENTRANK(AE$4:AE$91,AE23),1-PERCENTRANK(AE$4:AE$91,AE23))*100,"")</f>
        <v>59.8</v>
      </c>
      <c r="BE23" s="51">
        <f>IFERROR(IF('3 — Weights'!$E$25=1,PERCENTRANK(AF$4:AF$91,AF23),1-PERCENTRANK(AF$4:AF$91,AF23))*100,"")</f>
        <v>81.699999999999989</v>
      </c>
      <c r="BF23" s="52" cm="1">
        <f t="array" ref="BF23">IFERROR(SUMPRODUCT(TRANSPOSE(AH23:BE23), [1]!Table2[Weight
Claude]),"")</f>
        <v>56</v>
      </c>
      <c r="BG23" s="53" cm="1">
        <f t="array" ref="BG23">IFERROR(SUMPRODUCT(TRANSPOSE(AH23:BE23), [1]!Table2[Weight
Cape IMC]),"")</f>
        <v>56</v>
      </c>
    </row>
    <row r="24" spans="1:59" ht="22.5" customHeight="1" x14ac:dyDescent="0.25">
      <c r="A24" s="17">
        <f t="shared" si="0"/>
        <v>21</v>
      </c>
      <c r="B24" s="18" t="s">
        <v>119</v>
      </c>
      <c r="C24" s="18" t="s">
        <v>120</v>
      </c>
      <c r="D24" s="18" t="str">
        <f t="array" ref="D24">IFERROR(_xll.FDS($B24,"FR_RBICS_NAME_CURR(""IND"")"), "")</f>
        <v>Customer Relationship Management Software</v>
      </c>
      <c r="E24" s="18" t="str">
        <f t="array" ref="E24">PROPER(IFERROR(_xll.FDS($B24,"P_DCOUNTRY"), ""))</f>
        <v>United States</v>
      </c>
      <c r="F24" s="19">
        <f t="array" ref="F24">IFERROR(_xll.FDS($B24,"FCS_EV_DAILY(MV,NOW,,,USD,M)"), "")</f>
        <v>178559.46</v>
      </c>
      <c r="G24" s="19">
        <f t="array" ref="G24">IFERROR(_xll.FDS($B24,"AVG(P_VOLUME_FRQ(-1AM,NOW,D,,6))*P_PRICE_AVG(-1AM,NOW,,USD)"), "")</f>
        <v>2589.9300951382102</v>
      </c>
      <c r="H24" s="20">
        <f t="array" ref="H24">IFERROR(_xll.FDS($B24,"OS_SEC_FLT_PCT(0D,,MTD,SEC)")/100, "")</f>
        <v>0.9733710000000001</v>
      </c>
      <c r="I24" s="19">
        <f t="array" ref="I24">IFERROR(_xll.FDS($B24,"FE_ACTUAL(ACTUAL,SALES,ANN_ROLL,0,,,,'CURRENCY=USD')"), "")</f>
        <v>37895</v>
      </c>
      <c r="J24" s="19">
        <f t="array" ref="J24">IFERROR(_xll.FDS($B24,"FE_ACTUAL(ACTUAL,EPS,ANN_ROLL,0,,,,'CURRENCY=USD')"), "")</f>
        <v>10.199999999999999</v>
      </c>
      <c r="K24" s="20">
        <f t="array" ref="K24">IFERROR(_xll.FDS($B24,"POW(FE_ESTIMATE(SALES,MEAN,STMA,,NOW,,,'CURRENCY=USD')/FE_ESTIMATE(SALES,MEAN,LTMA,,NOW,,,'CURRENCY=USD'),0.5)-1"), "")</f>
        <v>0.10186546365697501</v>
      </c>
      <c r="L24" s="20">
        <f t="array" ref="L24">IFERROR(_xll.FDS($B24,"POW(FE_ESTIMATE(EPS,MEAN,STMA,,NOW,,,'CURRENCY=USD')/FE_ESTIMATE(EPS,MEAN,LTMA,,NOW,,,'CURRENCY=USD'),0.5)-1"), "")</f>
        <v>0.13405189475614401</v>
      </c>
      <c r="M24" s="21">
        <f t="array" ref="M24">IFERROR(_xll.FDS($B24,"FF_GROSS_MGN(LTM_R,0)"), "")</f>
        <v>75.4346801597341</v>
      </c>
      <c r="N24" s="21">
        <f t="array" ref="N24">IFERROR(_xll.FDS($B24,"FF_EBITDA_OPER_MGN(LTM_R,0)"), "")</f>
        <v>30.428851353027301</v>
      </c>
      <c r="O24" s="21">
        <f t="array" ref="O24">IFERROR(_xll.FDS($B24,"FF_NET_MGN(LTM_R,0)"), "")</f>
        <v>17.9130391646204</v>
      </c>
      <c r="P24" s="22">
        <f t="array" ref="P24">IFERROR(_xll.FDS($B24,"FE_VALUATION(NETDEBT_EBITDA,MEAN,NTMA,,NOW,,,'')"), "")</f>
        <v>-0.85852843999999995</v>
      </c>
      <c r="Q24" s="23">
        <f t="array" ref="Q24">IFERROR(_xll.FDS($B24,"FE_VALUATION(MCAP_FCF,MEAN,NTMA,,NOW,,,'')"), "")</f>
        <v>8.9762830000000005</v>
      </c>
      <c r="R24" s="23">
        <f t="array" ref="R24">IFERROR(_xll.FDS($B24,"FE_VALUATION(DIV_YLD,MEAN,NTMA,,NOW,,,'')"), "")</f>
        <v>0.54731470000000004</v>
      </c>
      <c r="S24" s="21">
        <f t="array" ref="S24">IFERROR(_xll.FDS($B24,"FE_VALUATION(ROE,MEAN,NTMA,,0,,,'')" ), "")</f>
        <v>17.975778999999999</v>
      </c>
      <c r="T24" s="21">
        <f t="array" ref="T24">IFERROR(_xll.FDS($B24,"FE_VALUATION(ROIC,MEAN,NTMA,,0,,,'')" ), "")</f>
        <v>16.227156000000001</v>
      </c>
      <c r="U24" s="22">
        <f t="array" ref="U24">IFERROR(((_xll.FDS($B24,"FE_ACTUAL(ACTUAL,SALES,ANN_ROLL,0,,,,'CURRENCY=USD')")/_xll.FDS($B24,"FE_ACTUAL(ACTUAL,SALES,ANN_ROLL,-1,,,,'CURRENCY=USD')")-1)*100)+(_xll.FDS($B24,"FE_VALUATION(EBITDA_MARGIN,MEAN,ANN_ROLL,0,NOW,,,'')")  ), "")</f>
        <v>49.228682490202821</v>
      </c>
      <c r="V24" s="24">
        <f t="array" ref="V24">IFERROR(_xll.FDS($B24,"FE_VALUATION(PE,MEAN,NTMA,,0,,,'')" ), "")</f>
        <v>13.971059</v>
      </c>
      <c r="W24" s="24">
        <f t="array" ref="W24">IFERROR(_xll.FDS($B24,"FE_VALUATION(P_SALESPS,MEAN,NTMA,,0,,,'')" ), "")</f>
        <v>3.7451916000000001</v>
      </c>
      <c r="X24" s="24">
        <f t="array" ref="X24">IFERROR(_xll.FDS($B24,"FE_VALUATION(FFEV_SALES,MEAN,NTMA,,0,,,'')" ), "")</f>
        <v>3.8118721999999998</v>
      </c>
      <c r="Y24" s="24">
        <f t="array" ref="Y24">IFERROR(_xll.FDS($B24,"FE_VALUATION(FFEV_EBITDA,MEAN,NTMA,,0,,,'')" ), "")</f>
        <v>9.2174560000000003</v>
      </c>
      <c r="Z24" s="20">
        <f t="array" ref="Z24">IFERROR(_xll.FDS($B24,"PERCENT_CHANGE(FE_VALUATION(PE,MEAN,NTMA,,0,,,''),MAX(FE_VALUATION(PE,MEAN,NTMA,,-1AY,0,,'')))")/100,"")</f>
        <v>-0.48766987846778498</v>
      </c>
      <c r="AA24" s="20">
        <f t="array" ref="AA24">IFERROR(_xll.FDS($B24,"PERCENT_CHANGE(FE_VALUATION(FFEV_EBITDA,MEAN,NTMA,,0,,,''),MAX(FE_VALUATION(FFEV_EBITDA,MEAN,NTMA,,-1AY,0,,'')))")/100,"")</f>
        <v>-0.48324906062163597</v>
      </c>
      <c r="AB24" s="20">
        <f t="array" ref="AB24">IFERROR(_xll.FDS($B24,"FG_PRICE(0,,,USD)/P_PRICE_HIGH(-1AY,0,USD,,,""PRICE"",""INTRA"")")-1, "")</f>
        <v>-0.40892572521517401</v>
      </c>
      <c r="AC24" s="20">
        <f t="array" ref="AC24">IFERROR(_xll.FDS($B24,"RTP_PRICE_TARGET(USD)/FG_PRICE(0,,,USD)")-1, "")</f>
        <v>0.64537320677381005</v>
      </c>
      <c r="AD24" s="25">
        <f t="array" ref="AD24">IFERROR(_xll.FDS($B24,"FG_PRICE(0,,,USD)/FG_PRICE_MAVG(0,,,USD,50)")-1, "")</f>
        <v>-0.19229566282547494</v>
      </c>
      <c r="AE24" s="25">
        <f t="array" ref="AE24">IFERROR(_xll.FDS($B24,"FG_PRICE(0,,,USD)/FG_PRICE_MAVG(0,,,USD,100)")-1, "")</f>
        <v>-0.21817253416753002</v>
      </c>
      <c r="AF24" s="25">
        <f t="array" ref="AF24">IFERROR(_xll.FDS($B24,"FG_PRICE(0,,,USD)/FG_PRICE_MAVG(0,,,USD,200)")-1, "")</f>
        <v>-0.25372113109827998</v>
      </c>
      <c r="AG24" s="26" t="str">
        <f t="array" ref="AG24">IFERROR(_xll.FDS($B24,"FE_RATING(MEAN,TEXTONLY,0,NOW,,,'')"), "")</f>
        <v>Overweight</v>
      </c>
      <c r="AH24" s="50">
        <f>IFERROR(IF('3 — Weights'!$E$2=1,PERCENTRANK(I$4:I$91,I24),1-PERCENTRANK(I$4:I$91,I24))*100,"")</f>
        <v>96.5</v>
      </c>
      <c r="AI24" s="51">
        <f>IFERROR(IF('3 — Weights'!$E$3=1,PERCENTRANK(J$4:J$91,J24),1-PERCENTRANK(J$4:J$91,J24))*100,"")</f>
        <v>90.8</v>
      </c>
      <c r="AJ24" s="51">
        <f>IFERROR(IF('3 — Weights'!$E$4=1,PERCENTRANK(K$4:K$91,K24),1-PERCENTRANK(K$4:K$91,K24))*100,"")</f>
        <v>34.4</v>
      </c>
      <c r="AK24" s="51">
        <f>IFERROR(IF('3 — Weights'!$E$5=1,PERCENTRANK(L$4:L$91,L24),1-PERCENTRANK(L$4:L$91,L24))*100,"")</f>
        <v>29.7</v>
      </c>
      <c r="AL24" s="51">
        <f>IFERROR(IF('3 — Weights'!$E$6=1,PERCENTRANK(M$4:M$91,M24),1-PERCENTRANK(M$4:M$91,M24))*100,"")</f>
        <v>58.5</v>
      </c>
      <c r="AM24" s="51">
        <f>IFERROR(IF('3 — Weights'!$E$7=1,PERCENTRANK(N$4:N$91,N24),1-PERCENTRANK(N$4:N$91,N24))*100,"")</f>
        <v>72.7</v>
      </c>
      <c r="AN24" s="51">
        <f>IFERROR(IF('3 — Weights'!$E$8=1,PERCENTRANK(O$4:O$91,O24),1-PERCENTRANK(O$4:O$91,O24))*100,"")</f>
        <v>67.400000000000006</v>
      </c>
      <c r="AO24" s="51">
        <f>IFERROR(IF('3 — Weights'!$E$9=1,PERCENTRANK(P$4:P$91,P24),1-PERCENTRANK(P$4:P$91,P24))*100,"")</f>
        <v>44.599999999999994</v>
      </c>
      <c r="AP24" s="51">
        <f>IFERROR(IF('3 — Weights'!$E$10=1,PERCENTRANK(Q$4:Q$91,Q24),1-PERCENTRANK(Q$4:Q$91,Q24))*100,"")</f>
        <v>86.9</v>
      </c>
      <c r="AQ24" s="51">
        <f>IFERROR(IF('3 — Weights'!$E$11=1,PERCENTRANK(R$4:R$91,R24),1-PERCENTRANK(R$4:R$91,R24))*100,"")</f>
        <v>74.3</v>
      </c>
      <c r="AR24" s="51">
        <f>IFERROR(IF('3 — Weights'!$E$12=1,PERCENTRANK(S$4:S$91,S24),1-PERCENTRANK(S$4:S$91,S24))*100,"")</f>
        <v>39.5</v>
      </c>
      <c r="AS24" s="51">
        <f>IFERROR(IF('3 — Weights'!$E$13=1,PERCENTRANK(T$4:T$91,T24),1-PERCENTRANK(T$4:T$91,T24))*100,"")</f>
        <v>47.199999999999996</v>
      </c>
      <c r="AT24" s="51">
        <f>IFERROR(IF('3 — Weights'!$E$14=1,PERCENTRANK(U$4:U$91,U24),1-PERCENTRANK(U$4:U$91,U24))*100,"")</f>
        <v>59.699999999999996</v>
      </c>
      <c r="AU24" s="51">
        <f>IFERROR(IF('3 — Weights'!$E$15=1,PERCENTRANK(V$4:V$91,V24),1-PERCENTRANK(V$4:V$91,V24))*100,"")</f>
        <v>80.5</v>
      </c>
      <c r="AV24" s="51">
        <f>IFERROR(IF('3 — Weights'!$E$16=1,PERCENTRANK(W$4:W$91,W24),1-PERCENTRANK(W$4:W$91,W24))*100,"")</f>
        <v>62.1</v>
      </c>
      <c r="AW24" s="51">
        <f>IFERROR(IF('3 — Weights'!$E$17=1,PERCENTRANK(X$4:X$91,X24),1-PERCENTRANK(X$4:X$91,X24))*100,"")</f>
        <v>58.699999999999996</v>
      </c>
      <c r="AX24" s="51">
        <f>IFERROR(IF('3 — Weights'!$E$18=1,PERCENTRANK(Y$4:Y$91,Y24),1-PERCENTRANK(Y$4:Y$91,Y24))*100,"")</f>
        <v>82.600000000000009</v>
      </c>
      <c r="AY24" s="51">
        <f>IFERROR(IF('3 — Weights'!$E$18=1,PERCENTRANK(Z$4:Z$91,Z24),1-PERCENTRANK(Z$4:Z$91,Z24))*100,"")</f>
        <v>42.6</v>
      </c>
      <c r="AZ24" s="51">
        <f>IFERROR(IF('3 — Weights'!$E$18=1,PERCENTRANK(AA$4:AA$91,AA24),1-PERCENTRANK(AA$4:AA$91,AA24))*100,"")</f>
        <v>40.700000000000003</v>
      </c>
      <c r="BA24" s="51">
        <f>IFERROR(IF('3 — Weights'!$E$21=1,PERCENTRANK(AB$4:AB$91,AB24),1-PERCENTRANK(AB$4:AB$91,AB24))*100,"")</f>
        <v>57.4</v>
      </c>
      <c r="BB24" s="51">
        <f>IFERROR(IF('3 — Weights'!$E$22=1,PERCENTRANK(AC$4:AC$91,AC24),1-PERCENTRANK(AC$4:AC$91,AC24))*100,"")</f>
        <v>68.899999999999991</v>
      </c>
      <c r="BC24" s="51">
        <f>IFERROR(IF('3 — Weights'!$E$23=1,PERCENTRANK(AD$4:AD$91,AD24),1-PERCENTRANK(AD$4:AD$91,AD24))*100,"")</f>
        <v>51.800000000000004</v>
      </c>
      <c r="BD24" s="51">
        <f>IFERROR(IF('3 — Weights'!$E$24=1,PERCENTRANK(AE$4:AE$91,AE24),1-PERCENTRANK(AE$4:AE$91,AE24))*100,"")</f>
        <v>38</v>
      </c>
      <c r="BE24" s="51">
        <f>IFERROR(IF('3 — Weights'!$E$25=1,PERCENTRANK(AF$4:AF$91,AF24),1-PERCENTRANK(AF$4:AF$91,AF24))*100,"")</f>
        <v>41.400000000000006</v>
      </c>
      <c r="BF24" s="52" cm="1">
        <f t="array" ref="BF24">IFERROR(SUMPRODUCT(TRANSPOSE(AH24:BE24), [1]!Table2[Weight
Claude]),"")</f>
        <v>55.254999999999995</v>
      </c>
      <c r="BG24" s="53" cm="1">
        <f t="array" ref="BG24">IFERROR(SUMPRODUCT(TRANSPOSE(AH24:BE24), [1]!Table2[Weight
Cape IMC]),"")</f>
        <v>55.254999999999995</v>
      </c>
    </row>
    <row r="25" spans="1:59" ht="22.5" customHeight="1" x14ac:dyDescent="0.25">
      <c r="A25" s="17">
        <f t="shared" si="0"/>
        <v>22</v>
      </c>
      <c r="B25" s="18" t="s">
        <v>121</v>
      </c>
      <c r="C25" s="18" t="s">
        <v>122</v>
      </c>
      <c r="D25" s="18" t="str">
        <f t="array" ref="D25">IFERROR(_xll.FDS($B25,"FR_RBICS_NAME_CURR(""IND"")"), "")</f>
        <v>Enterprise Resource Planning Software</v>
      </c>
      <c r="E25" s="18" t="str">
        <f t="array" ref="E25">PROPER(IFERROR(_xll.FDS($B25,"P_DCOUNTRY"), ""))</f>
        <v>United States</v>
      </c>
      <c r="F25" s="19">
        <f t="array" ref="F25">IFERROR(_xll.FDS($B25,"FCS_EV_DAILY(MV,NOW,,,USD,M)"), "")</f>
        <v>2075.1879633600001</v>
      </c>
      <c r="G25" s="19">
        <f t="array" ref="G25">IFERROR(_xll.FDS($B25,"AVG(P_VOLUME_FRQ(-1AM,NOW,D,,6))*P_PRICE_AVG(-1AM,NOW,,USD)"), "")</f>
        <v>65.705442297270807</v>
      </c>
      <c r="H25" s="20">
        <f t="array" ref="H25">IFERROR(_xll.FDS($B25,"OS_SEC_FLT_PCT(0D,,MTD,SEC)")/100, "")</f>
        <v>0.81297900000000001</v>
      </c>
      <c r="I25" s="19">
        <f t="array" ref="I25">IFERROR(_xll.FDS($B25,"FE_ACTUAL(ACTUAL,SALES,ANN_ROLL,0,,,,'CURRENCY=USD')"), "")</f>
        <v>700.42700000000002</v>
      </c>
      <c r="J25" s="19">
        <f t="array" ref="J25">IFERROR(_xll.FDS($B25,"FE_ACTUAL(ACTUAL,EPS,ANN_ROLL,0,,,,'CURRENCY=USD')"), "")</f>
        <v>2.13</v>
      </c>
      <c r="K25" s="20">
        <f t="array" ref="K25">IFERROR(_xll.FDS($B25,"POW(FE_ESTIMATE(SALES,MEAN,STMA,,NOW,,,'CURRENCY=USD')/FE_ESTIMATE(SALES,MEAN,LTMA,,NOW,,,'CURRENCY=USD'),0.5)-1"), "")</f>
        <v>0.10399130431358</v>
      </c>
      <c r="L25" s="20">
        <f t="array" ref="L25">IFERROR(_xll.FDS($B25,"POW(FE_ESTIMATE(EPS,MEAN,STMA,,NOW,,,'CURRENCY=USD')/FE_ESTIMATE(EPS,MEAN,LTMA,,NOW,,,'CURRENCY=USD'),0.5)-1"), "")</f>
        <v>0.14333879493350499</v>
      </c>
      <c r="M25" s="21">
        <f t="array" ref="M25">IFERROR(_xll.FDS($B25,"FF_GROSS_MGN(LTM_R,0)"), "")</f>
        <v>75.208265814995698</v>
      </c>
      <c r="N25" s="21">
        <f t="array" ref="N25">IFERROR(_xll.FDS($B25,"FF_EBITDA_OPER_MGN(LTM_R,0)"), "")</f>
        <v>12.6395755731861</v>
      </c>
      <c r="O25" s="21">
        <f t="array" ref="O25">IFERROR(_xll.FDS($B25,"FF_NET_MGN(LTM_R,0)"), "")</f>
        <v>3.5004361625123002</v>
      </c>
      <c r="P25" s="22">
        <f t="array" ref="P25">IFERROR(_xll.FDS($B25,"FE_VALUATION(NETDEBT_EBITDA,MEAN,NTMA,,NOW,,,'')"), "")</f>
        <v>-0.3382443</v>
      </c>
      <c r="Q25" s="23">
        <f t="array" ref="Q25">IFERROR(_xll.FDS($B25,"FE_VALUATION(MCAP_FCF,MEAN,NTMA,,NOW,,,'')"), "")</f>
        <v>8.8578910000000004</v>
      </c>
      <c r="R25" s="23">
        <f t="array" ref="R25">IFERROR(_xll.FDS($B25,"FE_VALUATION(DIV_YLD,MEAN,NTMA,,NOW,,,'')"), "")</f>
        <v>0</v>
      </c>
      <c r="S25" s="21">
        <f t="array" ref="S25">IFERROR(_xll.FDS($B25,"FE_VALUATION(ROE,MEAN,NTMA,,0,,,'')" ), "")</f>
        <v>29.601130000000001</v>
      </c>
      <c r="T25" s="21">
        <f t="array" ref="T25">IFERROR(_xll.FDS($B25,"FE_VALUATION(ROIC,MEAN,NTMA,,0,,,'')" ), "")</f>
        <v>24.307358000000001</v>
      </c>
      <c r="U25" s="22">
        <f t="array" ref="U25">IFERROR(((_xll.FDS($B25,"FE_ACTUAL(ACTUAL,SALES,ANN_ROLL,0,,,,'CURRENCY=USD')")/_xll.FDS($B25,"FE_ACTUAL(ACTUAL,SALES,ANN_ROLL,-1,,,,'CURRENCY=USD')")-1)*100)+(_xll.FDS($B25,"FE_VALUATION(EBITDA_MARGIN,MEAN,ANN_ROLL,0,NOW,,,'')")  ), "")</f>
        <v>34.72913170295223</v>
      </c>
      <c r="V25" s="24">
        <f t="array" ref="V25">IFERROR(_xll.FDS($B25,"FE_VALUATION(PE,MEAN,NTMA,,0,,,'')" ), "")</f>
        <v>13.24694</v>
      </c>
      <c r="W25" s="24">
        <f t="array" ref="W25">IFERROR(_xll.FDS($B25,"FE_VALUATION(P_SALESPS,MEAN,NTMA,,0,,,'')" ), "")</f>
        <v>2.4851264999999998</v>
      </c>
      <c r="X25" s="24">
        <f t="array" ref="X25">IFERROR(_xll.FDS($B25,"FE_VALUATION(FFEV_SALES,MEAN,NTMA,,0,,,'')" ), "")</f>
        <v>2.9868524000000001</v>
      </c>
      <c r="Y25" s="24">
        <f t="array" ref="Y25">IFERROR(_xll.FDS($B25,"FE_VALUATION(FFEV_EBITDA,MEAN,NTMA,,0,,,'')" ), "")</f>
        <v>10.363648</v>
      </c>
      <c r="Z25" s="20">
        <f t="array" ref="Z25">IFERROR(_xll.FDS($B25,"PERCENT_CHANGE(FE_VALUATION(PE,MEAN,NTMA,,0,,,''),MAX(FE_VALUATION(PE,MEAN,NTMA,,-1AY,0,,'')))")/100,"")</f>
        <v>-0.49880688484386199</v>
      </c>
      <c r="AA25" s="20">
        <f t="array" ref="AA25">IFERROR(_xll.FDS($B25,"PERCENT_CHANGE(FE_VALUATION(FFEV_EBITDA,MEAN,NTMA,,0,,,''),MAX(FE_VALUATION(FFEV_EBITDA,MEAN,NTMA,,-1AY,0,,'')))")/100,"")</f>
        <v>-0.47421938662188901</v>
      </c>
      <c r="AB25" s="20">
        <f t="array" ref="AB25">IFERROR(_xll.FDS($B25,"FG_PRICE(0,,,USD)/P_PRICE_HIGH(-1AY,0,USD,,,""PRICE"",""INTRA"")")-1, "")</f>
        <v>-0.45408762800067104</v>
      </c>
      <c r="AC25" s="20">
        <f t="array" ref="AC25">IFERROR(_xll.FDS($B25,"RTP_PRICE_TARGET(USD)/FG_PRICE(0,,,USD)")-1, "")</f>
        <v>0.71728637761377989</v>
      </c>
      <c r="AD25" s="25">
        <f t="array" ref="AD25">IFERROR(_xll.FDS($B25,"FG_PRICE(0,,,USD)/FG_PRICE_MAVG(0,,,USD,50)")-1, "")</f>
        <v>-0.35291050983170102</v>
      </c>
      <c r="AE25" s="25">
        <f t="array" ref="AE25">IFERROR(_xll.FDS($B25,"FG_PRICE(0,,,USD)/FG_PRICE_MAVG(0,,,USD,100)")-1, "")</f>
        <v>-0.378344124377054</v>
      </c>
      <c r="AF25" s="25">
        <f t="array" ref="AF25">IFERROR(_xll.FDS($B25,"FG_PRICE(0,,,USD)/FG_PRICE_MAVG(0,,,USD,200)")-1, "")</f>
        <v>-0.39162899455803502</v>
      </c>
      <c r="AG25" s="26" t="str">
        <f t="array" ref="AG25">IFERROR(_xll.FDS($B25,"FE_RATING(MEAN,TEXTONLY,0,NOW,,,'')"), "")</f>
        <v>Overweight</v>
      </c>
      <c r="AH25" s="50">
        <f>IFERROR(IF('3 — Weights'!$E$2=1,PERCENTRANK(I$4:I$91,I25),1-PERCENTRANK(I$4:I$91,I25))*100,"")</f>
        <v>12.6</v>
      </c>
      <c r="AI25" s="51">
        <f>IFERROR(IF('3 — Weights'!$E$3=1,PERCENTRANK(J$4:J$91,J25),1-PERCENTRANK(J$4:J$91,J25))*100,"")</f>
        <v>49.4</v>
      </c>
      <c r="AJ25" s="51">
        <f>IFERROR(IF('3 — Weights'!$E$4=1,PERCENTRANK(K$4:K$91,K25),1-PERCENTRANK(K$4:K$91,K25))*100,"")</f>
        <v>37.9</v>
      </c>
      <c r="AK25" s="51">
        <f>IFERROR(IF('3 — Weights'!$E$5=1,PERCENTRANK(L$4:L$91,L25),1-PERCENTRANK(L$4:L$91,L25))*100,"")</f>
        <v>35.699999999999996</v>
      </c>
      <c r="AL25" s="51">
        <f>IFERROR(IF('3 — Weights'!$E$6=1,PERCENTRANK(M$4:M$91,M25),1-PERCENTRANK(M$4:M$91,M25))*100,"")</f>
        <v>56.000000000000007</v>
      </c>
      <c r="AM25" s="51">
        <f>IFERROR(IF('3 — Weights'!$E$7=1,PERCENTRANK(N$4:N$91,N25),1-PERCENTRANK(N$4:N$91,N25))*100,"")</f>
        <v>38.9</v>
      </c>
      <c r="AN25" s="51">
        <f>IFERROR(IF('3 — Weights'!$E$8=1,PERCENTRANK(O$4:O$91,O25),1-PERCENTRANK(O$4:O$91,O25))*100,"")</f>
        <v>33.700000000000003</v>
      </c>
      <c r="AO25" s="51">
        <f>IFERROR(IF('3 — Weights'!$E$9=1,PERCENTRANK(P$4:P$91,P25),1-PERCENTRANK(P$4:P$91,P25))*100,"")</f>
        <v>31.399999999999995</v>
      </c>
      <c r="AP25" s="51">
        <f>IFERROR(IF('3 — Weights'!$E$10=1,PERCENTRANK(Q$4:Q$91,Q25),1-PERCENTRANK(Q$4:Q$91,Q25))*100,"")</f>
        <v>85.7</v>
      </c>
      <c r="AQ25" s="51">
        <f>IFERROR(IF('3 — Weights'!$E$11=1,PERCENTRANK(R$4:R$91,R25),1-PERCENTRANK(R$4:R$91,R25))*100,"")</f>
        <v>0</v>
      </c>
      <c r="AR25" s="51">
        <f>IFERROR(IF('3 — Weights'!$E$12=1,PERCENTRANK(S$4:S$91,S25),1-PERCENTRANK(S$4:S$91,S25))*100,"")</f>
        <v>76.5</v>
      </c>
      <c r="AS25" s="51">
        <f>IFERROR(IF('3 — Weights'!$E$13=1,PERCENTRANK(T$4:T$91,T25),1-PERCENTRANK(T$4:T$91,T25))*100,"")</f>
        <v>75</v>
      </c>
      <c r="AT25" s="51">
        <f>IFERROR(IF('3 — Weights'!$E$14=1,PERCENTRANK(U$4:U$91,U25),1-PERCENTRANK(U$4:U$91,U25))*100,"")</f>
        <v>26.8</v>
      </c>
      <c r="AU25" s="51">
        <f>IFERROR(IF('3 — Weights'!$E$15=1,PERCENTRANK(V$4:V$91,V25),1-PERCENTRANK(V$4:V$91,V25))*100,"")</f>
        <v>81.699999999999989</v>
      </c>
      <c r="AV25" s="51">
        <f>IFERROR(IF('3 — Weights'!$E$16=1,PERCENTRANK(W$4:W$91,W25),1-PERCENTRANK(W$4:W$91,W25))*100,"")</f>
        <v>89.7</v>
      </c>
      <c r="AW25" s="51">
        <f>IFERROR(IF('3 — Weights'!$E$17=1,PERCENTRANK(X$4:X$91,X25),1-PERCENTRANK(X$4:X$91,X25))*100,"")</f>
        <v>74.8</v>
      </c>
      <c r="AX25" s="51">
        <f>IFERROR(IF('3 — Weights'!$E$18=1,PERCENTRANK(Y$4:Y$91,Y25),1-PERCENTRANK(Y$4:Y$91,Y25))*100,"")</f>
        <v>78</v>
      </c>
      <c r="AY25" s="51">
        <f>IFERROR(IF('3 — Weights'!$E$18=1,PERCENTRANK(Z$4:Z$91,Z25),1-PERCENTRANK(Z$4:Z$91,Z25))*100,"")</f>
        <v>48.3</v>
      </c>
      <c r="AZ25" s="51">
        <f>IFERROR(IF('3 — Weights'!$E$18=1,PERCENTRANK(AA$4:AA$91,AA25),1-PERCENTRANK(AA$4:AA$91,AA25))*100,"")</f>
        <v>38.4</v>
      </c>
      <c r="BA25" s="51">
        <f>IFERROR(IF('3 — Weights'!$E$21=1,PERCENTRANK(AB$4:AB$91,AB25),1-PERCENTRANK(AB$4:AB$91,AB25))*100,"")</f>
        <v>45.9</v>
      </c>
      <c r="BB25" s="51">
        <f>IFERROR(IF('3 — Weights'!$E$22=1,PERCENTRANK(AC$4:AC$91,AC25),1-PERCENTRANK(AC$4:AC$91,AC25))*100,"")</f>
        <v>77</v>
      </c>
      <c r="BC25" s="51">
        <f>IFERROR(IF('3 — Weights'!$E$23=1,PERCENTRANK(AD$4:AD$91,AD25),1-PERCENTRANK(AD$4:AD$91,AD25))*100,"")</f>
        <v>98.9</v>
      </c>
      <c r="BD25" s="51">
        <f>IFERROR(IF('3 — Weights'!$E$24=1,PERCENTRANK(AE$4:AE$91,AE25),1-PERCENTRANK(AE$4:AE$91,AE25))*100,"")</f>
        <v>94.3</v>
      </c>
      <c r="BE25" s="51">
        <f>IFERROR(IF('3 — Weights'!$E$25=1,PERCENTRANK(AF$4:AF$91,AF25),1-PERCENTRANK(AF$4:AF$91,AF25))*100,"")</f>
        <v>79.400000000000006</v>
      </c>
      <c r="BF25" s="52" cm="1">
        <f t="array" ref="BF25">IFERROR(SUMPRODUCT(TRANSPOSE(AH25:BE25), [1]!Table2[Weight
Claude]),"")</f>
        <v>55.040000000000006</v>
      </c>
      <c r="BG25" s="53" cm="1">
        <f t="array" ref="BG25">IFERROR(SUMPRODUCT(TRANSPOSE(AH25:BE25), [1]!Table2[Weight
Cape IMC]),"")</f>
        <v>55.040000000000006</v>
      </c>
    </row>
    <row r="26" spans="1:59" ht="22.5" customHeight="1" x14ac:dyDescent="0.25">
      <c r="A26" s="17">
        <f t="shared" si="0"/>
        <v>23</v>
      </c>
      <c r="B26" s="18" t="s">
        <v>123</v>
      </c>
      <c r="C26" s="18" t="s">
        <v>124</v>
      </c>
      <c r="D26" s="18" t="str">
        <f t="array" ref="D26">IFERROR(_xll.FDS($B26,"FR_RBICS_NAME_CURR(""IND"")"), "")</f>
        <v>Other Real Estate Investment and Services</v>
      </c>
      <c r="E26" s="18" t="str">
        <f t="array" ref="E26">PROPER(IFERROR(_xll.FDS($B26,"P_DCOUNTRY"), ""))</f>
        <v>United States</v>
      </c>
      <c r="F26" s="19">
        <f t="array" ref="F26">IFERROR(_xll.FDS($B26,"FCS_EV_DAILY(MV,NOW,,,USD,M)"), "")</f>
        <v>8415.6043389099996</v>
      </c>
      <c r="G26" s="19">
        <f t="array" ref="G26">IFERROR(_xll.FDS($B26,"AVG(P_VOLUME_FRQ(-1AM,NOW,D,,6))*P_PRICE_AVG(-1AM,NOW,,USD)"), "")</f>
        <v>176.84929503421299</v>
      </c>
      <c r="H26" s="20">
        <f t="array" ref="H26">IFERROR(_xll.FDS($B26,"OS_SEC_FLT_PCT(0D,,MTD,SEC)")/100, "")</f>
        <v>0.80417400000000006</v>
      </c>
      <c r="I26" s="19">
        <f t="array" ref="I26">IFERROR(_xll.FDS($B26,"FE_ACTUAL(ACTUAL,SALES,ANN_ROLL,0,,,,'CURRENCY=USD')"), "")</f>
        <v>1322.509</v>
      </c>
      <c r="J26" s="19">
        <f t="array" ref="J26">IFERROR(_xll.FDS($B26,"FE_ACTUAL(ACTUAL,EPS,ANN_ROLL,0,,,,'CURRENCY=USD')"), "")</f>
        <v>1.36</v>
      </c>
      <c r="K26" s="20">
        <f t="array" ref="K26">IFERROR(_xll.FDS($B26,"POW(FE_ESTIMATE(SALES,MEAN,STMA,,NOW,,,'CURRENCY=USD')/FE_ESTIMATE(SALES,MEAN,LTMA,,NOW,,,'CURRENCY=USD'),0.5)-1"), "")</f>
        <v>0.13143713921719899</v>
      </c>
      <c r="L26" s="20">
        <f t="array" ref="L26">IFERROR(_xll.FDS($B26,"POW(FE_ESTIMATE(EPS,MEAN,STMA,,NOW,,,'CURRENCY=USD')/FE_ESTIMATE(EPS,MEAN,LTMA,,NOW,,,'CURRENCY=USD'),0.5)-1"), "")</f>
        <v>0.28079280135391099</v>
      </c>
      <c r="M26" s="21">
        <f t="array" ref="M26">IFERROR(_xll.FDS($B26,"FF_GROSS_MGN(LTM_R,0)"), "")</f>
        <v>78.437878305554094</v>
      </c>
      <c r="N26" s="21">
        <f t="array" ref="N26">IFERROR(_xll.FDS($B26,"FF_EBITDA_OPER_MGN(LTM_R,0)"), "")</f>
        <v>-0.54366359699631495</v>
      </c>
      <c r="O26" s="21">
        <f t="array" ref="O26">IFERROR(_xll.FDS($B26,"FF_NET_MGN(LTM_R,0)"), "")</f>
        <v>-7.6205908617635103</v>
      </c>
      <c r="P26" s="22">
        <f t="array" ref="P26">IFERROR(_xll.FDS($B26,"FE_VALUATION(NETDEBT_EBITDA,MEAN,NTMA,,NOW,,,'')"), "")</f>
        <v>-2.4706285000000001</v>
      </c>
      <c r="Q26" s="23">
        <f t="array" ref="Q26">IFERROR(_xll.FDS($B26,"FE_VALUATION(MCAP_FCF,MEAN,NTMA,,NOW,,,'')"), "")</f>
        <v>3.717819</v>
      </c>
      <c r="R26" s="23">
        <f t="array" ref="R26">IFERROR(_xll.FDS($B26,"FE_VALUATION(DIV_YLD,MEAN,NTMA,,NOW,,,'')"), "")</f>
        <v>0</v>
      </c>
      <c r="S26" s="21">
        <f t="array" ref="S26">IFERROR(_xll.FDS($B26,"FE_VALUATION(ROE,MEAN,NTMA,,0,,,'')" ), "")</f>
        <v>19.207015999999999</v>
      </c>
      <c r="T26" s="21">
        <f t="array" ref="T26">IFERROR(_xll.FDS($B26,"FE_VALUATION(ROIC,MEAN,NTMA,,0,,,'')" ), "")</f>
        <v>19.590344999999999</v>
      </c>
      <c r="U26" s="22">
        <f t="array" ref="U26">IFERROR(((_xll.FDS($B26,"FE_ACTUAL(ACTUAL,SALES,ANN_ROLL,0,,,,'CURRENCY=USD')")/_xll.FDS($B26,"FE_ACTUAL(ACTUAL,SALES,ANN_ROLL,-1,,,,'CURRENCY=USD')")-1)*100)+(_xll.FDS($B26,"FE_VALUATION(EBITDA_MARGIN,MEAN,ANN_ROLL,0,NOW,,,'')")  ), "")</f>
        <v>35.984016747001846</v>
      </c>
      <c r="V26" s="24">
        <f t="array" ref="V26">IFERROR(_xll.FDS($B26,"FE_VALUATION(PE,MEAN,NTMA,,0,,,'')" ), "")</f>
        <v>27.195677</v>
      </c>
      <c r="W26" s="24">
        <f t="array" ref="W26">IFERROR(_xll.FDS($B26,"FE_VALUATION(P_SALESPS,MEAN,NTMA,,0,,,'')" ), "")</f>
        <v>5.1945920000000001</v>
      </c>
      <c r="X26" s="24">
        <f t="array" ref="X26">IFERROR(_xll.FDS($B26,"FE_VALUATION(FFEV_SALES,MEAN,NTMA,,0,,,'')" ), "")</f>
        <v>4.5630727000000002</v>
      </c>
      <c r="Y26" s="24">
        <f t="array" ref="Y26">IFERROR(_xll.FDS($B26,"FE_VALUATION(FFEV_EBITDA,MEAN,NTMA,,0,,,'')" ), "")</f>
        <v>18.264769999999999</v>
      </c>
      <c r="Z26" s="20">
        <f t="array" ref="Z26">IFERROR(_xll.FDS($B26,"PERCENT_CHANGE(FE_VALUATION(PE,MEAN,NTMA,,0,,,''),MAX(FE_VALUATION(PE,MEAN,NTMA,,-1AY,0,,'')))")/100,"")</f>
        <v>-0.562793289552875</v>
      </c>
      <c r="AA26" s="20">
        <f t="array" ref="AA26">IFERROR(_xll.FDS($B26,"PERCENT_CHANGE(FE_VALUATION(FFEV_EBITDA,MEAN,NTMA,,0,,,''),MAX(FE_VALUATION(FFEV_EBITDA,MEAN,NTMA,,-1AY,0,,'')))")/100,"")</f>
        <v>-0.57432233371344599</v>
      </c>
      <c r="AB26" s="20">
        <f t="array" ref="AB26">IFERROR(_xll.FDS($B26,"FG_PRICE(0,,,USD)/P_PRICE_HIGH(-1AY,0,USD,,,""PRICE"",""INTRA"")")-1, "")</f>
        <v>-0.38251531881332301</v>
      </c>
      <c r="AC26" s="20">
        <f t="array" ref="AC26">IFERROR(_xll.FDS($B26,"RTP_PRICE_TARGET(USD)/FG_PRICE(0,,,USD)")-1, "")</f>
        <v>0.42573314993122002</v>
      </c>
      <c r="AD26" s="25">
        <f t="array" ref="AD26">IFERROR(_xll.FDS($B26,"FG_PRICE(0,,,USD)/FG_PRICE_MAVG(0,,,USD,50)")-1, "")</f>
        <v>-0.20976542968325396</v>
      </c>
      <c r="AE26" s="25">
        <f t="array" ref="AE26">IFERROR(_xll.FDS($B26,"FG_PRICE(0,,,USD)/FG_PRICE_MAVG(0,,,USD,100)")-1, "")</f>
        <v>-0.26427535676645497</v>
      </c>
      <c r="AF26" s="25">
        <f t="array" ref="AF26">IFERROR(_xll.FDS($B26,"FG_PRICE(0,,,USD)/FG_PRICE_MAVG(0,,,USD,200)")-1, "")</f>
        <v>-0.26385923495750097</v>
      </c>
      <c r="AG26" s="26" t="str">
        <f t="array" ref="AG26">IFERROR(_xll.FDS($B26,"FE_RATING(MEAN,TEXTONLY,0,NOW,,,'')"), "")</f>
        <v>Overweight</v>
      </c>
      <c r="AH26" s="50">
        <f>IFERROR(IF('3 — Weights'!$E$2=1,PERCENTRANK(I$4:I$91,I26),1-PERCENTRANK(I$4:I$91,I26))*100,"")</f>
        <v>44.800000000000004</v>
      </c>
      <c r="AI26" s="51">
        <f>IFERROR(IF('3 — Weights'!$E$3=1,PERCENTRANK(J$4:J$91,J26),1-PERCENTRANK(J$4:J$91,J26))*100,"")</f>
        <v>36.700000000000003</v>
      </c>
      <c r="AJ26" s="51">
        <f>IFERROR(IF('3 — Weights'!$E$4=1,PERCENTRANK(K$4:K$91,K26),1-PERCENTRANK(K$4:K$91,K26))*100,"")</f>
        <v>52.800000000000004</v>
      </c>
      <c r="AK26" s="51">
        <f>IFERROR(IF('3 — Weights'!$E$5=1,PERCENTRANK(L$4:L$91,L26),1-PERCENTRANK(L$4:L$91,L26))*100,"")</f>
        <v>82.1</v>
      </c>
      <c r="AL26" s="51">
        <f>IFERROR(IF('3 — Weights'!$E$6=1,PERCENTRANK(M$4:M$91,M26),1-PERCENTRANK(M$4:M$91,M26))*100,"")</f>
        <v>73.099999999999994</v>
      </c>
      <c r="AM26" s="51">
        <f>IFERROR(IF('3 — Weights'!$E$7=1,PERCENTRANK(N$4:N$91,N26),1-PERCENTRANK(N$4:N$91,N26))*100,"")</f>
        <v>16.8</v>
      </c>
      <c r="AN26" s="51">
        <f>IFERROR(IF('3 — Weights'!$E$8=1,PERCENTRANK(O$4:O$91,O26),1-PERCENTRANK(O$4:O$91,O26))*100,"")</f>
        <v>13.200000000000001</v>
      </c>
      <c r="AO26" s="51">
        <f>IFERROR(IF('3 — Weights'!$E$9=1,PERCENTRANK(P$4:P$91,P26),1-PERCENTRANK(P$4:P$91,P26))*100,"")</f>
        <v>74.7</v>
      </c>
      <c r="AP26" s="51">
        <f>IFERROR(IF('3 — Weights'!$E$10=1,PERCENTRANK(Q$4:Q$91,Q26),1-PERCENTRANK(Q$4:Q$91,Q26))*100,"")</f>
        <v>30.9</v>
      </c>
      <c r="AQ26" s="51">
        <f>IFERROR(IF('3 — Weights'!$E$11=1,PERCENTRANK(R$4:R$91,R26),1-PERCENTRANK(R$4:R$91,R26))*100,"")</f>
        <v>0</v>
      </c>
      <c r="AR26" s="51">
        <f>IFERROR(IF('3 — Weights'!$E$12=1,PERCENTRANK(S$4:S$91,S26),1-PERCENTRANK(S$4:S$91,S26))*100,"")</f>
        <v>44.4</v>
      </c>
      <c r="AS26" s="51">
        <f>IFERROR(IF('3 — Weights'!$E$13=1,PERCENTRANK(T$4:T$91,T26),1-PERCENTRANK(T$4:T$91,T26))*100,"")</f>
        <v>62.5</v>
      </c>
      <c r="AT26" s="51">
        <f>IFERROR(IF('3 — Weights'!$E$14=1,PERCENTRANK(U$4:U$91,U26),1-PERCENTRANK(U$4:U$91,U26))*100,"")</f>
        <v>29.2</v>
      </c>
      <c r="AU26" s="51">
        <f>IFERROR(IF('3 — Weights'!$E$15=1,PERCENTRANK(V$4:V$91,V26),1-PERCENTRANK(V$4:V$91,V26))*100,"")</f>
        <v>33.4</v>
      </c>
      <c r="AV26" s="51">
        <f>IFERROR(IF('3 — Weights'!$E$16=1,PERCENTRANK(W$4:W$91,W26),1-PERCENTRANK(W$4:W$91,W26))*100,"")</f>
        <v>44.9</v>
      </c>
      <c r="AW26" s="51">
        <f>IFERROR(IF('3 — Weights'!$E$17=1,PERCENTRANK(X$4:X$91,X26),1-PERCENTRANK(X$4:X$91,X26))*100,"")</f>
        <v>54.099999999999994</v>
      </c>
      <c r="AX26" s="51">
        <f>IFERROR(IF('3 — Weights'!$E$18=1,PERCENTRANK(Y$4:Y$91,Y26),1-PERCENTRANK(Y$4:Y$91,Y26))*100,"")</f>
        <v>34.9</v>
      </c>
      <c r="AY26" s="51">
        <f>IFERROR(IF('3 — Weights'!$E$18=1,PERCENTRANK(Z$4:Z$91,Z26),1-PERCENTRANK(Z$4:Z$91,Z26))*100,"")</f>
        <v>59.8</v>
      </c>
      <c r="AZ26" s="51">
        <f>IFERROR(IF('3 — Weights'!$E$18=1,PERCENTRANK(AA$4:AA$91,AA26),1-PERCENTRANK(AA$4:AA$91,AA26))*100,"")</f>
        <v>68.7</v>
      </c>
      <c r="BA26" s="51">
        <f>IFERROR(IF('3 — Weights'!$E$21=1,PERCENTRANK(AB$4:AB$91,AB26),1-PERCENTRANK(AB$4:AB$91,AB26))*100,"")</f>
        <v>64.3</v>
      </c>
      <c r="BB26" s="51">
        <f>IFERROR(IF('3 — Weights'!$E$22=1,PERCENTRANK(AC$4:AC$91,AC26),1-PERCENTRANK(AC$4:AC$91,AC26))*100,"")</f>
        <v>35.6</v>
      </c>
      <c r="BC26" s="51">
        <f>IFERROR(IF('3 — Weights'!$E$23=1,PERCENTRANK(AD$4:AD$91,AD26),1-PERCENTRANK(AD$4:AD$91,AD26))*100,"")</f>
        <v>63.3</v>
      </c>
      <c r="BD26" s="51">
        <f>IFERROR(IF('3 — Weights'!$E$24=1,PERCENTRANK(AE$4:AE$91,AE26),1-PERCENTRANK(AE$4:AE$91,AE26))*100,"")</f>
        <v>55.2</v>
      </c>
      <c r="BE26" s="51">
        <f>IFERROR(IF('3 — Weights'!$E$25=1,PERCENTRANK(AF$4:AF$91,AF26),1-PERCENTRANK(AF$4:AF$91,AF26))*100,"")</f>
        <v>48.3</v>
      </c>
      <c r="BF26" s="52" cm="1">
        <f t="array" ref="BF26">IFERROR(SUMPRODUCT(TRANSPOSE(AH26:BE26), [1]!Table2[Weight
Claude]),"")</f>
        <v>54.85</v>
      </c>
      <c r="BG26" s="53" cm="1">
        <f t="array" ref="BG26">IFERROR(SUMPRODUCT(TRANSPOSE(AH26:BE26), [1]!Table2[Weight
Cape IMC]),"")</f>
        <v>54.85</v>
      </c>
    </row>
    <row r="27" spans="1:59" ht="22.5" customHeight="1" x14ac:dyDescent="0.25">
      <c r="A27" s="17">
        <f t="shared" si="0"/>
        <v>25</v>
      </c>
      <c r="B27" s="18" t="s">
        <v>125</v>
      </c>
      <c r="C27" s="18" t="s">
        <v>126</v>
      </c>
      <c r="D27" s="18" t="str">
        <f t="array" ref="D27">IFERROR(_xll.FDS($B27,"FR_RBICS_NAME_CURR(""IND"")"), "")</f>
        <v>Finance Industry Software</v>
      </c>
      <c r="E27" s="18" t="str">
        <f t="array" ref="E27">PROPER(IFERROR(_xll.FDS($B27,"P_DCOUNTRY"), ""))</f>
        <v>United States</v>
      </c>
      <c r="F27" s="19">
        <f t="array" ref="F27">IFERROR(_xll.FDS($B27,"FCS_EV_DAILY(MV,NOW,,,USD,M)"), "")</f>
        <v>1864.95695148</v>
      </c>
      <c r="G27" s="19">
        <f t="array" ref="G27">IFERROR(_xll.FDS($B27,"AVG(P_VOLUME_FRQ(-1AM,NOW,D,,6))*P_PRICE_AVG(-1AM,NOW,,USD)"), "")</f>
        <v>50.811795013217399</v>
      </c>
      <c r="H27" s="20">
        <f t="array" ref="H27">IFERROR(_xll.FDS($B27,"OS_SEC_FLT_PCT(0D,,MTD,SEC)")/100, "")</f>
        <v>0.89667799999999998</v>
      </c>
      <c r="I27" s="19">
        <f t="array" ref="I27">IFERROR(_xll.FDS($B27,"FE_ACTUAL(ACTUAL,SALES,ANN_ROLL,0,,,,'CURRENCY=USD')"), "")</f>
        <v>504.12</v>
      </c>
      <c r="J27" s="19">
        <f t="array" ref="J27">IFERROR(_xll.FDS($B27,"FE_ACTUAL(ACTUAL,EPS,ANN_ROLL,0,,,,'CURRENCY=USD')"), "")</f>
        <v>0.94</v>
      </c>
      <c r="K27" s="20">
        <f t="array" ref="K27">IFERROR(_xll.FDS($B27,"POW(FE_ESTIMATE(SALES,MEAN,STMA,,NOW,,,'CURRENCY=USD')/FE_ESTIMATE(SALES,MEAN,LTMA,,NOW,,,'CURRENCY=USD'),0.5)-1"), "")</f>
        <v>0.130896635418109</v>
      </c>
      <c r="L27" s="20">
        <f t="array" ref="L27">IFERROR(_xll.FDS($B27,"POW(FE_ESTIMATE(EPS,MEAN,STMA,,NOW,,,'CURRENCY=USD')/FE_ESTIMATE(EPS,MEAN,LTMA,,NOW,,,'CURRENCY=USD'),0.5)-1"), "")</f>
        <v>0.19738531809939899</v>
      </c>
      <c r="M27" s="21">
        <f t="array" ref="M27">IFERROR(_xll.FDS($B27,"FF_GROSS_MGN(LTM_R,0)"), "")</f>
        <v>73.906809903909306</v>
      </c>
      <c r="N27" s="21">
        <f t="array" ref="N27">IFERROR(_xll.FDS($B27,"FF_EBITDA_OPER_MGN(LTM_R,0)"), "")</f>
        <v>-0.95207245541934105</v>
      </c>
      <c r="O27" s="21">
        <f t="array" ref="O27">IFERROR(_xll.FDS($B27,"FF_NET_MGN(LTM_R,0)"), "")</f>
        <v>-4.3742327562249104</v>
      </c>
      <c r="P27" s="22">
        <f t="array" ref="P27">IFERROR(_xll.FDS($B27,"FE_VALUATION(NETDEBT_EBITDA,MEAN,NTMA,,NOW,,,'')"), "")</f>
        <v>-2.1536295000000001</v>
      </c>
      <c r="Q27" s="23">
        <f t="array" ref="Q27">IFERROR(_xll.FDS($B27,"FE_VALUATION(MCAP_FCF,MEAN,NTMA,,NOW,,,'')"), "")</f>
        <v>8.0861809999999998</v>
      </c>
      <c r="R27" s="23">
        <f t="array" ref="R27">IFERROR(_xll.FDS($B27,"FE_VALUATION(DIV_YLD,MEAN,NTMA,,NOW,,,'')"), "")</f>
        <v>0</v>
      </c>
      <c r="S27" s="21">
        <f t="array" ref="S27">IFERROR(_xll.FDS($B27,"FE_VALUATION(ROE,MEAN,NTMA,,0,,,'')" ), "")</f>
        <v>21.655949</v>
      </c>
      <c r="T27" s="21" t="str">
        <f t="array" ref="T27">IFERROR(_xll.FDS($B27,"FE_VALUATION(ROIC,MEAN,NTMA,,0,,,'')" ), "")</f>
        <v/>
      </c>
      <c r="U27" s="22">
        <f t="array" ref="U27">IFERROR(((_xll.FDS($B27,"FE_ACTUAL(ACTUAL,SALES,ANN_ROLL,0,,,,'CURRENCY=USD')")/_xll.FDS($B27,"FE_ACTUAL(ACTUAL,SALES,ANN_ROLL,-1,,,,'CURRENCY=USD')")-1)*100)+(_xll.FDS($B27,"FE_VALUATION(EBITDA_MARGIN,MEAN,ANN_ROLL,0,NOW,,,'')")  ), "")</f>
        <v>34.691446360847138</v>
      </c>
      <c r="V27" s="24">
        <f t="array" ref="V27">IFERROR(_xll.FDS($B27,"FE_VALUATION(PE,MEAN,NTMA,,0,,,'')" ), "")</f>
        <v>15.418243</v>
      </c>
      <c r="W27" s="24">
        <f t="array" ref="W27">IFERROR(_xll.FDS($B27,"FE_VALUATION(P_SALESPS,MEAN,NTMA,,0,,,'')" ), "")</f>
        <v>2.7535683999999998</v>
      </c>
      <c r="X27" s="24">
        <f t="array" ref="X27">IFERROR(_xll.FDS($B27,"FE_VALUATION(FFEV_SALES,MEAN,NTMA,,0,,,'')" ), "")</f>
        <v>2.5037433999999998</v>
      </c>
      <c r="Y27" s="24">
        <f t="array" ref="Y27">IFERROR(_xll.FDS($B27,"FE_VALUATION(FFEV_EBITDA,MEAN,NTMA,,0,,,'')" ), "")</f>
        <v>11.803597</v>
      </c>
      <c r="Z27" s="20">
        <f t="array" ref="Z27">IFERROR(_xll.FDS($B27,"PERCENT_CHANGE(FE_VALUATION(PE,MEAN,NTMA,,0,,,''),MAX(FE_VALUATION(PE,MEAN,NTMA,,-1AY,0,,'')))")/100,"")</f>
        <v>-0.77603812782562598</v>
      </c>
      <c r="AA27" s="20">
        <f t="array" ref="AA27">IFERROR(_xll.FDS($B27,"PERCENT_CHANGE(FE_VALUATION(FFEV_EBITDA,MEAN,NTMA,,0,,,''),MAX(FE_VALUATION(FFEV_EBITDA,MEAN,NTMA,,-1AY,0,,'')))")/100,"")</f>
        <v>-0.75508802597466895</v>
      </c>
      <c r="AB27" s="20">
        <f t="array" ref="AB27">IFERROR(_xll.FDS($B27,"FG_PRICE(0,,,USD)/P_PRICE_HIGH(-1AY,0,USD,,,""PRICE"",""INTRA"")")-1, "")</f>
        <v>-0.68535963010571099</v>
      </c>
      <c r="AC27" s="20">
        <f t="array" ref="AC27">IFERROR(_xll.FDS($B27,"RTP_PRICE_TARGET(USD)/FG_PRICE(0,,,USD)")-1, "")</f>
        <v>0.99929643527204992</v>
      </c>
      <c r="AD27" s="25">
        <f t="array" ref="AD27">IFERROR(_xll.FDS($B27,"FG_PRICE(0,,,USD)/FG_PRICE_MAVG(0,,,USD,50)")-1, "")</f>
        <v>-0.41720608817354798</v>
      </c>
      <c r="AE27" s="25">
        <f t="array" ref="AE27">IFERROR(_xll.FDS($B27,"FG_PRICE(0,,,USD)/FG_PRICE_MAVG(0,,,USD,100)")-1, "")</f>
        <v>-0.44520342974615201</v>
      </c>
      <c r="AF27" s="25">
        <f t="array" ref="AF27">IFERROR(_xll.FDS($B27,"FG_PRICE(0,,,USD)/FG_PRICE_MAVG(0,,,USD,200)")-1, "")</f>
        <v>-0.50380986515358206</v>
      </c>
      <c r="AG27" s="26" t="str">
        <f t="array" ref="AG27">IFERROR(_xll.FDS($B27,"FE_RATING(MEAN,TEXTONLY,0,NOW,,,'')"), "")</f>
        <v>Overweight</v>
      </c>
      <c r="AH27" s="50">
        <f>IFERROR(IF('3 — Weights'!$E$2=1,PERCENTRANK(I$4:I$91,I27),1-PERCENTRANK(I$4:I$91,I27))*100,"")</f>
        <v>6.8000000000000007</v>
      </c>
      <c r="AI27" s="51">
        <f>IFERROR(IF('3 — Weights'!$E$3=1,PERCENTRANK(J$4:J$91,J27),1-PERCENTRANK(J$4:J$91,J27))*100,"")</f>
        <v>32.1</v>
      </c>
      <c r="AJ27" s="51">
        <f>IFERROR(IF('3 — Weights'!$E$4=1,PERCENTRANK(K$4:K$91,K27),1-PERCENTRANK(K$4:K$91,K27))*100,"")</f>
        <v>51.7</v>
      </c>
      <c r="AK27" s="51">
        <f>IFERROR(IF('3 — Weights'!$E$5=1,PERCENTRANK(L$4:L$91,L27),1-PERCENTRANK(L$4:L$91,L27))*100,"")</f>
        <v>64.2</v>
      </c>
      <c r="AL27" s="51">
        <f>IFERROR(IF('3 — Weights'!$E$6=1,PERCENTRANK(M$4:M$91,M27),1-PERCENTRANK(M$4:M$91,M27))*100,"")</f>
        <v>47.5</v>
      </c>
      <c r="AM27" s="51">
        <f>IFERROR(IF('3 — Weights'!$E$7=1,PERCENTRANK(N$4:N$91,N27),1-PERCENTRANK(N$4:N$91,N27))*100,"")</f>
        <v>15.5</v>
      </c>
      <c r="AN27" s="51">
        <f>IFERROR(IF('3 — Weights'!$E$8=1,PERCENTRANK(O$4:O$91,O27),1-PERCENTRANK(O$4:O$91,O27))*100,"")</f>
        <v>18</v>
      </c>
      <c r="AO27" s="51">
        <f>IFERROR(IF('3 — Weights'!$E$9=1,PERCENTRANK(P$4:P$91,P27),1-PERCENTRANK(P$4:P$91,P27))*100,"")</f>
        <v>67.5</v>
      </c>
      <c r="AP27" s="51">
        <f>IFERROR(IF('3 — Weights'!$E$10=1,PERCENTRANK(Q$4:Q$91,Q27),1-PERCENTRANK(Q$4:Q$91,Q27))*100,"")</f>
        <v>79.7</v>
      </c>
      <c r="AQ27" s="51">
        <f>IFERROR(IF('3 — Weights'!$E$11=1,PERCENTRANK(R$4:R$91,R27),1-PERCENTRANK(R$4:R$91,R27))*100,"")</f>
        <v>0</v>
      </c>
      <c r="AR27" s="51">
        <f>IFERROR(IF('3 — Weights'!$E$12=1,PERCENTRANK(S$4:S$91,S27),1-PERCENTRANK(S$4:S$91,S27))*100,"")</f>
        <v>49.3</v>
      </c>
      <c r="AS27" s="51" t="str">
        <f>IFERROR(IF('3 — Weights'!$E$13=1,PERCENTRANK(T$4:T$91,T27),1-PERCENTRANK(T$4:T$91,T27))*100,"")</f>
        <v/>
      </c>
      <c r="AT27" s="51">
        <f>IFERROR(IF('3 — Weights'!$E$14=1,PERCENTRANK(U$4:U$91,U27),1-PERCENTRANK(U$4:U$91,U27))*100,"")</f>
        <v>24.3</v>
      </c>
      <c r="AU27" s="51">
        <f>IFERROR(IF('3 — Weights'!$E$15=1,PERCENTRANK(V$4:V$91,V27),1-PERCENTRANK(V$4:V$91,V27))*100,"")</f>
        <v>73.599999999999994</v>
      </c>
      <c r="AV27" s="51">
        <f>IFERROR(IF('3 — Weights'!$E$16=1,PERCENTRANK(W$4:W$91,W27),1-PERCENTRANK(W$4:W$91,W27))*100,"")</f>
        <v>81.699999999999989</v>
      </c>
      <c r="AW27" s="51">
        <f>IFERROR(IF('3 — Weights'!$E$17=1,PERCENTRANK(X$4:X$91,X27),1-PERCENTRANK(X$4:X$91,X27))*100,"")</f>
        <v>88.6</v>
      </c>
      <c r="AX27" s="51">
        <f>IFERROR(IF('3 — Weights'!$E$18=1,PERCENTRANK(Y$4:Y$91,Y27),1-PERCENTRANK(Y$4:Y$91,Y27))*100,"")</f>
        <v>72.099999999999994</v>
      </c>
      <c r="AY27" s="51">
        <f>IFERROR(IF('3 — Weights'!$E$18=1,PERCENTRANK(Z$4:Z$91,Z27),1-PERCENTRANK(Z$4:Z$91,Z27))*100,"")</f>
        <v>96.6</v>
      </c>
      <c r="AZ27" s="51">
        <f>IFERROR(IF('3 — Weights'!$E$18=1,PERCENTRANK(AA$4:AA$91,AA27),1-PERCENTRANK(AA$4:AA$91,AA27))*100,"")</f>
        <v>96.6</v>
      </c>
      <c r="BA27" s="51">
        <f>IFERROR(IF('3 — Weights'!$E$21=1,PERCENTRANK(AB$4:AB$91,AB27),1-PERCENTRANK(AB$4:AB$91,AB27))*100,"")</f>
        <v>1.0999999999999999</v>
      </c>
      <c r="BB27" s="51">
        <f>IFERROR(IF('3 — Weights'!$E$22=1,PERCENTRANK(AC$4:AC$91,AC27),1-PERCENTRANK(AC$4:AC$91,AC27))*100,"")</f>
        <v>91.9</v>
      </c>
      <c r="BC27" s="51">
        <f>IFERROR(IF('3 — Weights'!$E$23=1,PERCENTRANK(AD$4:AD$91,AD27),1-PERCENTRANK(AD$4:AD$91,AD27))*100,"")</f>
        <v>100</v>
      </c>
      <c r="BD27" s="51">
        <f>IFERROR(IF('3 — Weights'!$E$24=1,PERCENTRANK(AE$4:AE$91,AE27),1-PERCENTRANK(AE$4:AE$91,AE27))*100,"")</f>
        <v>100</v>
      </c>
      <c r="BE27" s="51">
        <f>IFERROR(IF('3 — Weights'!$E$25=1,PERCENTRANK(AF$4:AF$91,AF27),1-PERCENTRANK(AF$4:AF$91,AF27))*100,"")</f>
        <v>98.9</v>
      </c>
      <c r="BF27" s="52" cm="1">
        <f t="array" ref="BF27">IFERROR(SUMPRODUCT(TRANSPOSE(AH27:BE27), [1]!Table2[Weight
Claude]),"")</f>
        <v>53.724999999999994</v>
      </c>
      <c r="BG27" s="53" cm="1">
        <f t="array" ref="BG27">IFERROR(SUMPRODUCT(TRANSPOSE(AH27:BE27), [1]!Table2[Weight
Cape IMC]),"")</f>
        <v>53.724999999999994</v>
      </c>
    </row>
    <row r="28" spans="1:59" ht="22.5" customHeight="1" x14ac:dyDescent="0.25">
      <c r="A28" s="17">
        <f t="shared" si="0"/>
        <v>27</v>
      </c>
      <c r="B28" s="18" t="s">
        <v>127</v>
      </c>
      <c r="C28" s="18" t="s">
        <v>128</v>
      </c>
      <c r="D28" s="18" t="str">
        <f t="array" ref="D28">IFERROR(_xll.FDS($B28,"FR_RBICS_NAME_CURR(""IND"")"), "")</f>
        <v>Network Infrastructure Software</v>
      </c>
      <c r="E28" s="18" t="str">
        <f t="array" ref="E28">PROPER(IFERROR(_xll.FDS($B28,"P_DCOUNTRY"), ""))</f>
        <v>United States</v>
      </c>
      <c r="F28" s="19">
        <f t="array" ref="F28">IFERROR(_xll.FDS($B28,"FCS_EV_DAILY(MV,NOW,,,USD,M)"), "")</f>
        <v>25422.148586880001</v>
      </c>
      <c r="G28" s="19">
        <f t="array" ref="G28">IFERROR(_xll.FDS($B28,"AVG(P_VOLUME_FRQ(-1AM,NOW,D,,6))*P_PRICE_AVG(-1AM,NOW,,USD)"), "")</f>
        <v>481.732682812174</v>
      </c>
      <c r="H28" s="20">
        <f t="array" ref="H28">IFERROR(_xll.FDS($B28,"OS_SEC_FLT_PCT(0D,,MTD,SEC)")/100, "")</f>
        <v>0.64312600000000009</v>
      </c>
      <c r="I28" s="19">
        <f t="array" ref="I28">IFERROR(_xll.FDS($B28,"FE_ACTUAL(ACTUAL,SALES,ANN_ROLL,0,,,,'CURRENCY=USD')"), "")</f>
        <v>2673.1149999999998</v>
      </c>
      <c r="J28" s="19">
        <f t="array" ref="J28">IFERROR(_xll.FDS($B28,"FE_ACTUAL(ACTUAL,EPS,ANN_ROLL,0,,,,'CURRENCY=USD')"), "")</f>
        <v>3.28</v>
      </c>
      <c r="K28" s="20">
        <f t="array" ref="K28">IFERROR(_xll.FDS($B28,"POW(FE_ESTIMATE(SALES,MEAN,STMA,,NOW,,,'CURRENCY=USD')/FE_ESTIMATE(SALES,MEAN,LTMA,,NOW,,,'CURRENCY=USD'),0.5)-1"), "")</f>
        <v>0.20160825563076101</v>
      </c>
      <c r="L28" s="20">
        <f t="array" ref="L28">IFERROR(_xll.FDS($B28,"POW(FE_ESTIMATE(EPS,MEAN,STMA,,NOW,,,'CURRENCY=USD')/FE_ESTIMATE(EPS,MEAN,LTMA,,NOW,,,'CURRENCY=USD'),0.5)-1"), "")</f>
        <v>0.183890324312181</v>
      </c>
      <c r="M28" s="21">
        <f t="array" ref="M28">IFERROR(_xll.FDS($B28,"FF_GROSS_MGN(LTM_R,0)"), "")</f>
        <v>76.5472570229756</v>
      </c>
      <c r="N28" s="21">
        <f t="array" ref="N28">IFERROR(_xll.FDS($B28,"FF_EBITDA_OPER_MGN(LTM_R,0)"), "")</f>
        <v>0.57936548273515598</v>
      </c>
      <c r="O28" s="21">
        <f t="array" ref="O28">IFERROR(_xll.FDS($B28,"FF_NET_MGN(LTM_R,0)"), "")</f>
        <v>-1.44857253380544</v>
      </c>
      <c r="P28" s="22">
        <f t="array" ref="P28">IFERROR(_xll.FDS($B28,"FE_VALUATION(NETDEBT_EBITDA,MEAN,NTMA,,NOW,,,'')"), "")</f>
        <v>-3.2682989</v>
      </c>
      <c r="Q28" s="23">
        <f t="array" ref="Q28">IFERROR(_xll.FDS($B28,"FE_VALUATION(MCAP_FCF,MEAN,NTMA,,NOW,,,'')"), "")</f>
        <v>4.3493751999999999</v>
      </c>
      <c r="R28" s="23">
        <f t="array" ref="R28">IFERROR(_xll.FDS($B28,"FE_VALUATION(DIV_YLD,MEAN,NTMA,,NOW,,,'')"), "")</f>
        <v>0</v>
      </c>
      <c r="S28" s="21">
        <f t="array" ref="S28">IFERROR(_xll.FDS($B28,"FE_VALUATION(ROE,MEAN,NTMA,,0,,,'')" ), "")</f>
        <v>21.661386</v>
      </c>
      <c r="T28" s="21">
        <f t="array" ref="T28">IFERROR(_xll.FDS($B28,"FE_VALUATION(ROIC,MEAN,NTMA,,0,,,'')" ), "")</f>
        <v>14.370843000000001</v>
      </c>
      <c r="U28" s="22">
        <f t="array" ref="U28">IFERROR(((_xll.FDS($B28,"FE_ACTUAL(ACTUAL,SALES,ANN_ROLL,0,,,,'CURRENCY=USD')")/_xll.FDS($B28,"FE_ACTUAL(ACTUAL,SALES,ANN_ROLL,-1,,,,'CURRENCY=USD')")-1)*100)+(_xll.FDS($B28,"FE_VALUATION(EBITDA_MARGIN,MEAN,ANN_ROLL,0,NOW,,,'')")  ), "")</f>
        <v>48.839447443000182</v>
      </c>
      <c r="V28" s="24">
        <f t="array" ref="V28">IFERROR(_xll.FDS($B28,"FE_VALUATION(PE,MEAN,NTMA,,0,,,'')" ), "")</f>
        <v>35.702015000000003</v>
      </c>
      <c r="W28" s="24">
        <f t="array" ref="W28">IFERROR(_xll.FDS($B28,"FE_VALUATION(P_SALESPS,MEAN,NTMA,,0,,,'')" ), "")</f>
        <v>6.5002089999999999</v>
      </c>
      <c r="X28" s="24">
        <f t="array" ref="X28">IFERROR(_xll.FDS($B28,"FE_VALUATION(FFEV_SALES,MEAN,NTMA,,0,,,'')" ), "")</f>
        <v>6.0586624000000002</v>
      </c>
      <c r="Y28" s="24">
        <f t="array" ref="Y28">IFERROR(_xll.FDS($B28,"FE_VALUATION(FFEV_EBITDA,MEAN,NTMA,,0,,,'')" ), "")</f>
        <v>24.292580000000001</v>
      </c>
      <c r="Z28" s="20">
        <f t="array" ref="Z28">IFERROR(_xll.FDS($B28,"PERCENT_CHANGE(FE_VALUATION(PE,MEAN,NTMA,,0,,,''),MAX(FE_VALUATION(PE,MEAN,NTMA,,-1AY,0,,'')))")/100,"")</f>
        <v>-0.59157045566839006</v>
      </c>
      <c r="AA28" s="20">
        <f t="array" ref="AA28">IFERROR(_xll.FDS($B28,"PERCENT_CHANGE(FE_VALUATION(FFEV_EBITDA,MEAN,NTMA,,0,,,''),MAX(FE_VALUATION(FFEV_EBITDA,MEAN,NTMA,,-1AY,0,,'')))")/100,"")</f>
        <v>-0.57047606566318598</v>
      </c>
      <c r="AB28" s="20">
        <f t="array" ref="AB28">IFERROR(_xll.FDS($B28,"FG_PRICE(0,,,USD)/P_PRICE_HIGH(-1AY,0,USD,,,""PRICE"",""INTRA"")")-1, "")</f>
        <v>-0.55678210035906095</v>
      </c>
      <c r="AC28" s="20">
        <f t="array" ref="AC28">IFERROR(_xll.FDS($B28,"RTP_PRICE_TARGET(USD)/FG_PRICE(0,,,USD)")-1, "")</f>
        <v>0.95345112479913996</v>
      </c>
      <c r="AD28" s="25">
        <f t="array" ref="AD28">IFERROR(_xll.FDS($B28,"FG_PRICE(0,,,USD)/FG_PRICE_MAVG(0,,,USD,50)")-1, "")</f>
        <v>-0.27229320698181503</v>
      </c>
      <c r="AE28" s="25">
        <f t="array" ref="AE28">IFERROR(_xll.FDS($B28,"FG_PRICE(0,,,USD)/FG_PRICE_MAVG(0,,,USD,100)")-1, "")</f>
        <v>-0.40477744211713695</v>
      </c>
      <c r="AF28" s="25">
        <f t="array" ref="AF28">IFERROR(_xll.FDS($B28,"FG_PRICE(0,,,USD)/FG_PRICE_MAVG(0,,,USD,200)")-1, "")</f>
        <v>-0.44078255696859203</v>
      </c>
      <c r="AG28" s="26" t="str">
        <f t="array" ref="AG28">IFERROR(_xll.FDS($B28,"FE_RATING(MEAN,TEXTONLY,0,NOW,,,'')"), "")</f>
        <v>Buy</v>
      </c>
      <c r="AH28" s="50">
        <f>IFERROR(IF('3 — Weights'!$E$2=1,PERCENTRANK(I$4:I$91,I28),1-PERCENTRANK(I$4:I$91,I28))*100,"")</f>
        <v>62</v>
      </c>
      <c r="AI28" s="51">
        <f>IFERROR(IF('3 — Weights'!$E$3=1,PERCENTRANK(J$4:J$91,J28),1-PERCENTRANK(J$4:J$91,J28))*100,"")</f>
        <v>58.599999999999994</v>
      </c>
      <c r="AJ28" s="51">
        <f>IFERROR(IF('3 — Weights'!$E$4=1,PERCENTRANK(K$4:K$91,K28),1-PERCENTRANK(K$4:K$91,K28))*100,"")</f>
        <v>85</v>
      </c>
      <c r="AK28" s="51">
        <f>IFERROR(IF('3 — Weights'!$E$5=1,PERCENTRANK(L$4:L$91,L28),1-PERCENTRANK(L$4:L$91,L28))*100,"")</f>
        <v>58.3</v>
      </c>
      <c r="AL28" s="51">
        <f>IFERROR(IF('3 — Weights'!$E$6=1,PERCENTRANK(M$4:M$91,M28),1-PERCENTRANK(M$4:M$91,M28))*100,"")</f>
        <v>64.600000000000009</v>
      </c>
      <c r="AM28" s="51">
        <f>IFERROR(IF('3 — Weights'!$E$7=1,PERCENTRANK(N$4:N$91,N28),1-PERCENTRANK(N$4:N$91,N28))*100,"")</f>
        <v>19.400000000000002</v>
      </c>
      <c r="AN28" s="51">
        <f>IFERROR(IF('3 — Weights'!$E$8=1,PERCENTRANK(O$4:O$91,O28),1-PERCENTRANK(O$4:O$91,O28))*100,"")</f>
        <v>26.5</v>
      </c>
      <c r="AO28" s="51">
        <f>IFERROR(IF('3 — Weights'!$E$9=1,PERCENTRANK(P$4:P$91,P28),1-PERCENTRANK(P$4:P$91,P28))*100,"")</f>
        <v>84.399999999999991</v>
      </c>
      <c r="AP28" s="51">
        <f>IFERROR(IF('3 — Weights'!$E$10=1,PERCENTRANK(Q$4:Q$91,Q28),1-PERCENTRANK(Q$4:Q$91,Q28))*100,"")</f>
        <v>36.9</v>
      </c>
      <c r="AQ28" s="51">
        <f>IFERROR(IF('3 — Weights'!$E$11=1,PERCENTRANK(R$4:R$91,R28),1-PERCENTRANK(R$4:R$91,R28))*100,"")</f>
        <v>0</v>
      </c>
      <c r="AR28" s="51">
        <f>IFERROR(IF('3 — Weights'!$E$12=1,PERCENTRANK(S$4:S$91,S28),1-PERCENTRANK(S$4:S$91,S28))*100,"")</f>
        <v>50.6</v>
      </c>
      <c r="AS28" s="51">
        <f>IFERROR(IF('3 — Weights'!$E$13=1,PERCENTRANK(T$4:T$91,T28),1-PERCENTRANK(T$4:T$91,T28))*100,"")</f>
        <v>40.200000000000003</v>
      </c>
      <c r="AT28" s="51">
        <f>IFERROR(IF('3 — Weights'!$E$14=1,PERCENTRANK(U$4:U$91,U28),1-PERCENTRANK(U$4:U$91,U28))*100,"")</f>
        <v>57.3</v>
      </c>
      <c r="AU28" s="51">
        <f>IFERROR(IF('3 — Weights'!$E$15=1,PERCENTRANK(V$4:V$91,V28),1-PERCENTRANK(V$4:V$91,V28))*100,"")</f>
        <v>25.3</v>
      </c>
      <c r="AV28" s="51">
        <f>IFERROR(IF('3 — Weights'!$E$16=1,PERCENTRANK(W$4:W$91,W28),1-PERCENTRANK(W$4:W$91,W28))*100,"")</f>
        <v>31.100000000000005</v>
      </c>
      <c r="AW28" s="51">
        <f>IFERROR(IF('3 — Weights'!$E$17=1,PERCENTRANK(X$4:X$91,X28),1-PERCENTRANK(X$4:X$91,X28))*100,"")</f>
        <v>34.5</v>
      </c>
      <c r="AX28" s="51">
        <f>IFERROR(IF('3 — Weights'!$E$18=1,PERCENTRANK(Y$4:Y$91,Y28),1-PERCENTRANK(Y$4:Y$91,Y28))*100,"")</f>
        <v>23.299999999999997</v>
      </c>
      <c r="AY28" s="51">
        <f>IFERROR(IF('3 — Weights'!$E$18=1,PERCENTRANK(Z$4:Z$91,Z28),1-PERCENTRANK(Z$4:Z$91,Z28))*100,"")</f>
        <v>70.199999999999989</v>
      </c>
      <c r="AZ28" s="51">
        <f>IFERROR(IF('3 — Weights'!$E$18=1,PERCENTRANK(AA$4:AA$91,AA28),1-PERCENTRANK(AA$4:AA$91,AA28))*100,"")</f>
        <v>65.2</v>
      </c>
      <c r="BA28" s="51">
        <f>IFERROR(IF('3 — Weights'!$E$21=1,PERCENTRANK(AB$4:AB$91,AB28),1-PERCENTRANK(AB$4:AB$91,AB28))*100,"")</f>
        <v>11.4</v>
      </c>
      <c r="BB28" s="51">
        <f>IFERROR(IF('3 — Weights'!$E$22=1,PERCENTRANK(AC$4:AC$91,AC28),1-PERCENTRANK(AC$4:AC$91,AC28))*100,"")</f>
        <v>89.600000000000009</v>
      </c>
      <c r="BC28" s="51">
        <f>IFERROR(IF('3 — Weights'!$E$23=1,PERCENTRANK(AD$4:AD$91,AD28),1-PERCENTRANK(AD$4:AD$91,AD28))*100,"")</f>
        <v>82.800000000000011</v>
      </c>
      <c r="BD28" s="51">
        <f>IFERROR(IF('3 — Weights'!$E$24=1,PERCENTRANK(AE$4:AE$91,AE28),1-PERCENTRANK(AE$4:AE$91,AE28))*100,"")</f>
        <v>96.6</v>
      </c>
      <c r="BE28" s="51">
        <f>IFERROR(IF('3 — Weights'!$E$25=1,PERCENTRANK(AF$4:AF$91,AF28),1-PERCENTRANK(AF$4:AF$91,AF28))*100,"")</f>
        <v>90.9</v>
      </c>
      <c r="BF28" s="52" cm="1">
        <f t="array" ref="BF28">IFERROR(SUMPRODUCT(TRANSPOSE(AH28:BE28), [1]!Table2[Weight
Claude]),"")</f>
        <v>53.435000000000002</v>
      </c>
      <c r="BG28" s="53" cm="1">
        <f t="array" ref="BG28">IFERROR(SUMPRODUCT(TRANSPOSE(AH28:BE28), [1]!Table2[Weight
Cape IMC]),"")</f>
        <v>53.435000000000002</v>
      </c>
    </row>
    <row r="29" spans="1:59" ht="22.5" customHeight="1" x14ac:dyDescent="0.25">
      <c r="A29" s="17">
        <f t="shared" si="0"/>
        <v>28</v>
      </c>
      <c r="B29" s="18" t="s">
        <v>129</v>
      </c>
      <c r="C29" s="18" t="s">
        <v>130</v>
      </c>
      <c r="D29" s="18" t="str">
        <f t="array" ref="D29">IFERROR(_xll.FDS($B29,"FR_RBICS_NAME_CURR(""IND"")"), "")</f>
        <v>Healthcare and Pharma Industry Software</v>
      </c>
      <c r="E29" s="18" t="str">
        <f t="array" ref="E29">PROPER(IFERROR(_xll.FDS($B29,"P_DCOUNTRY"), ""))</f>
        <v>United States</v>
      </c>
      <c r="F29" s="19">
        <f t="array" ref="F29">IFERROR(_xll.FDS($B29,"FCS_EV_DAILY(MV,NOW,,,USD,M)"), "")</f>
        <v>29096.57340786</v>
      </c>
      <c r="G29" s="19">
        <f t="array" ref="G29">IFERROR(_xll.FDS($B29,"AVG(P_VOLUME_FRQ(-1AM,NOW,D,,6))*P_PRICE_AVG(-1AM,NOW,,USD)"), "")</f>
        <v>437.47185700095702</v>
      </c>
      <c r="H29" s="20">
        <f t="array" ref="H29">IFERROR(_xll.FDS($B29,"OS_SEC_FLT_PCT(0D,,MTD,SEC)")/100, "")</f>
        <v>0.90919300000000003</v>
      </c>
      <c r="I29" s="19">
        <f t="array" ref="I29">IFERROR(_xll.FDS($B29,"FE_ACTUAL(ACTUAL,SALES,ANN_ROLL,0,,,,'CURRENCY=USD')"), "")</f>
        <v>2746.6190000000001</v>
      </c>
      <c r="J29" s="19">
        <f t="array" ref="J29">IFERROR(_xll.FDS($B29,"FE_ACTUAL(ACTUAL,EPS,ANN_ROLL,0,,,,'CURRENCY=USD')"), "")</f>
        <v>6.6</v>
      </c>
      <c r="K29" s="20">
        <f t="array" ref="K29">IFERROR(_xll.FDS($B29,"POW(FE_ESTIMATE(SALES,MEAN,STMA,,NOW,,,'CURRENCY=USD')/FE_ESTIMATE(SALES,MEAN,LTMA,,NOW,,,'CURRENCY=USD'),0.5)-1"), "")</f>
        <v>0.12508399686423399</v>
      </c>
      <c r="L29" s="20">
        <f t="array" ref="L29">IFERROR(_xll.FDS($B29,"POW(FE_ESTIMATE(EPS,MEAN,STMA,,NOW,,,'CURRENCY=USD')/FE_ESTIMATE(EPS,MEAN,LTMA,,NOW,,,'CURRENCY=USD'),0.5)-1"), "")</f>
        <v>0.111989208580731</v>
      </c>
      <c r="M29" s="21">
        <f t="array" ref="M29">IFERROR(_xll.FDS($B29,"FF_GROSS_MGN(LTM_R,0)"), "")</f>
        <v>75.397159837233801</v>
      </c>
      <c r="N29" s="21">
        <f t="array" ref="N29">IFERROR(_xll.FDS($B29,"FF_EBITDA_OPER_MGN(LTM_R,0)"), "")</f>
        <v>30.5733048594171</v>
      </c>
      <c r="O29" s="21">
        <f t="array" ref="O29">IFERROR(_xll.FDS($B29,"FF_NET_MGN(LTM_R,0)"), "")</f>
        <v>27.9304639954082</v>
      </c>
      <c r="P29" s="22">
        <f t="array" ref="P29">IFERROR(_xll.FDS($B29,"FE_VALUATION(NETDEBT_EBITDA,MEAN,NTMA,,NOW,,,'')"), "")</f>
        <v>-4.8837200000000003</v>
      </c>
      <c r="Q29" s="23">
        <f t="array" ref="Q29">IFERROR(_xll.FDS($B29,"FE_VALUATION(MCAP_FCF,MEAN,NTMA,,NOW,,,'')"), "")</f>
        <v>5.4249479999999997</v>
      </c>
      <c r="R29" s="23">
        <f t="array" ref="R29">IFERROR(_xll.FDS($B29,"FE_VALUATION(DIV_YLD,MEAN,NTMA,,NOW,,,'')"), "")</f>
        <v>0</v>
      </c>
      <c r="S29" s="21">
        <f t="array" ref="S29">IFERROR(_xll.FDS($B29,"FE_VALUATION(ROE,MEAN,NTMA,,0,,,'')" ), "")</f>
        <v>16.292739999999998</v>
      </c>
      <c r="T29" s="21">
        <f t="array" ref="T29">IFERROR(_xll.FDS($B29,"FE_VALUATION(ROIC,MEAN,NTMA,,0,,,'')" ), "")</f>
        <v>15.318300000000001</v>
      </c>
      <c r="U29" s="22">
        <f t="array" ref="U29">IFERROR(((_xll.FDS($B29,"FE_ACTUAL(ACTUAL,SALES,ANN_ROLL,0,,,,'CURRENCY=USD')")/_xll.FDS($B29,"FE_ACTUAL(ACTUAL,SALES,ANN_ROLL,-1,,,,'CURRENCY=USD')")-1)*100)+(_xll.FDS($B29,"FE_VALUATION(EBITDA_MARGIN,MEAN,ANN_ROLL,0,NOW,,,'')")  ), "")</f>
        <v>58.924237418150071</v>
      </c>
      <c r="V29" s="24">
        <f t="array" ref="V29">IFERROR(_xll.FDS($B29,"FE_VALUATION(PE,MEAN,NTMA,,0,,,'')" ), "")</f>
        <v>20.28445</v>
      </c>
      <c r="W29" s="24">
        <f t="array" ref="W29">IFERROR(_xll.FDS($B29,"FE_VALUATION(P_SALESPS,MEAN,NTMA,,0,,,'')" ), "")</f>
        <v>8.0516299999999994</v>
      </c>
      <c r="X29" s="24">
        <f t="array" ref="X29">IFERROR(_xll.FDS($B29,"FE_VALUATION(FFEV_SALES,MEAN,NTMA,,0,,,'')" ), "")</f>
        <v>6.4502819999999996</v>
      </c>
      <c r="Y29" s="24">
        <f t="array" ref="Y29">IFERROR(_xll.FDS($B29,"FE_VALUATION(FFEV_EBITDA,MEAN,NTMA,,0,,,'')" ), "")</f>
        <v>14.144264</v>
      </c>
      <c r="Z29" s="20">
        <f t="array" ref="Z29">IFERROR(_xll.FDS($B29,"PERCENT_CHANGE(FE_VALUATION(PE,MEAN,NTMA,,0,,,''),MAX(FE_VALUATION(PE,MEAN,NTMA,,-1AY,0,,'')))")/100,"")</f>
        <v>-0.45361964242833303</v>
      </c>
      <c r="AA29" s="20">
        <f t="array" ref="AA29">IFERROR(_xll.FDS($B29,"PERCENT_CHANGE(FE_VALUATION(FFEV_EBITDA,MEAN,NTMA,,0,,,''),MAX(FE_VALUATION(FFEV_EBITDA,MEAN,NTMA,,-1AY,0,,'')))")/100,"")</f>
        <v>-0.51889870676848704</v>
      </c>
      <c r="AB29" s="20">
        <f t="array" ref="AB29">IFERROR(_xll.FDS($B29,"FG_PRICE(0,,,USD)/P_PRICE_HIGH(-1AY,0,USD,,,""PRICE"",""INTRA"")")-1, "")</f>
        <v>-0.433848631239936</v>
      </c>
      <c r="AC29" s="20">
        <f t="array" ref="AC29">IFERROR(_xll.FDS($B29,"RTP_PRICE_TARGET(USD)/FG_PRICE(0,,,USD)")-1, "")</f>
        <v>0.71795892826668006</v>
      </c>
      <c r="AD29" s="25">
        <f t="array" ref="AD29">IFERROR(_xll.FDS($B29,"FG_PRICE(0,,,USD)/FG_PRICE_MAVG(0,,,USD,50)")-1, "")</f>
        <v>-0.16370998971466499</v>
      </c>
      <c r="AE29" s="25">
        <f t="array" ref="AE29">IFERROR(_xll.FDS($B29,"FG_PRICE(0,,,USD)/FG_PRICE_MAVG(0,,,USD,100)")-1, "")</f>
        <v>-0.27886143875737202</v>
      </c>
      <c r="AF29" s="25">
        <f t="array" ref="AF29">IFERROR(_xll.FDS($B29,"FG_PRICE(0,,,USD)/FG_PRICE_MAVG(0,,,USD,200)")-1, "")</f>
        <v>-0.32326631505053904</v>
      </c>
      <c r="AG29" s="26" t="str">
        <f t="array" ref="AG29">IFERROR(_xll.FDS($B29,"FE_RATING(MEAN,TEXTONLY,0,NOW,,,'')"), "")</f>
        <v>Overweight</v>
      </c>
      <c r="AH29" s="50">
        <f>IFERROR(IF('3 — Weights'!$E$2=1,PERCENTRANK(I$4:I$91,I29),1-PERCENTRANK(I$4:I$91,I29))*100,"")</f>
        <v>64.3</v>
      </c>
      <c r="AI29" s="51">
        <f>IFERROR(IF('3 — Weights'!$E$3=1,PERCENTRANK(J$4:J$91,J29),1-PERCENTRANK(J$4:J$91,J29))*100,"")</f>
        <v>77</v>
      </c>
      <c r="AJ29" s="51">
        <f>IFERROR(IF('3 — Weights'!$E$4=1,PERCENTRANK(K$4:K$91,K29),1-PERCENTRANK(K$4:K$91,K29))*100,"")</f>
        <v>45.9</v>
      </c>
      <c r="AK29" s="51">
        <f>IFERROR(IF('3 — Weights'!$E$5=1,PERCENTRANK(L$4:L$91,L29),1-PERCENTRANK(L$4:L$91,L29))*100,"")</f>
        <v>25</v>
      </c>
      <c r="AL29" s="51">
        <f>IFERROR(IF('3 — Weights'!$E$6=1,PERCENTRANK(M$4:M$91,M29),1-PERCENTRANK(M$4:M$91,M29))*100,"")</f>
        <v>57.3</v>
      </c>
      <c r="AM29" s="51">
        <f>IFERROR(IF('3 — Weights'!$E$7=1,PERCENTRANK(N$4:N$91,N29),1-PERCENTRANK(N$4:N$91,N29))*100,"")</f>
        <v>74</v>
      </c>
      <c r="AN29" s="51">
        <f>IFERROR(IF('3 — Weights'!$E$8=1,PERCENTRANK(O$4:O$91,O29),1-PERCENTRANK(O$4:O$91,O29))*100,"")</f>
        <v>87.9</v>
      </c>
      <c r="AO29" s="51">
        <f>IFERROR(IF('3 — Weights'!$E$9=1,PERCENTRANK(P$4:P$91,P29),1-PERCENTRANK(P$4:P$91,P29))*100,"")</f>
        <v>94</v>
      </c>
      <c r="AP29" s="51">
        <f>IFERROR(IF('3 — Weights'!$E$10=1,PERCENTRANK(Q$4:Q$91,Q29),1-PERCENTRANK(Q$4:Q$91,Q29))*100,"")</f>
        <v>54.7</v>
      </c>
      <c r="AQ29" s="51">
        <f>IFERROR(IF('3 — Weights'!$E$11=1,PERCENTRANK(R$4:R$91,R29),1-PERCENTRANK(R$4:R$91,R29))*100,"")</f>
        <v>0</v>
      </c>
      <c r="AR29" s="51">
        <f>IFERROR(IF('3 — Weights'!$E$12=1,PERCENTRANK(S$4:S$91,S29),1-PERCENTRANK(S$4:S$91,S29))*100,"")</f>
        <v>33.300000000000004</v>
      </c>
      <c r="AS29" s="51">
        <f>IFERROR(IF('3 — Weights'!$E$13=1,PERCENTRANK(T$4:T$91,T29),1-PERCENTRANK(T$4:T$91,T29))*100,"")</f>
        <v>43</v>
      </c>
      <c r="AT29" s="51">
        <f>IFERROR(IF('3 — Weights'!$E$14=1,PERCENTRANK(U$4:U$91,U29),1-PERCENTRANK(U$4:U$91,U29))*100,"")</f>
        <v>81.699999999999989</v>
      </c>
      <c r="AU29" s="51">
        <f>IFERROR(IF('3 — Weights'!$E$15=1,PERCENTRANK(V$4:V$91,V29),1-PERCENTRANK(V$4:V$91,V29))*100,"")</f>
        <v>54.099999999999994</v>
      </c>
      <c r="AV29" s="51">
        <f>IFERROR(IF('3 — Weights'!$E$16=1,PERCENTRANK(W$4:W$91,W29),1-PERCENTRANK(W$4:W$91,W29))*100,"")</f>
        <v>18.400000000000006</v>
      </c>
      <c r="AW29" s="51">
        <f>IFERROR(IF('3 — Weights'!$E$17=1,PERCENTRANK(X$4:X$91,X29),1-PERCENTRANK(X$4:X$91,X29))*100,"")</f>
        <v>31.100000000000005</v>
      </c>
      <c r="AX29" s="51">
        <f>IFERROR(IF('3 — Weights'!$E$18=1,PERCENTRANK(Y$4:Y$91,Y29),1-PERCENTRANK(Y$4:Y$91,Y29))*100,"")</f>
        <v>54.699999999999996</v>
      </c>
      <c r="AY29" s="51">
        <f>IFERROR(IF('3 — Weights'!$E$18=1,PERCENTRANK(Z$4:Z$91,Z29),1-PERCENTRANK(Z$4:Z$91,Z29))*100,"")</f>
        <v>33.4</v>
      </c>
      <c r="AZ29" s="51">
        <f>IFERROR(IF('3 — Weights'!$E$18=1,PERCENTRANK(AA$4:AA$91,AA29),1-PERCENTRANK(AA$4:AA$91,AA29))*100,"")</f>
        <v>47.699999999999996</v>
      </c>
      <c r="BA29" s="51">
        <f>IFERROR(IF('3 — Weights'!$E$21=1,PERCENTRANK(AB$4:AB$91,AB29),1-PERCENTRANK(AB$4:AB$91,AB29))*100,"")</f>
        <v>50.5</v>
      </c>
      <c r="BB29" s="51">
        <f>IFERROR(IF('3 — Weights'!$E$22=1,PERCENTRANK(AC$4:AC$91,AC29),1-PERCENTRANK(AC$4:AC$91,AC29))*100,"")</f>
        <v>78.100000000000009</v>
      </c>
      <c r="BC29" s="51">
        <f>IFERROR(IF('3 — Weights'!$E$23=1,PERCENTRANK(AD$4:AD$91,AD29),1-PERCENTRANK(AD$4:AD$91,AD29))*100,"")</f>
        <v>36.799999999999997</v>
      </c>
      <c r="BD29" s="51">
        <f>IFERROR(IF('3 — Weights'!$E$24=1,PERCENTRANK(AE$4:AE$91,AE29),1-PERCENTRANK(AE$4:AE$91,AE29))*100,"")</f>
        <v>64.400000000000006</v>
      </c>
      <c r="BE29" s="51">
        <f>IFERROR(IF('3 — Weights'!$E$25=1,PERCENTRANK(AF$4:AF$91,AF29),1-PERCENTRANK(AF$4:AF$91,AF29))*100,"")</f>
        <v>62.1</v>
      </c>
      <c r="BF29" s="52" cm="1">
        <f t="array" ref="BF29">IFERROR(SUMPRODUCT(TRANSPOSE(AH29:BE29), [1]!Table2[Weight
Claude]),"")</f>
        <v>53.385000000000005</v>
      </c>
      <c r="BG29" s="53" cm="1">
        <f t="array" ref="BG29">IFERROR(SUMPRODUCT(TRANSPOSE(AH29:BE29), [1]!Table2[Weight
Cape IMC]),"")</f>
        <v>53.385000000000005</v>
      </c>
    </row>
    <row r="30" spans="1:59" ht="22.5" customHeight="1" x14ac:dyDescent="0.25">
      <c r="A30" s="17">
        <f t="shared" si="0"/>
        <v>24</v>
      </c>
      <c r="B30" s="18" t="s">
        <v>131</v>
      </c>
      <c r="C30" s="18" t="s">
        <v>132</v>
      </c>
      <c r="D30" s="18" t="str">
        <f t="array" ref="D30">IFERROR(_xll.FDS($B30,"FR_RBICS_NAME_CURR(""IND"")"), "")</f>
        <v>Customer Relationship Management Software</v>
      </c>
      <c r="E30" s="18" t="str">
        <f t="array" ref="E30">PROPER(IFERROR(_xll.FDS($B30,"P_DCOUNTRY"), ""))</f>
        <v>United States</v>
      </c>
      <c r="F30" s="19">
        <f t="array" ref="F30">IFERROR(_xll.FDS($B30,"FCS_EV_DAILY(MV,NOW,,,USD,M)"), "")</f>
        <v>7518.2430684800001</v>
      </c>
      <c r="G30" s="19">
        <f t="array" ref="G30">IFERROR(_xll.FDS($B30,"AVG(P_VOLUME_FRQ(-1AM,NOW,D,,6))*P_PRICE_AVG(-1AM,NOW,,USD)"), "")</f>
        <v>124.81949357406199</v>
      </c>
      <c r="H30" s="20">
        <f t="array" ref="H30">IFERROR(_xll.FDS($B30,"OS_SEC_FLT_PCT(0D,,MTD,SEC)")/100, "")</f>
        <v>0.541906</v>
      </c>
      <c r="I30" s="19">
        <f t="array" ref="I30">IFERROR(_xll.FDS($B30,"FE_ACTUAL(ACTUAL,SALES,ANN_ROLL,0,,,,'CURRENCY=USD')"), "")</f>
        <v>1745.8119999999999</v>
      </c>
      <c r="J30" s="19">
        <f t="array" ref="J30">IFERROR(_xll.FDS($B30,"FE_ACTUAL(ACTUAL,EPS,ANN_ROLL,0,,,,'CURRENCY=USD')"), "")</f>
        <v>2.1</v>
      </c>
      <c r="K30" s="20">
        <f t="array" ref="K30">IFERROR(_xll.FDS($B30,"POW(FE_ESTIMATE(SALES,MEAN,STMA,,NOW,,,'CURRENCY=USD')/FE_ESTIMATE(SALES,MEAN,LTMA,,NOW,,,'CURRENCY=USD'),0.5)-1"), "")</f>
        <v>0.129484528446494</v>
      </c>
      <c r="L30" s="20">
        <f t="array" ref="L30">IFERROR(_xll.FDS($B30,"POW(FE_ESTIMATE(EPS,MEAN,STMA,,NOW,,,'CURRENCY=USD')/FE_ESTIMATE(EPS,MEAN,LTMA,,NOW,,,'CURRENCY=USD'),0.5)-1"), "")</f>
        <v>0.191144113867</v>
      </c>
      <c r="M30" s="21">
        <f t="array" ref="M30">IFERROR(_xll.FDS($B30,"FF_GROSS_MGN(LTM_R,0)"), "")</f>
        <v>75.728944468247406</v>
      </c>
      <c r="N30" s="21">
        <f t="array" ref="N30">IFERROR(_xll.FDS($B30,"FF_EBITDA_OPER_MGN(LTM_R,0)"), "")</f>
        <v>17.6122056670478</v>
      </c>
      <c r="O30" s="21">
        <f t="array" ref="O30">IFERROR(_xll.FDS($B30,"FF_NET_MGN(LTM_R,0)"), "")</f>
        <v>22.5360462638589</v>
      </c>
      <c r="P30" s="22">
        <f t="array" ref="P30">IFERROR(_xll.FDS($B30,"FE_VALUATION(NETDEBT_EBITDA,MEAN,NTMA,,NOW,,,'')"), "")</f>
        <v>-0.69515806000000002</v>
      </c>
      <c r="Q30" s="23">
        <f t="array" ref="Q30">IFERROR(_xll.FDS($B30,"FE_VALUATION(MCAP_FCF,MEAN,NTMA,,NOW,,,'')"), "")</f>
        <v>8.0998140000000003</v>
      </c>
      <c r="R30" s="23">
        <f t="array" ref="R30">IFERROR(_xll.FDS($B30,"FE_VALUATION(DIV_YLD,MEAN,NTMA,,NOW,,,'')"), "")</f>
        <v>0.25732142000000002</v>
      </c>
      <c r="S30" s="21">
        <f t="array" ref="S30">IFERROR(_xll.FDS($B30,"FE_VALUATION(ROE,MEAN,NTMA,,0,,,'')" ), "")</f>
        <v>75.460830000000001</v>
      </c>
      <c r="T30" s="21" t="str">
        <f t="array" ref="T30">IFERROR(_xll.FDS($B30,"FE_VALUATION(ROIC,MEAN,NTMA,,0,,,'')" ), "")</f>
        <v/>
      </c>
      <c r="U30" s="22">
        <f t="array" ref="U30">IFERROR(((_xll.FDS($B30,"FE_ACTUAL(ACTUAL,SALES,ANN_ROLL,0,,,,'CURRENCY=USD')")/_xll.FDS($B30,"FE_ACTUAL(ACTUAL,SALES,ANN_ROLL,-1,,,,'CURRENCY=USD')")-1)*100)+(_xll.FDS($B30,"FE_VALUATION(EBITDA_MARGIN,MEAN,ANN_ROLL,0,NOW,,,'')")  ), "")</f>
        <v>44.003647238675356</v>
      </c>
      <c r="V30" s="24">
        <f t="array" ref="V30">IFERROR(_xll.FDS($B30,"FE_VALUATION(PE,MEAN,NTMA,,0,,,'')" ), "")</f>
        <v>15.683477</v>
      </c>
      <c r="W30" s="24">
        <f t="array" ref="W30">IFERROR(_xll.FDS($B30,"FE_VALUATION(P_SALESPS,MEAN,NTMA,,0,,,'')" ), "")</f>
        <v>3.6112700000000002</v>
      </c>
      <c r="X30" s="24">
        <f t="array" ref="X30">IFERROR(_xll.FDS($B30,"FE_VALUATION(FFEV_SALES,MEAN,NTMA,,0,,,'')" ), "")</f>
        <v>3.7742022999999998</v>
      </c>
      <c r="Y30" s="24">
        <f t="array" ref="Y30">IFERROR(_xll.FDS($B30,"FE_VALUATION(FFEV_EBITDA,MEAN,NTMA,,0,,,'')" ), "")</f>
        <v>12.044385</v>
      </c>
      <c r="Z30" s="20">
        <f t="array" ref="Z30">IFERROR(_xll.FDS($B30,"PERCENT_CHANGE(FE_VALUATION(PE,MEAN,NTMA,,0,,,''),MAX(FE_VALUATION(PE,MEAN,NTMA,,-1AY,0,,'')))")/100,"")</f>
        <v>-0.477391340075068</v>
      </c>
      <c r="AA30" s="20">
        <f t="array" ref="AA30">IFERROR(_xll.FDS($B30,"PERCENT_CHANGE(FE_VALUATION(FFEV_EBITDA,MEAN,NTMA,,0,,,''),MAX(FE_VALUATION(FFEV_EBITDA,MEAN,NTMA,,-1AY,0,,'')))")/100,"")</f>
        <v>-0.49161491102701099</v>
      </c>
      <c r="AB30" s="20">
        <f t="array" ref="AB30">IFERROR(_xll.FDS($B30,"FG_PRICE(0,,,USD)/P_PRICE_HIGH(-1AY,0,USD,,,""PRICE"",""INTRA"")")-1, "")</f>
        <v>-0.36446402349485996</v>
      </c>
      <c r="AC30" s="20">
        <f t="array" ref="AC30">IFERROR(_xll.FDS($B30,"RTP_PRICE_TARGET(USD)/FG_PRICE(0,,,USD)")-1, "")</f>
        <v>0.38863216266173994</v>
      </c>
      <c r="AD30" s="25">
        <f t="array" ref="AD30">IFERROR(_xll.FDS($B30,"FG_PRICE(0,,,USD)/FG_PRICE_MAVG(0,,,USD,50)")-1, "")</f>
        <v>-0.164104386520604</v>
      </c>
      <c r="AE30" s="25">
        <f t="array" ref="AE30">IFERROR(_xll.FDS($B30,"FG_PRICE(0,,,USD)/FG_PRICE_MAVG(0,,,USD,100)")-1, "")</f>
        <v>-0.21155631096525096</v>
      </c>
      <c r="AF30" s="25">
        <f t="array" ref="AF30">IFERROR(_xll.FDS($B30,"FG_PRICE(0,,,USD)/FG_PRICE_MAVG(0,,,USD,200)")-1, "")</f>
        <v>-0.19942450312248505</v>
      </c>
      <c r="AG30" s="26" t="str">
        <f t="array" ref="AG30">IFERROR(_xll.FDS($B30,"FE_RATING(MEAN,TEXTONLY,0,NOW,,,'')"), "")</f>
        <v>Buy</v>
      </c>
      <c r="AH30" s="50">
        <f>IFERROR(IF('3 — Weights'!$E$2=1,PERCENTRANK(I$4:I$91,I30),1-PERCENTRANK(I$4:I$91,I30))*100,"")</f>
        <v>52.800000000000004</v>
      </c>
      <c r="AI30" s="51">
        <f>IFERROR(IF('3 — Weights'!$E$3=1,PERCENTRANK(J$4:J$91,J30),1-PERCENTRANK(J$4:J$91,J30))*100,"")</f>
        <v>48.199999999999996</v>
      </c>
      <c r="AJ30" s="51">
        <f>IFERROR(IF('3 — Weights'!$E$4=1,PERCENTRANK(K$4:K$91,K30),1-PERCENTRANK(K$4:K$91,K30))*100,"")</f>
        <v>50.5</v>
      </c>
      <c r="AK30" s="51">
        <f>IFERROR(IF('3 — Weights'!$E$5=1,PERCENTRANK(L$4:L$91,L30),1-PERCENTRANK(L$4:L$91,L30))*100,"")</f>
        <v>63</v>
      </c>
      <c r="AL30" s="51">
        <f>IFERROR(IF('3 — Weights'!$E$6=1,PERCENTRANK(M$4:M$91,M30),1-PERCENTRANK(M$4:M$91,M30))*100,"")</f>
        <v>62.1</v>
      </c>
      <c r="AM30" s="51">
        <f>IFERROR(IF('3 — Weights'!$E$7=1,PERCENTRANK(N$4:N$91,N30),1-PERCENTRANK(N$4:N$91,N30))*100,"")</f>
        <v>46.7</v>
      </c>
      <c r="AN30" s="51">
        <f>IFERROR(IF('3 — Weights'!$E$8=1,PERCENTRANK(O$4:O$91,O30),1-PERCENTRANK(O$4:O$91,O30))*100,"")</f>
        <v>81.899999999999991</v>
      </c>
      <c r="AO30" s="51">
        <f>IFERROR(IF('3 — Weights'!$E$9=1,PERCENTRANK(P$4:P$91,P30),1-PERCENTRANK(P$4:P$91,P30))*100,"")</f>
        <v>39.800000000000004</v>
      </c>
      <c r="AP30" s="51">
        <f>IFERROR(IF('3 — Weights'!$E$10=1,PERCENTRANK(Q$4:Q$91,Q30),1-PERCENTRANK(Q$4:Q$91,Q30))*100,"")</f>
        <v>80.900000000000006</v>
      </c>
      <c r="AQ30" s="51">
        <f>IFERROR(IF('3 — Weights'!$E$11=1,PERCENTRANK(R$4:R$91,R30),1-PERCENTRANK(R$4:R$91,R30))*100,"")</f>
        <v>73</v>
      </c>
      <c r="AR30" s="51">
        <f>IFERROR(IF('3 — Weights'!$E$12=1,PERCENTRANK(S$4:S$91,S30),1-PERCENTRANK(S$4:S$91,S30))*100,"")</f>
        <v>95</v>
      </c>
      <c r="AS30" s="51" t="str">
        <f>IFERROR(IF('3 — Weights'!$E$13=1,PERCENTRANK(T$4:T$91,T30),1-PERCENTRANK(T$4:T$91,T30))*100,"")</f>
        <v/>
      </c>
      <c r="AT30" s="51">
        <f>IFERROR(IF('3 — Weights'!$E$14=1,PERCENTRANK(U$4:U$91,U30),1-PERCENTRANK(U$4:U$91,U30))*100,"")</f>
        <v>47.5</v>
      </c>
      <c r="AU30" s="51">
        <f>IFERROR(IF('3 — Weights'!$E$15=1,PERCENTRANK(V$4:V$91,V30),1-PERCENTRANK(V$4:V$91,V30))*100,"")</f>
        <v>71.300000000000011</v>
      </c>
      <c r="AV30" s="51">
        <f>IFERROR(IF('3 — Weights'!$E$16=1,PERCENTRANK(W$4:W$91,W30),1-PERCENTRANK(W$4:W$91,W30))*100,"")</f>
        <v>64.400000000000006</v>
      </c>
      <c r="AW30" s="51">
        <f>IFERROR(IF('3 — Weights'!$E$17=1,PERCENTRANK(X$4:X$91,X30),1-PERCENTRANK(X$4:X$91,X30))*100,"")</f>
        <v>62.1</v>
      </c>
      <c r="AX30" s="51">
        <f>IFERROR(IF('3 — Weights'!$E$18=1,PERCENTRANK(Y$4:Y$91,Y30),1-PERCENTRANK(Y$4:Y$91,Y30))*100,"")</f>
        <v>66.3</v>
      </c>
      <c r="AY30" s="51">
        <f>IFERROR(IF('3 — Weights'!$E$18=1,PERCENTRANK(Z$4:Z$91,Z30),1-PERCENTRANK(Z$4:Z$91,Z30))*100,"")</f>
        <v>41.400000000000006</v>
      </c>
      <c r="AZ30" s="51">
        <f>IFERROR(IF('3 — Weights'!$E$18=1,PERCENTRANK(AA$4:AA$91,AA30),1-PERCENTRANK(AA$4:AA$91,AA30))*100,"")</f>
        <v>43.100000000000009</v>
      </c>
      <c r="BA30" s="51">
        <f>IFERROR(IF('3 — Weights'!$E$21=1,PERCENTRANK(AB$4:AB$91,AB30),1-PERCENTRANK(AB$4:AB$91,AB30))*100,"")</f>
        <v>72.399999999999991</v>
      </c>
      <c r="BB30" s="51">
        <f>IFERROR(IF('3 — Weights'!$E$22=1,PERCENTRANK(AC$4:AC$91,AC30),1-PERCENTRANK(AC$4:AC$91,AC30))*100,"")</f>
        <v>27.500000000000004</v>
      </c>
      <c r="BC30" s="51">
        <f>IFERROR(IF('3 — Weights'!$E$23=1,PERCENTRANK(AD$4:AD$91,AD30),1-PERCENTRANK(AD$4:AD$91,AD30))*100,"")</f>
        <v>39.1</v>
      </c>
      <c r="BD30" s="51">
        <f>IFERROR(IF('3 — Weights'!$E$24=1,PERCENTRANK(AE$4:AE$91,AE30),1-PERCENTRANK(AE$4:AE$91,AE30))*100,"")</f>
        <v>34.5</v>
      </c>
      <c r="BE30" s="51">
        <f>IFERROR(IF('3 — Weights'!$E$25=1,PERCENTRANK(AF$4:AF$91,AF30),1-PERCENTRANK(AF$4:AF$91,AF30))*100,"")</f>
        <v>27.6</v>
      </c>
      <c r="BF30" s="52" cm="1">
        <f t="array" ref="BF30">IFERROR(SUMPRODUCT(TRANSPOSE(AH30:BE30), [1]!Table2[Weight
Claude]),"")</f>
        <v>53.800000000000011</v>
      </c>
      <c r="BG30" s="53" cm="1">
        <f t="array" ref="BG30">IFERROR(SUMPRODUCT(TRANSPOSE(AH30:BE30), [1]!Table2[Weight
Cape IMC]),"")</f>
        <v>53.800000000000011</v>
      </c>
    </row>
    <row r="31" spans="1:59" ht="22.5" customHeight="1" x14ac:dyDescent="0.25">
      <c r="A31" s="17">
        <f t="shared" si="0"/>
        <v>30</v>
      </c>
      <c r="B31" s="18" t="s">
        <v>133</v>
      </c>
      <c r="C31" s="18" t="s">
        <v>134</v>
      </c>
      <c r="D31" s="18" t="str">
        <f t="array" ref="D31">IFERROR(_xll.FDS($B31,"FR_RBICS_NAME_CURR(""IND"")"), "")</f>
        <v>Enterprise Resource Planning Software</v>
      </c>
      <c r="E31" s="18" t="str">
        <f t="array" ref="E31">PROPER(IFERROR(_xll.FDS($B31,"P_DCOUNTRY"), ""))</f>
        <v>United States</v>
      </c>
      <c r="F31" s="19">
        <f t="array" ref="F31">IFERROR(_xll.FDS($B31,"FCS_EV_DAILY(MV,NOW,,,USD,M)"), "")</f>
        <v>5753.5299928799996</v>
      </c>
      <c r="G31" s="19">
        <f t="array" ref="G31">IFERROR(_xll.FDS($B31,"AVG(P_VOLUME_FRQ(-1AM,NOW,D,,6))*P_PRICE_AVG(-1AM,NOW,,USD)"), "")</f>
        <v>125.50252154624199</v>
      </c>
      <c r="H31" s="20">
        <f t="array" ref="H31">IFERROR(_xll.FDS($B31,"OS_SEC_FLT_PCT(0D,,MTD,SEC)")/100, "")</f>
        <v>0.79972100000000002</v>
      </c>
      <c r="I31" s="19">
        <f t="array" ref="I31">IFERROR(_xll.FDS($B31,"FE_ACTUAL(ACTUAL,SALES,ANN_ROLL,0,,,,'CURRENCY=USD')"), "")</f>
        <v>1595.221</v>
      </c>
      <c r="J31" s="19">
        <f t="array" ref="J31">IFERROR(_xll.FDS($B31,"FE_ACTUAL(ACTUAL,EPS,ANN_ROLL,0,,,,'CURRENCY=USD')"), "")</f>
        <v>7.17</v>
      </c>
      <c r="K31" s="20">
        <f t="array" ref="K31">IFERROR(_xll.FDS($B31,"POW(FE_ESTIMATE(SALES,MEAN,STMA,,NOW,,,'CURRENCY=USD')/FE_ESTIMATE(SALES,MEAN,LTMA,,NOW,,,'CURRENCY=USD'),0.5)-1"), "")</f>
        <v>8.8269038427538901E-2</v>
      </c>
      <c r="L31" s="20">
        <f t="array" ref="L31">IFERROR(_xll.FDS($B31,"POW(FE_ESTIMATE(EPS,MEAN,STMA,,NOW,,,'CURRENCY=USD')/FE_ESTIMATE(EPS,MEAN,LTMA,,NOW,,,'CURRENCY=USD'),0.5)-1"), "")</f>
        <v>9.32490109759989E-2</v>
      </c>
      <c r="M31" s="21">
        <f t="array" ref="M31">IFERROR(_xll.FDS($B31,"FF_GROSS_MGN(LTM_R,0)"), "")</f>
        <v>68.072465260887896</v>
      </c>
      <c r="N31" s="21">
        <f t="array" ref="N31">IFERROR(_xll.FDS($B31,"FF_EBITDA_OPER_MGN(LTM_R,0)"), "")</f>
        <v>26.9915711622651</v>
      </c>
      <c r="O31" s="21">
        <f t="array" ref="O31">IFERROR(_xll.FDS($B31,"FF_NET_MGN(LTM_R,0)"), "")</f>
        <v>14.1866085255279</v>
      </c>
      <c r="P31" s="22">
        <f t="array" ref="P31">IFERROR(_xll.FDS($B31,"FE_VALUATION(NETDEBT_EBITDA,MEAN,NTMA,,NOW,,,'')"), "")</f>
        <v>-0.94479369999999996</v>
      </c>
      <c r="Q31" s="23">
        <f t="array" ref="Q31">IFERROR(_xll.FDS($B31,"FE_VALUATION(MCAP_FCF,MEAN,NTMA,,NOW,,,'')"), "")</f>
        <v>7.9644469999999998</v>
      </c>
      <c r="R31" s="23">
        <f t="array" ref="R31">IFERROR(_xll.FDS($B31,"FE_VALUATION(DIV_YLD,MEAN,NTMA,,NOW,,,'')"), "")</f>
        <v>0</v>
      </c>
      <c r="S31" s="21">
        <f t="array" ref="S31">IFERROR(_xll.FDS($B31,"FE_VALUATION(ROE,MEAN,NTMA,,0,,,'')" ), "")</f>
        <v>27.471308000000001</v>
      </c>
      <c r="T31" s="21">
        <f t="array" ref="T31">IFERROR(_xll.FDS($B31,"FE_VALUATION(ROIC,MEAN,NTMA,,0,,,'')" ), "")</f>
        <v>30.691535999999999</v>
      </c>
      <c r="U31" s="22">
        <f t="array" ref="U31">IFERROR(((_xll.FDS($B31,"FE_ACTUAL(ACTUAL,SALES,ANN_ROLL,0,,,,'CURRENCY=USD')")/_xll.FDS($B31,"FE_ACTUAL(ACTUAL,SALES,ANN_ROLL,-1,,,,'CURRENCY=USD')")-1)*100)+(_xll.FDS($B31,"FE_VALUATION(EBITDA_MARGIN,MEAN,ANN_ROLL,0,NOW,,,'')")  ), "")</f>
        <v>50.286505300912992</v>
      </c>
      <c r="V31" s="24">
        <f t="array" ref="V31">IFERROR(_xll.FDS($B31,"FE_VALUATION(PE,MEAN,NTMA,,0,,,'')" ), "")</f>
        <v>12.641118000000001</v>
      </c>
      <c r="W31" s="24">
        <f t="array" ref="W31">IFERROR(_xll.FDS($B31,"FE_VALUATION(P_SALESPS,MEAN,NTMA,,0,,,'')" ), "")</f>
        <v>3.0371226999999998</v>
      </c>
      <c r="X31" s="24">
        <f t="array" ref="X31">IFERROR(_xll.FDS($B31,"FE_VALUATION(FFEV_SALES,MEAN,NTMA,,0,,,'')" ), "")</f>
        <v>3.0717889999999999</v>
      </c>
      <c r="Y31" s="24">
        <f t="array" ref="Y31">IFERROR(_xll.FDS($B31,"FE_VALUATION(FFEV_EBITDA,MEAN,NTMA,,0,,,'')" ), "")</f>
        <v>8.5080570000000009</v>
      </c>
      <c r="Z31" s="20">
        <f t="array" ref="Z31">IFERROR(_xll.FDS($B31,"PERCENT_CHANGE(FE_VALUATION(PE,MEAN,NTMA,,0,,,''),MAX(FE_VALUATION(PE,MEAN,NTMA,,-1AY,0,,'')))")/100,"")</f>
        <v>-0.57232799514608101</v>
      </c>
      <c r="AA31" s="20">
        <f t="array" ref="AA31">IFERROR(_xll.FDS($B31,"PERCENT_CHANGE(FE_VALUATION(FFEV_EBITDA,MEAN,NTMA,,0,,,''),MAX(FE_VALUATION(FFEV_EBITDA,MEAN,NTMA,,-1AY,0,,'')))")/100,"")</f>
        <v>-0.57061024465210697</v>
      </c>
      <c r="AB31" s="20">
        <f t="array" ref="AB31">IFERROR(_xll.FDS($B31,"FG_PRICE(0,,,USD)/P_PRICE_HIGH(-1AY,0,USD,,,""PRICE"",""INTRA"")")-1, "")</f>
        <v>-0.509674352270026</v>
      </c>
      <c r="AC31" s="20">
        <f t="array" ref="AC31">IFERROR(_xll.FDS($B31,"RTP_PRICE_TARGET(USD)/FG_PRICE(0,,,USD)")-1, "")</f>
        <v>0.64620389761489005</v>
      </c>
      <c r="AD31" s="25">
        <f t="array" ref="AD31">IFERROR(_xll.FDS($B31,"FG_PRICE(0,,,USD)/FG_PRICE_MAVG(0,,,USD,50)")-1, "")</f>
        <v>-0.24486583446205701</v>
      </c>
      <c r="AE31" s="25">
        <f t="array" ref="AE31">IFERROR(_xll.FDS($B31,"FG_PRICE(0,,,USD)/FG_PRICE_MAVG(0,,,USD,100)")-1, "")</f>
        <v>-0.27501977809869504</v>
      </c>
      <c r="AF31" s="25">
        <f t="array" ref="AF31">IFERROR(_xll.FDS($B31,"FG_PRICE(0,,,USD)/FG_PRICE_MAVG(0,,,USD,200)")-1, "")</f>
        <v>-0.36276343930300103</v>
      </c>
      <c r="AG31" s="26" t="str">
        <f t="array" ref="AG31">IFERROR(_xll.FDS($B31,"FE_RATING(MEAN,TEXTONLY,0,NOW,,,'')"), "")</f>
        <v>Buy</v>
      </c>
      <c r="AH31" s="50">
        <f>IFERROR(IF('3 — Weights'!$E$2=1,PERCENTRANK(I$4:I$91,I31),1-PERCENTRANK(I$4:I$91,I31))*100,"")</f>
        <v>50.5</v>
      </c>
      <c r="AI31" s="51">
        <f>IFERROR(IF('3 — Weights'!$E$3=1,PERCENTRANK(J$4:J$91,J31),1-PERCENTRANK(J$4:J$91,J31))*100,"")</f>
        <v>81.599999999999994</v>
      </c>
      <c r="AJ31" s="51">
        <f>IFERROR(IF('3 — Weights'!$E$4=1,PERCENTRANK(K$4:K$91,K31),1-PERCENTRANK(K$4:K$91,K31))*100,"")</f>
        <v>25.2</v>
      </c>
      <c r="AK31" s="51">
        <f>IFERROR(IF('3 — Weights'!$E$5=1,PERCENTRANK(L$4:L$91,L31),1-PERCENTRANK(L$4:L$91,L31))*100,"")</f>
        <v>14.2</v>
      </c>
      <c r="AL31" s="51">
        <f>IFERROR(IF('3 — Weights'!$E$6=1,PERCENTRANK(M$4:M$91,M31),1-PERCENTRANK(M$4:M$91,M31))*100,"")</f>
        <v>39</v>
      </c>
      <c r="AM31" s="51">
        <f>IFERROR(IF('3 — Weights'!$E$7=1,PERCENTRANK(N$4:N$91,N31),1-PERCENTRANK(N$4:N$91,N31))*100,"")</f>
        <v>67.5</v>
      </c>
      <c r="AN31" s="51">
        <f>IFERROR(IF('3 — Weights'!$E$8=1,PERCENTRANK(O$4:O$91,O31),1-PERCENTRANK(O$4:O$91,O31))*100,"")</f>
        <v>61.4</v>
      </c>
      <c r="AO31" s="51">
        <f>IFERROR(IF('3 — Weights'!$E$9=1,PERCENTRANK(P$4:P$91,P31),1-PERCENTRANK(P$4:P$91,P31))*100,"")</f>
        <v>48.199999999999996</v>
      </c>
      <c r="AP31" s="51">
        <f>IFERROR(IF('3 — Weights'!$E$10=1,PERCENTRANK(Q$4:Q$91,Q31),1-PERCENTRANK(Q$4:Q$91,Q31))*100,"")</f>
        <v>78.5</v>
      </c>
      <c r="AQ31" s="51">
        <f>IFERROR(IF('3 — Weights'!$E$11=1,PERCENTRANK(R$4:R$91,R31),1-PERCENTRANK(R$4:R$91,R31))*100,"")</f>
        <v>0</v>
      </c>
      <c r="AR31" s="51">
        <f>IFERROR(IF('3 — Weights'!$E$12=1,PERCENTRANK(S$4:S$91,S31),1-PERCENTRANK(S$4:S$91,S31))*100,"")</f>
        <v>67.900000000000006</v>
      </c>
      <c r="AS31" s="51">
        <f>IFERROR(IF('3 — Weights'!$E$13=1,PERCENTRANK(T$4:T$91,T31),1-PERCENTRANK(T$4:T$91,T31))*100,"")</f>
        <v>88.8</v>
      </c>
      <c r="AT31" s="51">
        <f>IFERROR(IF('3 — Weights'!$E$14=1,PERCENTRANK(U$4:U$91,U31),1-PERCENTRANK(U$4:U$91,U31))*100,"")</f>
        <v>63.4</v>
      </c>
      <c r="AU31" s="51">
        <f>IFERROR(IF('3 — Weights'!$E$15=1,PERCENTRANK(V$4:V$91,V31),1-PERCENTRANK(V$4:V$91,V31))*100,"")</f>
        <v>85.1</v>
      </c>
      <c r="AV31" s="51">
        <f>IFERROR(IF('3 — Weights'!$E$16=1,PERCENTRANK(W$4:W$91,W31),1-PERCENTRANK(W$4:W$91,W31))*100,"")</f>
        <v>75.900000000000006</v>
      </c>
      <c r="AW31" s="51">
        <f>IFERROR(IF('3 — Weights'!$E$17=1,PERCENTRANK(X$4:X$91,X31),1-PERCENTRANK(X$4:X$91,X31))*100,"")</f>
        <v>72.5</v>
      </c>
      <c r="AX31" s="51">
        <f>IFERROR(IF('3 — Weights'!$E$18=1,PERCENTRANK(Y$4:Y$91,Y31),1-PERCENTRANK(Y$4:Y$91,Y31))*100,"")</f>
        <v>88.4</v>
      </c>
      <c r="AY31" s="51">
        <f>IFERROR(IF('3 — Weights'!$E$18=1,PERCENTRANK(Z$4:Z$91,Z31),1-PERCENTRANK(Z$4:Z$91,Z31))*100,"")</f>
        <v>61</v>
      </c>
      <c r="AZ31" s="51">
        <f>IFERROR(IF('3 — Weights'!$E$18=1,PERCENTRANK(AA$4:AA$91,AA31),1-PERCENTRANK(AA$4:AA$91,AA31))*100,"")</f>
        <v>66.3</v>
      </c>
      <c r="BA31" s="51">
        <f>IFERROR(IF('3 — Weights'!$E$21=1,PERCENTRANK(AB$4:AB$91,AB31),1-PERCENTRANK(AB$4:AB$91,AB31))*100,"")</f>
        <v>27.500000000000004</v>
      </c>
      <c r="BB31" s="51">
        <f>IFERROR(IF('3 — Weights'!$E$22=1,PERCENTRANK(AC$4:AC$91,AC31),1-PERCENTRANK(AC$4:AC$91,AC31))*100,"")</f>
        <v>70.099999999999994</v>
      </c>
      <c r="BC31" s="51">
        <f>IFERROR(IF('3 — Weights'!$E$23=1,PERCENTRANK(AD$4:AD$91,AD31),1-PERCENTRANK(AD$4:AD$91,AD31))*100,"")</f>
        <v>74.8</v>
      </c>
      <c r="BD31" s="51">
        <f>IFERROR(IF('3 — Weights'!$E$24=1,PERCENTRANK(AE$4:AE$91,AE31),1-PERCENTRANK(AE$4:AE$91,AE31))*100,"")</f>
        <v>63.3</v>
      </c>
      <c r="BE31" s="51">
        <f>IFERROR(IF('3 — Weights'!$E$25=1,PERCENTRANK(AF$4:AF$91,AF31),1-PERCENTRANK(AF$4:AF$91,AF31))*100,"")</f>
        <v>75.900000000000006</v>
      </c>
      <c r="BF31" s="52" cm="1">
        <f t="array" ref="BF31">IFERROR(SUMPRODUCT(TRANSPOSE(AH31:BE31), [1]!Table2[Weight
Claude]),"")</f>
        <v>53.19</v>
      </c>
      <c r="BG31" s="53" cm="1">
        <f t="array" ref="BG31">IFERROR(SUMPRODUCT(TRANSPOSE(AH31:BE31), [1]!Table2[Weight
Cape IMC]),"")</f>
        <v>53.19</v>
      </c>
    </row>
    <row r="32" spans="1:59" ht="22.5" customHeight="1" x14ac:dyDescent="0.25">
      <c r="A32" s="17">
        <f t="shared" si="0"/>
        <v>29</v>
      </c>
      <c r="B32" s="18" t="s">
        <v>135</v>
      </c>
      <c r="C32" s="18" t="s">
        <v>136</v>
      </c>
      <c r="D32" s="18" t="str">
        <f t="array" ref="D32">IFERROR(_xll.FDS($B32,"FR_RBICS_NAME_CURR(""IND"")"), "")</f>
        <v>Electronic Design Automation Software</v>
      </c>
      <c r="E32" s="18" t="str">
        <f t="array" ref="E32">PROPER(IFERROR(_xll.FDS($B32,"P_DCOUNTRY"), ""))</f>
        <v>United States</v>
      </c>
      <c r="F32" s="19">
        <f t="array" ref="F32">IFERROR(_xll.FDS($B32,"FCS_EV_DAILY(MV,NOW,,,USD,M)"), "")</f>
        <v>80690.399269999994</v>
      </c>
      <c r="G32" s="19">
        <f t="array" ref="G32">IFERROR(_xll.FDS($B32,"AVG(P_VOLUME_FRQ(-1AM,NOW,D,,6))*P_PRICE_AVG(-1AM,NOW,,USD)"), "")</f>
        <v>866.11180699951205</v>
      </c>
      <c r="H32" s="20">
        <f t="array" ref="H32">IFERROR(_xll.FDS($B32,"OS_SEC_FLT_PCT(0D,,MTD,SEC)")/100, "")</f>
        <v>0.99594399999999994</v>
      </c>
      <c r="I32" s="19">
        <f t="array" ref="I32">IFERROR(_xll.FDS($B32,"FE_ACTUAL(ACTUAL,SALES,ANN_ROLL,0,,,,'CURRENCY=USD')"), "")</f>
        <v>5297</v>
      </c>
      <c r="J32" s="19">
        <f t="array" ref="J32">IFERROR(_xll.FDS($B32,"FE_ACTUAL(ACTUAL,EPS,ANN_ROLL,0,,,,'CURRENCY=USD')"), "")</f>
        <v>7.14</v>
      </c>
      <c r="K32" s="20">
        <f t="array" ref="K32">IFERROR(_xll.FDS($B32,"POW(FE_ESTIMATE(SALES,MEAN,STMA,,NOW,,,'CURRENCY=USD')/FE_ESTIMATE(SALES,MEAN,LTMA,,NOW,,,'CURRENCY=USD'),0.5)-1"), "")</f>
        <v>0.126090316093696</v>
      </c>
      <c r="L32" s="20">
        <f t="array" ref="L32">IFERROR(_xll.FDS($B32,"POW(FE_ESTIMATE(EPS,MEAN,STMA,,NOW,,,'CURRENCY=USD')/FE_ESTIMATE(EPS,MEAN,LTMA,,NOW,,,'CURRENCY=USD'),0.5)-1"), "")</f>
        <v>0.14040273587886501</v>
      </c>
      <c r="M32" s="21">
        <f t="array" ref="M32">IFERROR(_xll.FDS($B32,"FF_GROSS_MGN(LTM_R,0)"), "")</f>
        <v>85.610332658140607</v>
      </c>
      <c r="N32" s="21">
        <f t="array" ref="N32">IFERROR(_xll.FDS($B32,"FF_EBITDA_OPER_MGN(LTM_R,0)"), "")</f>
        <v>35.9863267330079</v>
      </c>
      <c r="O32" s="21">
        <f t="array" ref="O32">IFERROR(_xll.FDS($B32,"FF_NET_MGN(LTM_R,0)"), "")</f>
        <v>20.9352171771455</v>
      </c>
      <c r="P32" s="22">
        <f t="array" ref="P32">IFERROR(_xll.FDS($B32,"FE_VALUATION(NETDEBT_EBITDA,MEAN,NTMA,,NOW,,,'')"), "")</f>
        <v>-0.48486942</v>
      </c>
      <c r="Q32" s="23">
        <f t="array" ref="Q32">IFERROR(_xll.FDS($B32,"FE_VALUATION(MCAP_FCF,MEAN,NTMA,,NOW,,,'')"), "")</f>
        <v>2.3396224999999999</v>
      </c>
      <c r="R32" s="23">
        <f t="array" ref="R32">IFERROR(_xll.FDS($B32,"FE_VALUATION(DIV_YLD,MEAN,NTMA,,NOW,,,'')"), "")</f>
        <v>0</v>
      </c>
      <c r="S32" s="21">
        <f t="array" ref="S32">IFERROR(_xll.FDS($B32,"FE_VALUATION(ROE,MEAN,NTMA,,0,,,'')" ), "")</f>
        <v>33.952052999999999</v>
      </c>
      <c r="T32" s="21">
        <f t="array" ref="T32">IFERROR(_xll.FDS($B32,"FE_VALUATION(ROIC,MEAN,NTMA,,0,,,'')" ), "")</f>
        <v>23.698595000000001</v>
      </c>
      <c r="U32" s="22">
        <f t="array" ref="U32">IFERROR(((_xll.FDS($B32,"FE_ACTUAL(ACTUAL,SALES,ANN_ROLL,0,,,,'CURRENCY=USD')")/_xll.FDS($B32,"FE_ACTUAL(ACTUAL,SALES,ANN_ROLL,-1,,,,'CURRENCY=USD')")-1)*100)+(_xll.FDS($B32,"FE_VALUATION(EBITDA_MARGIN,MEAN,ANN_ROLL,0,NOW,,,'')")  ), "")</f>
        <v>61.856142610288913</v>
      </c>
      <c r="V32" s="24">
        <f t="array" ref="V32">IFERROR(_xll.FDS($B32,"FE_VALUATION(PE,MEAN,NTMA,,0,,,'')" ), "")</f>
        <v>35.207805999999998</v>
      </c>
      <c r="W32" s="24">
        <f t="array" ref="W32">IFERROR(_xll.FDS($B32,"FE_VALUATION(P_SALESPS,MEAN,NTMA,,0,,,'')" ), "")</f>
        <v>12.929131999999999</v>
      </c>
      <c r="X32" s="24">
        <f t="array" ref="X32">IFERROR(_xll.FDS($B32,"FE_VALUATION(FFEV_SALES,MEAN,NTMA,,0,,,'')" ), "")</f>
        <v>12.880656999999999</v>
      </c>
      <c r="Y32" s="24">
        <f t="array" ref="Y32">IFERROR(_xll.FDS($B32,"FE_VALUATION(FFEV_EBITDA,MEAN,NTMA,,0,,,'')" ), "")</f>
        <v>27.148523000000001</v>
      </c>
      <c r="Z32" s="20">
        <f t="array" ref="Z32">IFERROR(_xll.FDS($B32,"PERCENT_CHANGE(FE_VALUATION(PE,MEAN,NTMA,,0,,,''),MAX(FE_VALUATION(PE,MEAN,NTMA,,-1AY,0,,'')))")/100,"")</f>
        <v>-0.28810279522291898</v>
      </c>
      <c r="AA32" s="20">
        <f t="array" ref="AA32">IFERROR(_xll.FDS($B32,"PERCENT_CHANGE(FE_VALUATION(FFEV_EBITDA,MEAN,NTMA,,0,,,''),MAX(FE_VALUATION(FFEV_EBITDA,MEAN,NTMA,,-1AY,0,,'')))")/100,"")</f>
        <v>-0.28409078802818599</v>
      </c>
      <c r="AB32" s="20">
        <f t="array" ref="AB32">IFERROR(_xll.FDS($B32,"FG_PRICE(0,,,USD)/P_PRICE_HIGH(-1AY,0,USD,,,""PRICE"",""INTRA"")")-1, "")</f>
        <v>-0.22796158801418498</v>
      </c>
      <c r="AC32" s="20">
        <f t="array" ref="AC32">IFERROR(_xll.FDS($B32,"RTP_PRICE_TARGET(USD)/FG_PRICE(0,,,USD)")-1, "")</f>
        <v>0.28685958091043995</v>
      </c>
      <c r="AD32" s="25">
        <f t="array" ref="AD32">IFERROR(_xll.FDS($B32,"FG_PRICE(0,,,USD)/FG_PRICE_MAVG(0,,,USD,50)")-1, "")</f>
        <v>-5.5016673689906037E-2</v>
      </c>
      <c r="AE32" s="25">
        <f t="array" ref="AE32">IFERROR(_xll.FDS($B32,"FG_PRICE(0,,,USD)/FG_PRICE_MAVG(0,,,USD,100)")-1, "")</f>
        <v>-8.620510219706301E-2</v>
      </c>
      <c r="AF32" s="25">
        <f t="array" ref="AF32">IFERROR(_xll.FDS($B32,"FG_PRICE(0,,,USD)/FG_PRICE_MAVG(0,,,USD,200)")-1, "")</f>
        <v>-0.10289630866664001</v>
      </c>
      <c r="AG32" s="26" t="str">
        <f t="array" ref="AG32">IFERROR(_xll.FDS($B32,"FE_RATING(MEAN,TEXTONLY,0,NOW,,,'')"), "")</f>
        <v>Buy</v>
      </c>
      <c r="AH32" s="50">
        <f>IFERROR(IF('3 — Weights'!$E$2=1,PERCENTRANK(I$4:I$91,I32),1-PERCENTRANK(I$4:I$91,I32))*100,"")</f>
        <v>78.100000000000009</v>
      </c>
      <c r="AI32" s="51">
        <f>IFERROR(IF('3 — Weights'!$E$3=1,PERCENTRANK(J$4:J$91,J32),1-PERCENTRANK(J$4:J$91,J32))*100,"")</f>
        <v>80.400000000000006</v>
      </c>
      <c r="AJ32" s="51">
        <f>IFERROR(IF('3 — Weights'!$E$4=1,PERCENTRANK(K$4:K$91,K32),1-PERCENTRANK(K$4:K$91,K32))*100,"")</f>
        <v>48.199999999999996</v>
      </c>
      <c r="AK32" s="51">
        <f>IFERROR(IF('3 — Weights'!$E$5=1,PERCENTRANK(L$4:L$91,L32),1-PERCENTRANK(L$4:L$91,L32))*100,"")</f>
        <v>33.300000000000004</v>
      </c>
      <c r="AL32" s="51">
        <f>IFERROR(IF('3 — Weights'!$E$6=1,PERCENTRANK(M$4:M$91,M32),1-PERCENTRANK(M$4:M$91,M32))*100,"")</f>
        <v>96.3</v>
      </c>
      <c r="AM32" s="51">
        <f>IFERROR(IF('3 — Weights'!$E$7=1,PERCENTRANK(N$4:N$91,N32),1-PERCENTRANK(N$4:N$91,N32))*100,"")</f>
        <v>84.399999999999991</v>
      </c>
      <c r="AN32" s="51">
        <f>IFERROR(IF('3 — Weights'!$E$8=1,PERCENTRANK(O$4:O$91,O32),1-PERCENTRANK(O$4:O$91,O32))*100,"")</f>
        <v>78.3</v>
      </c>
      <c r="AO32" s="51">
        <f>IFERROR(IF('3 — Weights'!$E$9=1,PERCENTRANK(P$4:P$91,P32),1-PERCENTRANK(P$4:P$91,P32))*100,"")</f>
        <v>36.199999999999996</v>
      </c>
      <c r="AP32" s="51">
        <f>IFERROR(IF('3 — Weights'!$E$10=1,PERCENTRANK(Q$4:Q$91,Q32),1-PERCENTRANK(Q$4:Q$91,Q32))*100,"")</f>
        <v>13</v>
      </c>
      <c r="AQ32" s="51">
        <f>IFERROR(IF('3 — Weights'!$E$11=1,PERCENTRANK(R$4:R$91,R32),1-PERCENTRANK(R$4:R$91,R32))*100,"")</f>
        <v>0</v>
      </c>
      <c r="AR32" s="51">
        <f>IFERROR(IF('3 — Weights'!$E$12=1,PERCENTRANK(S$4:S$91,S32),1-PERCENTRANK(S$4:S$91,S32))*100,"")</f>
        <v>80.2</v>
      </c>
      <c r="AS32" s="51">
        <f>IFERROR(IF('3 — Weights'!$E$13=1,PERCENTRANK(T$4:T$91,T32),1-PERCENTRANK(T$4:T$91,T32))*100,"")</f>
        <v>72.2</v>
      </c>
      <c r="AT32" s="51">
        <f>IFERROR(IF('3 — Weights'!$E$14=1,PERCENTRANK(U$4:U$91,U32),1-PERCENTRANK(U$4:U$91,U32))*100,"")</f>
        <v>85.3</v>
      </c>
      <c r="AU32" s="51">
        <f>IFERROR(IF('3 — Weights'!$E$15=1,PERCENTRANK(V$4:V$91,V32),1-PERCENTRANK(V$4:V$91,V32))*100,"")</f>
        <v>26.5</v>
      </c>
      <c r="AV32" s="51">
        <f>IFERROR(IF('3 — Weights'!$E$16=1,PERCENTRANK(W$4:W$91,W32),1-PERCENTRANK(W$4:W$91,W32))*100,"")</f>
        <v>6.899999999999995</v>
      </c>
      <c r="AW32" s="51">
        <f>IFERROR(IF('3 — Weights'!$E$17=1,PERCENTRANK(X$4:X$91,X32),1-PERCENTRANK(X$4:X$91,X32))*100,"")</f>
        <v>6.899999999999995</v>
      </c>
      <c r="AX32" s="51">
        <f>IFERROR(IF('3 — Weights'!$E$18=1,PERCENTRANK(Y$4:Y$91,Y32),1-PERCENTRANK(Y$4:Y$91,Y32))*100,"")</f>
        <v>18.700000000000006</v>
      </c>
      <c r="AY32" s="51">
        <f>IFERROR(IF('3 — Weights'!$E$18=1,PERCENTRANK(Z$4:Z$91,Z32),1-PERCENTRANK(Z$4:Z$91,Z32))*100,"")</f>
        <v>8.0999999999999961</v>
      </c>
      <c r="AZ32" s="51">
        <f>IFERROR(IF('3 — Weights'!$E$18=1,PERCENTRANK(AA$4:AA$91,AA32),1-PERCENTRANK(AA$4:AA$91,AA32))*100,"")</f>
        <v>12.8</v>
      </c>
      <c r="BA32" s="51">
        <f>IFERROR(IF('3 — Weights'!$E$21=1,PERCENTRANK(AB$4:AB$91,AB32),1-PERCENTRANK(AB$4:AB$91,AB32))*100,"")</f>
        <v>91.9</v>
      </c>
      <c r="BB32" s="51">
        <f>IFERROR(IF('3 — Weights'!$E$22=1,PERCENTRANK(AC$4:AC$91,AC32),1-PERCENTRANK(AC$4:AC$91,AC32))*100,"")</f>
        <v>19.5</v>
      </c>
      <c r="BC32" s="51">
        <f>IFERROR(IF('3 — Weights'!$E$23=1,PERCENTRANK(AD$4:AD$91,AD32),1-PERCENTRANK(AD$4:AD$91,AD32))*100,"")</f>
        <v>16.100000000000001</v>
      </c>
      <c r="BD32" s="51">
        <f>IFERROR(IF('3 — Weights'!$E$24=1,PERCENTRANK(AE$4:AE$91,AE32),1-PERCENTRANK(AE$4:AE$91,AE32))*100,"")</f>
        <v>17.300000000000004</v>
      </c>
      <c r="BE32" s="51">
        <f>IFERROR(IF('3 — Weights'!$E$25=1,PERCENTRANK(AF$4:AF$91,AF32),1-PERCENTRANK(AF$4:AF$91,AF32))*100,"")</f>
        <v>15.000000000000002</v>
      </c>
      <c r="BF32" s="52" cm="1">
        <f t="array" ref="BF32">IFERROR(SUMPRODUCT(TRANSPOSE(AH32:BE32), [1]!Table2[Weight
Claude]),"")</f>
        <v>53.325000000000003</v>
      </c>
      <c r="BG32" s="53" cm="1">
        <f t="array" ref="BG32">IFERROR(SUMPRODUCT(TRANSPOSE(AH32:BE32), [1]!Table2[Weight
Cape IMC]),"")</f>
        <v>53.325000000000003</v>
      </c>
    </row>
    <row r="33" spans="1:59" ht="22.5" customHeight="1" x14ac:dyDescent="0.25">
      <c r="A33" s="17">
        <f t="shared" si="0"/>
        <v>26</v>
      </c>
      <c r="B33" s="18" t="s">
        <v>137</v>
      </c>
      <c r="C33" s="18" t="s">
        <v>138</v>
      </c>
      <c r="D33" s="18" t="str">
        <f t="array" ref="D33">IFERROR(_xll.FDS($B33,"FR_RBICS_NAME_CURR(""IND"")"), "")</f>
        <v>Asset Management Software</v>
      </c>
      <c r="E33" s="18" t="str">
        <f t="array" ref="E33">PROPER(IFERROR(_xll.FDS($B33,"P_DCOUNTRY"), ""))</f>
        <v>United States</v>
      </c>
      <c r="F33" s="19">
        <f t="array" ref="F33">IFERROR(_xll.FDS($B33,"FCS_EV_DAILY(MV,NOW,,,USD,M)"), "")</f>
        <v>15619.348033230001</v>
      </c>
      <c r="G33" s="19">
        <f t="array" ref="G33">IFERROR(_xll.FDS($B33,"AVG(P_VOLUME_FRQ(-1AM,NOW,D,,6))*P_PRICE_AVG(-1AM,NOW,,USD)"), "")</f>
        <v>243.49440929359</v>
      </c>
      <c r="H33" s="20">
        <f t="array" ref="H33">IFERROR(_xll.FDS($B33,"OS_SEC_FLT_PCT(0D,,MTD,SEC)")/100, "")</f>
        <v>0.96965800000000002</v>
      </c>
      <c r="I33" s="19">
        <f t="array" ref="I33">IFERROR(_xll.FDS($B33,"FE_ACTUAL(ACTUAL,SALES,ANN_ROLL,0,,,,'CURRENCY=USD')"), "")</f>
        <v>1249.1990000000001</v>
      </c>
      <c r="J33" s="19">
        <f t="array" ref="J33">IFERROR(_xll.FDS($B33,"FE_ACTUAL(ACTUAL,EPS,ANN_ROLL,0,,,,'CURRENCY=USD')"), "")</f>
        <v>0.26</v>
      </c>
      <c r="K33" s="20">
        <f t="array" ref="K33">IFERROR(_xll.FDS($B33,"POW(FE_ESTIMATE(SALES,MEAN,STMA,,NOW,,,'CURRENCY=USD')/FE_ESTIMATE(SALES,MEAN,LTMA,,NOW,,,'CURRENCY=USD'),0.5)-1"), "")</f>
        <v>0.203301292278871</v>
      </c>
      <c r="L33" s="20">
        <f t="array" ref="L33">IFERROR(_xll.FDS($B33,"POW(FE_ESTIMATE(EPS,MEAN,STMA,,NOW,,,'CURRENCY=USD')/FE_ESTIMATE(EPS,MEAN,LTMA,,NOW,,,'CURRENCY=USD'),0.5)-1"), "")</f>
        <v>0.20170574601272501</v>
      </c>
      <c r="M33" s="21">
        <f t="array" ref="M33">IFERROR(_xll.FDS($B33,"FF_GROSS_MGN(LTM_R,0)"), "")</f>
        <v>76.921523922008603</v>
      </c>
      <c r="N33" s="21">
        <f t="array" ref="N33">IFERROR(_xll.FDS($B33,"FF_EBITDA_OPER_MGN(LTM_R,0)"), "")</f>
        <v>4.9434148631914798</v>
      </c>
      <c r="O33" s="21">
        <f t="array" ref="O33">IFERROR(_xll.FDS($B33,"FF_NET_MGN(LTM_R,0)"), "")</f>
        <v>-2.7854920562477798</v>
      </c>
      <c r="P33" s="22">
        <f t="array" ref="P33">IFERROR(_xll.FDS($B33,"FE_VALUATION(NETDEBT_EBITDA,MEAN,NTMA,,NOW,,,'')"), "")</f>
        <v>-3.1329020000000001</v>
      </c>
      <c r="Q33" s="23">
        <f t="array" ref="Q33">IFERROR(_xll.FDS($B33,"FE_VALUATION(MCAP_FCF,MEAN,NTMA,,NOW,,,'')"), "")</f>
        <v>1.7803563</v>
      </c>
      <c r="R33" s="23">
        <f t="array" ref="R33">IFERROR(_xll.FDS($B33,"FE_VALUATION(DIV_YLD,MEAN,NTMA,,NOW,,,'')"), "")</f>
        <v>0</v>
      </c>
      <c r="S33" s="21">
        <f t="array" ref="S33">IFERROR(_xll.FDS($B33,"FE_VALUATION(ROE,MEAN,NTMA,,0,,,'')" ), "")</f>
        <v>20.341619999999999</v>
      </c>
      <c r="T33" s="21">
        <f t="array" ref="T33">IFERROR(_xll.FDS($B33,"FE_VALUATION(ROIC,MEAN,NTMA,,0,,,'')" ), "")</f>
        <v>19.362839000000001</v>
      </c>
      <c r="U33" s="22">
        <f t="array" ref="U33">IFERROR(((_xll.FDS($B33,"FE_ACTUAL(ACTUAL,SALES,ANN_ROLL,0,,,,'CURRENCY=USD')")/_xll.FDS($B33,"FE_ACTUAL(ACTUAL,SALES,ANN_ROLL,-1,,,,'CURRENCY=USD')")-1)*100)+(_xll.FDS($B33,"FE_VALUATION(EBITDA_MARGIN,MEAN,ANN_ROLL,0,NOW,,,'')")  ), "")</f>
        <v>44.002584413490716</v>
      </c>
      <c r="V33" s="24">
        <f t="array" ref="V33">IFERROR(_xll.FDS($B33,"FE_VALUATION(PE,MEAN,NTMA,,0,,,'')" ), "")</f>
        <v>43.401505</v>
      </c>
      <c r="W33" s="24">
        <f t="array" ref="W33">IFERROR(_xll.FDS($B33,"FE_VALUATION(P_SALESPS,MEAN,NTMA,,0,,,'')" ), "")</f>
        <v>7.7412995999999996</v>
      </c>
      <c r="X33" s="24">
        <f t="array" ref="X33">IFERROR(_xll.FDS($B33,"FE_VALUATION(FFEV_SALES,MEAN,NTMA,,0,,,'')" ), "")</f>
        <v>7.5040069999999996</v>
      </c>
      <c r="Y33" s="24">
        <f t="array" ref="Y33">IFERROR(_xll.FDS($B33,"FE_VALUATION(FFEV_EBITDA,MEAN,NTMA,,0,,,'')" ), "")</f>
        <v>41.524299999999997</v>
      </c>
      <c r="Z33" s="20">
        <f t="array" ref="Z33">IFERROR(_xll.FDS($B33,"PERCENT_CHANGE(FE_VALUATION(PE,MEAN,NTMA,,0,,,''),MAX(FE_VALUATION(PE,MEAN,NTMA,,-1AY,0,,'')))")/100,"")</f>
        <v>-0.75299961323584796</v>
      </c>
      <c r="AA33" s="20">
        <f t="array" ref="AA33">IFERROR(_xll.FDS($B33,"PERCENT_CHANGE(FE_VALUATION(FFEV_EBITDA,MEAN,NTMA,,0,,,''),MAX(FE_VALUATION(FFEV_EBITDA,MEAN,NTMA,,-1AY,0,,'')))")/100,"")</f>
        <v>-0.7536562858453949</v>
      </c>
      <c r="AB33" s="20">
        <f t="array" ref="AB33">IFERROR(_xll.FDS($B33,"FG_PRICE(0,,,USD)/P_PRICE_HIGH(-1AY,0,USD,,,""PRICE"",""INTRA"")")-1, "")</f>
        <v>-0.50811320754716993</v>
      </c>
      <c r="AC33" s="20">
        <f t="array" ref="AC33">IFERROR(_xll.FDS($B33,"RTP_PRICE_TARGET(USD)/FG_PRICE(0,,,USD)")-1, "")</f>
        <v>0.74731031837361006</v>
      </c>
      <c r="AD33" s="25">
        <f t="array" ref="AD33">IFERROR(_xll.FDS($B33,"FG_PRICE(0,,,USD)/FG_PRICE_MAVG(0,,,USD,50)")-1, "")</f>
        <v>-0.19051345107683104</v>
      </c>
      <c r="AE33" s="25">
        <f t="array" ref="AE33">IFERROR(_xll.FDS($B33,"FG_PRICE(0,,,USD)/FG_PRICE_MAVG(0,,,USD,100)")-1, "")</f>
        <v>-0.26617538605310997</v>
      </c>
      <c r="AF33" s="25">
        <f t="array" ref="AF33">IFERROR(_xll.FDS($B33,"FG_PRICE(0,,,USD)/FG_PRICE_MAVG(0,,,USD,200)")-1, "")</f>
        <v>-0.30490009438640797</v>
      </c>
      <c r="AG33" s="26" t="str">
        <f t="array" ref="AG33">IFERROR(_xll.FDS($B33,"FE_RATING(MEAN,TEXTONLY,0,NOW,,,'')"), "")</f>
        <v>Buy</v>
      </c>
      <c r="AH33" s="50">
        <f>IFERROR(IF('3 — Weights'!$E$2=1,PERCENTRANK(I$4:I$91,I33),1-PERCENTRANK(I$4:I$91,I33))*100,"")</f>
        <v>41.3</v>
      </c>
      <c r="AI33" s="51">
        <f>IFERROR(IF('3 — Weights'!$E$3=1,PERCENTRANK(J$4:J$91,J33),1-PERCENTRANK(J$4:J$91,J33))*100,"")</f>
        <v>13.700000000000001</v>
      </c>
      <c r="AJ33" s="51">
        <f>IFERROR(IF('3 — Weights'!$E$4=1,PERCENTRANK(K$4:K$91,K33),1-PERCENTRANK(K$4:K$91,K33))*100,"")</f>
        <v>86.2</v>
      </c>
      <c r="AK33" s="51">
        <f>IFERROR(IF('3 — Weights'!$E$5=1,PERCENTRANK(L$4:L$91,L33),1-PERCENTRANK(L$4:L$91,L33))*100,"")</f>
        <v>67.800000000000011</v>
      </c>
      <c r="AL33" s="51">
        <f>IFERROR(IF('3 — Weights'!$E$6=1,PERCENTRANK(M$4:M$91,M33),1-PERCENTRANK(M$4:M$91,M33))*100,"")</f>
        <v>65.8</v>
      </c>
      <c r="AM33" s="51">
        <f>IFERROR(IF('3 — Weights'!$E$7=1,PERCENTRANK(N$4:N$91,N33),1-PERCENTRANK(N$4:N$91,N33))*100,"")</f>
        <v>24.6</v>
      </c>
      <c r="AN33" s="51">
        <f>IFERROR(IF('3 — Weights'!$E$8=1,PERCENTRANK(O$4:O$91,O33),1-PERCENTRANK(O$4:O$91,O33))*100,"")</f>
        <v>25.3</v>
      </c>
      <c r="AO33" s="51">
        <f>IFERROR(IF('3 — Weights'!$E$9=1,PERCENTRANK(P$4:P$91,P33),1-PERCENTRANK(P$4:P$91,P33))*100,"")</f>
        <v>82</v>
      </c>
      <c r="AP33" s="51">
        <f>IFERROR(IF('3 — Weights'!$E$10=1,PERCENTRANK(Q$4:Q$91,Q33),1-PERCENTRANK(Q$4:Q$91,Q33))*100,"")</f>
        <v>8.3000000000000007</v>
      </c>
      <c r="AQ33" s="51">
        <f>IFERROR(IF('3 — Weights'!$E$11=1,PERCENTRANK(R$4:R$91,R33),1-PERCENTRANK(R$4:R$91,R33))*100,"")</f>
        <v>0</v>
      </c>
      <c r="AR33" s="51">
        <f>IFERROR(IF('3 — Weights'!$E$12=1,PERCENTRANK(S$4:S$91,S33),1-PERCENTRANK(S$4:S$91,S33))*100,"")</f>
        <v>46.9</v>
      </c>
      <c r="AS33" s="51">
        <f>IFERROR(IF('3 — Weights'!$E$13=1,PERCENTRANK(T$4:T$91,T33),1-PERCENTRANK(T$4:T$91,T33))*100,"")</f>
        <v>59.699999999999996</v>
      </c>
      <c r="AT33" s="51">
        <f>IFERROR(IF('3 — Weights'!$E$14=1,PERCENTRANK(U$4:U$91,U33),1-PERCENTRANK(U$4:U$91,U33))*100,"")</f>
        <v>46.300000000000004</v>
      </c>
      <c r="AU33" s="51">
        <f>IFERROR(IF('3 — Weights'!$E$15=1,PERCENTRANK(V$4:V$91,V33),1-PERCENTRANK(V$4:V$91,V33))*100,"")</f>
        <v>18.400000000000006</v>
      </c>
      <c r="AV33" s="51">
        <f>IFERROR(IF('3 — Weights'!$E$16=1,PERCENTRANK(W$4:W$91,W33),1-PERCENTRANK(W$4:W$91,W33))*100,"")</f>
        <v>23</v>
      </c>
      <c r="AW33" s="51">
        <f>IFERROR(IF('3 — Weights'!$E$17=1,PERCENTRANK(X$4:X$91,X33),1-PERCENTRANK(X$4:X$91,X33))*100,"")</f>
        <v>19.599999999999994</v>
      </c>
      <c r="AX33" s="51">
        <f>IFERROR(IF('3 — Weights'!$E$18=1,PERCENTRANK(Y$4:Y$91,Y33),1-PERCENTRANK(Y$4:Y$91,Y33))*100,"")</f>
        <v>12.8</v>
      </c>
      <c r="AY33" s="51">
        <f>IFERROR(IF('3 — Weights'!$E$18=1,PERCENTRANK(Z$4:Z$91,Z33),1-PERCENTRANK(Z$4:Z$91,Z33))*100,"")</f>
        <v>93.199999999999989</v>
      </c>
      <c r="AZ33" s="51">
        <f>IFERROR(IF('3 — Weights'!$E$18=1,PERCENTRANK(AA$4:AA$91,AA33),1-PERCENTRANK(AA$4:AA$91,AA33))*100,"")</f>
        <v>95.399999999999991</v>
      </c>
      <c r="BA33" s="51">
        <f>IFERROR(IF('3 — Weights'!$E$21=1,PERCENTRANK(AB$4:AB$91,AB33),1-PERCENTRANK(AB$4:AB$91,AB33))*100,"")</f>
        <v>28.7</v>
      </c>
      <c r="BB33" s="51">
        <f>IFERROR(IF('3 — Weights'!$E$22=1,PERCENTRANK(AC$4:AC$91,AC33),1-PERCENTRANK(AC$4:AC$91,AC33))*100,"")</f>
        <v>79.3</v>
      </c>
      <c r="BC33" s="51">
        <f>IFERROR(IF('3 — Weights'!$E$23=1,PERCENTRANK(AD$4:AD$91,AD33),1-PERCENTRANK(AD$4:AD$91,AD33))*100,"")</f>
        <v>50.6</v>
      </c>
      <c r="BD33" s="51">
        <f>IFERROR(IF('3 — Weights'!$E$24=1,PERCENTRANK(AE$4:AE$91,AE33),1-PERCENTRANK(AE$4:AE$91,AE33))*100,"")</f>
        <v>57.499999999999993</v>
      </c>
      <c r="BE33" s="51">
        <f>IFERROR(IF('3 — Weights'!$E$25=1,PERCENTRANK(AF$4:AF$91,AF33),1-PERCENTRANK(AF$4:AF$91,AF33))*100,"")</f>
        <v>56.400000000000006</v>
      </c>
      <c r="BF33" s="52" cm="1">
        <f t="array" ref="BF33">IFERROR(SUMPRODUCT(TRANSPOSE(AH33:BE33), [1]!Table2[Weight
Claude]),"")</f>
        <v>53.544999999999987</v>
      </c>
      <c r="BG33" s="53" cm="1">
        <f t="array" ref="BG33">IFERROR(SUMPRODUCT(TRANSPOSE(AH33:BE33), [1]!Table2[Weight
Cape IMC]),"")</f>
        <v>53.544999999999987</v>
      </c>
    </row>
    <row r="34" spans="1:59" ht="22.5" customHeight="1" x14ac:dyDescent="0.25">
      <c r="A34" s="17">
        <f t="shared" si="0"/>
        <v>31</v>
      </c>
      <c r="B34" s="18" t="s">
        <v>139</v>
      </c>
      <c r="C34" s="18" t="s">
        <v>140</v>
      </c>
      <c r="D34" s="18" t="str">
        <f t="array" ref="D34">IFERROR(_xll.FDS($B34,"FR_RBICS_NAME_CURR(""IND"")"), "")</f>
        <v>Network Infrastructure Software</v>
      </c>
      <c r="E34" s="18" t="str">
        <f t="array" ref="E34">PROPER(IFERROR(_xll.FDS($B34,"P_DCOUNTRY"), ""))</f>
        <v>United States</v>
      </c>
      <c r="F34" s="19">
        <f t="array" ref="F34">IFERROR(_xll.FDS($B34,"FCS_EV_DAILY(MV,NOW,,,USD,M)"), "")</f>
        <v>4855.97159164</v>
      </c>
      <c r="G34" s="19">
        <f t="array" ref="G34">IFERROR(_xll.FDS($B34,"AVG(P_VOLUME_FRQ(-1AM,NOW,D,,6))*P_PRICE_AVG(-1AM,NOW,,USD)"), "")</f>
        <v>113.912380326877</v>
      </c>
      <c r="H34" s="20">
        <f t="array" ref="H34">IFERROR(_xll.FDS($B34,"OS_SEC_FLT_PCT(0D,,MTD,SEC)")/100, "")</f>
        <v>0.95608500000000007</v>
      </c>
      <c r="I34" s="19">
        <f t="array" ref="I34">IFERROR(_xll.FDS($B34,"FE_ACTUAL(ACTUAL,SALES,ANN_ROLL,0,,,,'CURRENCY=USD')"), "")</f>
        <v>821.46100000000001</v>
      </c>
      <c r="J34" s="19">
        <f t="array" ref="J34">IFERROR(_xll.FDS($B34,"FE_ACTUAL(ACTUAL,EPS,ANN_ROLL,0,,,,'CURRENCY=USD')"), "")</f>
        <v>0.05</v>
      </c>
      <c r="K34" s="20">
        <f t="array" ref="K34">IFERROR(_xll.FDS($B34,"POW(FE_ESTIMATE(SALES,MEAN,STMA,,NOW,,,'CURRENCY=USD')/FE_ESTIMATE(SALES,MEAN,LTMA,,NOW,,,'CURRENCY=USD'),0.5)-1"), "")</f>
        <v>0.17791502240187099</v>
      </c>
      <c r="L34" s="20">
        <f t="array" ref="L34">IFERROR(_xll.FDS($B34,"POW(FE_ESTIMATE(EPS,MEAN,STMA,,NOW,,,'CURRENCY=USD')/FE_ESTIMATE(EPS,MEAN,LTMA,,NOW,,,'CURRENCY=USD'),0.5)-1"), "")</f>
        <v>0.47965823756704001</v>
      </c>
      <c r="M34" s="21">
        <f t="array" ref="M34">IFERROR(_xll.FDS($B34,"FF_GROSS_MGN(LTM_R,0)"), "")</f>
        <v>74.454976005759406</v>
      </c>
      <c r="N34" s="21">
        <f t="array" ref="N34">IFERROR(_xll.FDS($B34,"FF_EBITDA_OPER_MGN(LTM_R,0)"), "")</f>
        <v>-27.317437628577899</v>
      </c>
      <c r="O34" s="21">
        <f t="array" ref="O34">IFERROR(_xll.FDS($B34,"FF_NET_MGN(LTM_R,0)"), "")</f>
        <v>-43.038007797866598</v>
      </c>
      <c r="P34" s="22">
        <f t="array" ref="P34">IFERROR(_xll.FDS($B34,"FE_VALUATION(NETDEBT_EBITDA,MEAN,NTMA,,NOW,,,'')"), "")</f>
        <v>-5.5412134999999996</v>
      </c>
      <c r="Q34" s="23">
        <f t="array" ref="Q34">IFERROR(_xll.FDS($B34,"FE_VALUATION(MCAP_FCF,MEAN,NTMA,,NOW,,,'')"), "")</f>
        <v>3.1149848000000002</v>
      </c>
      <c r="R34" s="23">
        <f t="array" ref="R34">IFERROR(_xll.FDS($B34,"FE_VALUATION(DIV_YLD,MEAN,NTMA,,NOW,,,'')"), "")</f>
        <v>0</v>
      </c>
      <c r="S34" s="21">
        <f t="array" ref="S34">IFERROR(_xll.FDS($B34,"FE_VALUATION(ROE,MEAN,NTMA,,0,,,'')" ), "")</f>
        <v>6.5612545000000004</v>
      </c>
      <c r="T34" s="21">
        <f t="array" ref="T34">IFERROR(_xll.FDS($B34,"FE_VALUATION(ROIC,MEAN,NTMA,,0,,,'')" ), "")</f>
        <v>6.5843889999999998</v>
      </c>
      <c r="U34" s="22">
        <f t="array" ref="U34">IFERROR(((_xll.FDS($B34,"FE_ACTUAL(ACTUAL,SALES,ANN_ROLL,0,,,,'CURRENCY=USD')")/_xll.FDS($B34,"FE_ACTUAL(ACTUAL,SALES,ANN_ROLL,-1,,,,'CURRENCY=USD')")-1)*100)+(_xll.FDS($B34,"FE_VALUATION(EBITDA_MARGIN,MEAN,ANN_ROLL,0,NOW,,,'')")  ), "")</f>
        <v>33.624571576456091</v>
      </c>
      <c r="V34" s="24">
        <f t="array" ref="V34">IFERROR(_xll.FDS($B34,"FE_VALUATION(PE,MEAN,NTMA,,0,,,'')" ), "")</f>
        <v>41.223731999999998</v>
      </c>
      <c r="W34" s="24">
        <f t="array" ref="W34">IFERROR(_xll.FDS($B34,"FE_VALUATION(P_SALESPS,MEAN,NTMA,,0,,,'')" ), "")</f>
        <v>3.5757177000000002</v>
      </c>
      <c r="X34" s="24">
        <f t="array" ref="X34">IFERROR(_xll.FDS($B34,"FE_VALUATION(FFEV_SALES,MEAN,NTMA,,0,,,'')" ), "")</f>
        <v>2.9719036000000001</v>
      </c>
      <c r="Y34" s="24">
        <f t="array" ref="Y34">IFERROR(_xll.FDS($B34,"FE_VALUATION(FFEV_EBITDA,MEAN,NTMA,,0,,,'')" ), "")</f>
        <v>26.600372</v>
      </c>
      <c r="Z34" s="20">
        <f t="array" ref="Z34">IFERROR(_xll.FDS($B34,"PERCENT_CHANGE(FE_VALUATION(PE,MEAN,NTMA,,0,,,''),MAX(FE_VALUATION(PE,MEAN,NTMA,,-1AY,0,,'')))")/100,"")</f>
        <v>-0.60476547178648199</v>
      </c>
      <c r="AA34" s="20">
        <f t="array" ref="AA34">IFERROR(_xll.FDS($B34,"PERCENT_CHANGE(FE_VALUATION(FFEV_EBITDA,MEAN,NTMA,,0,,,''),MAX(FE_VALUATION(FFEV_EBITDA,MEAN,NTMA,,-1AY,0,,'')))")/100,"")</f>
        <v>-0.71234058917014198</v>
      </c>
      <c r="AB34" s="20">
        <f t="array" ref="AB34">IFERROR(_xll.FDS($B34,"FG_PRICE(0,,,USD)/P_PRICE_HIGH(-1AY,0,USD,,,""PRICE"",""INTRA"")")-1, "")</f>
        <v>-0.42431761786600497</v>
      </c>
      <c r="AC34" s="20">
        <f t="array" ref="AC34">IFERROR(_xll.FDS($B34,"RTP_PRICE_TARGET(USD)/FG_PRICE(0,,,USD)")-1, "")</f>
        <v>0.62984913793103003</v>
      </c>
      <c r="AD34" s="25">
        <f t="array" ref="AD34">IFERROR(_xll.FDS($B34,"FG_PRICE(0,,,USD)/FG_PRICE_MAVG(0,,,USD,50)")-1, "")</f>
        <v>-0.10486292336616398</v>
      </c>
      <c r="AE34" s="25">
        <f t="array" ref="AE34">IFERROR(_xll.FDS($B34,"FG_PRICE(0,,,USD)/FG_PRICE_MAVG(0,,,USD,100)")-1, "")</f>
        <v>-0.17806807348432196</v>
      </c>
      <c r="AF34" s="25">
        <f t="array" ref="AF34">IFERROR(_xll.FDS($B34,"FG_PRICE(0,,,USD)/FG_PRICE_MAVG(0,,,USD,200)")-1, "")</f>
        <v>-0.24285803291431396</v>
      </c>
      <c r="AG34" s="26" t="str">
        <f t="array" ref="AG34">IFERROR(_xll.FDS($B34,"FE_RATING(MEAN,TEXTONLY,0,NOW,,,'')"), "")</f>
        <v>Overweight</v>
      </c>
      <c r="AH34" s="50">
        <f>IFERROR(IF('3 — Weights'!$E$2=1,PERCENTRANK(I$4:I$91,I34),1-PERCENTRANK(I$4:I$91,I34))*100,"")</f>
        <v>22.900000000000002</v>
      </c>
      <c r="AI34" s="51">
        <f>IFERROR(IF('3 — Weights'!$E$3=1,PERCENTRANK(J$4:J$91,J34),1-PERCENTRANK(J$4:J$91,J34))*100,"")</f>
        <v>8</v>
      </c>
      <c r="AJ34" s="51">
        <f>IFERROR(IF('3 — Weights'!$E$4=1,PERCENTRANK(K$4:K$91,K34),1-PERCENTRANK(K$4:K$91,K34))*100,"")</f>
        <v>72.399999999999991</v>
      </c>
      <c r="AK34" s="51">
        <f>IFERROR(IF('3 — Weights'!$E$5=1,PERCENTRANK(L$4:L$91,L34),1-PERCENTRANK(L$4:L$91,L34))*100,"")</f>
        <v>92.800000000000011</v>
      </c>
      <c r="AL34" s="51">
        <f>IFERROR(IF('3 — Weights'!$E$6=1,PERCENTRANK(M$4:M$91,M34),1-PERCENTRANK(M$4:M$91,M34))*100,"")</f>
        <v>52.400000000000006</v>
      </c>
      <c r="AM34" s="51">
        <f>IFERROR(IF('3 — Weights'!$E$7=1,PERCENTRANK(N$4:N$91,N34),1-PERCENTRANK(N$4:N$91,N34))*100,"")</f>
        <v>2.5</v>
      </c>
      <c r="AN34" s="51">
        <f>IFERROR(IF('3 — Weights'!$E$8=1,PERCENTRANK(O$4:O$91,O34),1-PERCENTRANK(O$4:O$91,O34))*100,"")</f>
        <v>1.2</v>
      </c>
      <c r="AO34" s="51">
        <f>IFERROR(IF('3 — Weights'!$E$9=1,PERCENTRANK(P$4:P$91,P34),1-PERCENTRANK(P$4:P$91,P34))*100,"")</f>
        <v>96.399999999999991</v>
      </c>
      <c r="AP34" s="51">
        <f>IFERROR(IF('3 — Weights'!$E$10=1,PERCENTRANK(Q$4:Q$91,Q34),1-PERCENTRANK(Q$4:Q$91,Q34))*100,"")</f>
        <v>26.1</v>
      </c>
      <c r="AQ34" s="51">
        <f>IFERROR(IF('3 — Weights'!$E$11=1,PERCENTRANK(R$4:R$91,R34),1-PERCENTRANK(R$4:R$91,R34))*100,"")</f>
        <v>0</v>
      </c>
      <c r="AR34" s="51">
        <f>IFERROR(IF('3 — Weights'!$E$12=1,PERCENTRANK(S$4:S$91,S34),1-PERCENTRANK(S$4:S$91,S34))*100,"")</f>
        <v>7.3999999999999995</v>
      </c>
      <c r="AS34" s="51">
        <f>IFERROR(IF('3 — Weights'!$E$13=1,PERCENTRANK(T$4:T$91,T34),1-PERCENTRANK(T$4:T$91,T34))*100,"")</f>
        <v>11.1</v>
      </c>
      <c r="AT34" s="51">
        <f>IFERROR(IF('3 — Weights'!$E$14=1,PERCENTRANK(U$4:U$91,U34),1-PERCENTRANK(U$4:U$91,U34))*100,"")</f>
        <v>17</v>
      </c>
      <c r="AU34" s="51">
        <f>IFERROR(IF('3 — Weights'!$E$15=1,PERCENTRANK(V$4:V$91,V34),1-PERCENTRANK(V$4:V$91,V34))*100,"")</f>
        <v>20.699999999999996</v>
      </c>
      <c r="AV34" s="51">
        <f>IFERROR(IF('3 — Weights'!$E$16=1,PERCENTRANK(W$4:W$91,W34),1-PERCENTRANK(W$4:W$91,W34))*100,"")</f>
        <v>65.600000000000009</v>
      </c>
      <c r="AW34" s="51">
        <f>IFERROR(IF('3 — Weights'!$E$17=1,PERCENTRANK(X$4:X$91,X34),1-PERCENTRANK(X$4:X$91,X34))*100,"")</f>
        <v>75.900000000000006</v>
      </c>
      <c r="AX34" s="51">
        <f>IFERROR(IF('3 — Weights'!$E$18=1,PERCENTRANK(Y$4:Y$91,Y34),1-PERCENTRANK(Y$4:Y$91,Y34))*100,"")</f>
        <v>19.799999999999997</v>
      </c>
      <c r="AY34" s="51">
        <f>IFERROR(IF('3 — Weights'!$E$18=1,PERCENTRANK(Z$4:Z$91,Z34),1-PERCENTRANK(Z$4:Z$91,Z34))*100,"")</f>
        <v>75.900000000000006</v>
      </c>
      <c r="AZ34" s="51">
        <f>IFERROR(IF('3 — Weights'!$E$18=1,PERCENTRANK(AA$4:AA$91,AA34),1-PERCENTRANK(AA$4:AA$91,AA34))*100,"")</f>
        <v>94.199999999999989</v>
      </c>
      <c r="BA34" s="51">
        <f>IFERROR(IF('3 — Weights'!$E$21=1,PERCENTRANK(AB$4:AB$91,AB34),1-PERCENTRANK(AB$4:AB$91,AB34))*100,"")</f>
        <v>56.3</v>
      </c>
      <c r="BB34" s="51">
        <f>IFERROR(IF('3 — Weights'!$E$22=1,PERCENTRANK(AC$4:AC$91,AC34),1-PERCENTRANK(AC$4:AC$91,AC34))*100,"")</f>
        <v>67.800000000000011</v>
      </c>
      <c r="BC34" s="51">
        <f>IFERROR(IF('3 — Weights'!$E$23=1,PERCENTRANK(AD$4:AD$91,AD34),1-PERCENTRANK(AD$4:AD$91,AD34))*100,"")</f>
        <v>25.3</v>
      </c>
      <c r="BD34" s="51">
        <f>IFERROR(IF('3 — Weights'!$E$24=1,PERCENTRANK(AE$4:AE$91,AE34),1-PERCENTRANK(AE$4:AE$91,AE34))*100,"")</f>
        <v>28.800000000000004</v>
      </c>
      <c r="BE34" s="51">
        <f>IFERROR(IF('3 — Weights'!$E$25=1,PERCENTRANK(AF$4:AF$91,AF34),1-PERCENTRANK(AF$4:AF$91,AF34))*100,"")</f>
        <v>34.5</v>
      </c>
      <c r="BF34" s="52" cm="1">
        <f t="array" ref="BF34">IFERROR(SUMPRODUCT(TRANSPOSE(AH34:BE34), [1]!Table2[Weight
Claude]),"")</f>
        <v>53.025000000000006</v>
      </c>
      <c r="BG34" s="53" cm="1">
        <f t="array" ref="BG34">IFERROR(SUMPRODUCT(TRANSPOSE(AH34:BE34), [1]!Table2[Weight
Cape IMC]),"")</f>
        <v>53.025000000000006</v>
      </c>
    </row>
    <row r="35" spans="1:59" ht="22.5" customHeight="1" x14ac:dyDescent="0.25">
      <c r="A35" s="17">
        <f t="shared" si="0"/>
        <v>33</v>
      </c>
      <c r="B35" s="18" t="s">
        <v>141</v>
      </c>
      <c r="C35" s="18" t="s">
        <v>142</v>
      </c>
      <c r="D35" s="18" t="str">
        <f t="array" ref="D35">IFERROR(_xll.FDS($B35,"FR_RBICS_NAME_CURR(""IND"")"), "")</f>
        <v>Manufacturing Industry Software</v>
      </c>
      <c r="E35" s="18" t="str">
        <f t="array" ref="E35">PROPER(IFERROR(_xll.FDS($B35,"P_DCOUNTRY"), ""))</f>
        <v>United States</v>
      </c>
      <c r="F35" s="19">
        <f t="array" ref="F35">IFERROR(_xll.FDS($B35,"FCS_EV_DAILY(MV,NOW,,,USD,M)"), "")</f>
        <v>18445.464084120002</v>
      </c>
      <c r="G35" s="19">
        <f t="array" ref="G35">IFERROR(_xll.FDS($B35,"AVG(P_VOLUME_FRQ(-1AM,NOW,D,,6))*P_PRICE_AVG(-1AM,NOW,,USD)"), "")</f>
        <v>203.20982053130101</v>
      </c>
      <c r="H35" s="20">
        <f t="array" ref="H35">IFERROR(_xll.FDS($B35,"OS_SEC_FLT_PCT(0D,,MTD,SEC)")/100, "")</f>
        <v>0.99671300000000007</v>
      </c>
      <c r="I35" s="19">
        <f t="array" ref="I35">IFERROR(_xll.FDS($B35,"FE_ACTUAL(ACTUAL,SALES,ANN_ROLL,0,,,,'CURRENCY=USD')"), "")</f>
        <v>2739.2260000000001</v>
      </c>
      <c r="J35" s="19">
        <f t="array" ref="J35">IFERROR(_xll.FDS($B35,"FE_ACTUAL(ACTUAL,EPS,ANN_ROLL,0,,,,'CURRENCY=USD')"), "")</f>
        <v>8</v>
      </c>
      <c r="K35" s="20">
        <f t="array" ref="K35">IFERROR(_xll.FDS($B35,"POW(FE_ESTIMATE(SALES,MEAN,STMA,,NOW,,,'CURRENCY=USD')/FE_ESTIMATE(SALES,MEAN,LTMA,,NOW,,,'CURRENCY=USD'),0.5)-1"), "")</f>
        <v>5.9949857304580197E-2</v>
      </c>
      <c r="L35" s="20">
        <f t="array" ref="L35">IFERROR(_xll.FDS($B35,"POW(FE_ESTIMATE(EPS,MEAN,STMA,,NOW,,,'CURRENCY=USD')/FE_ESTIMATE(EPS,MEAN,LTMA,,NOW,,,'CURRENCY=USD'),0.5)-1"), "")</f>
        <v>6.6126821724320106E-2</v>
      </c>
      <c r="M35" s="21">
        <f t="array" ref="M35">IFERROR(_xll.FDS($B35,"FF_GROSS_MGN(LTM_R,0)"), "")</f>
        <v>82.604007170822399</v>
      </c>
      <c r="N35" s="21">
        <f t="array" ref="N35">IFERROR(_xll.FDS($B35,"FF_EBITDA_OPER_MGN(LTM_R,0)"), "")</f>
        <v>44.022933484572803</v>
      </c>
      <c r="O35" s="21">
        <f t="array" ref="O35">IFERROR(_xll.FDS($B35,"FF_NET_MGN(LTM_R,0)"), "")</f>
        <v>28.858049674764001</v>
      </c>
      <c r="P35" s="22">
        <f t="array" ref="P35">IFERROR(_xll.FDS($B35,"FE_VALUATION(NETDEBT_EBITDA,MEAN,NTMA,,NOW,,,'')"), "")</f>
        <v>0.45521172999999998</v>
      </c>
      <c r="Q35" s="23">
        <f t="array" ref="Q35">IFERROR(_xll.FDS($B35,"FE_VALUATION(MCAP_FCF,MEAN,NTMA,,NOW,,,'')"), "")</f>
        <v>5.7557172999999997</v>
      </c>
      <c r="R35" s="23">
        <f t="array" ref="R35">IFERROR(_xll.FDS($B35,"FE_VALUATION(DIV_YLD,MEAN,NTMA,,NOW,,,'')"), "")</f>
        <v>0</v>
      </c>
      <c r="S35" s="21">
        <f t="array" ref="S35">IFERROR(_xll.FDS($B35,"FE_VALUATION(ROE,MEAN,NTMA,,0,,,'')" ), "")</f>
        <v>25.468734999999999</v>
      </c>
      <c r="T35" s="21">
        <f t="array" ref="T35">IFERROR(_xll.FDS($B35,"FE_VALUATION(ROIC,MEAN,NTMA,,0,,,'')" ), "")</f>
        <v>17.188856000000001</v>
      </c>
      <c r="U35" s="22">
        <f t="array" ref="U35">IFERROR(((_xll.FDS($B35,"FE_ACTUAL(ACTUAL,SALES,ANN_ROLL,0,,,,'CURRENCY=USD')")/_xll.FDS($B35,"FE_ACTUAL(ACTUAL,SALES,ANN_ROLL,-1,,,,'CURRENCY=USD')")-1)*100)+(_xll.FDS($B35,"FE_VALUATION(EBITDA_MARGIN,MEAN,ANN_ROLL,0,NOW,,,'')")  ), "")</f>
        <v>68.507838896581717</v>
      </c>
      <c r="V35" s="24">
        <f t="array" ref="V35">IFERROR(_xll.FDS($B35,"FE_VALUATION(PE,MEAN,NTMA,,0,,,'')" ), "")</f>
        <v>18.446672</v>
      </c>
      <c r="W35" s="24">
        <f t="array" ref="W35">IFERROR(_xll.FDS($B35,"FE_VALUATION(P_SALESPS,MEAN,NTMA,,0,,,'')" ), "")</f>
        <v>6.3025694000000003</v>
      </c>
      <c r="X35" s="24">
        <f t="array" ref="X35">IFERROR(_xll.FDS($B35,"FE_VALUATION(FFEV_SALES,MEAN,NTMA,,0,,,'')" ), "")</f>
        <v>6.7589259999999998</v>
      </c>
      <c r="Y35" s="24">
        <f t="array" ref="Y35">IFERROR(_xll.FDS($B35,"FE_VALUATION(FFEV_EBITDA,MEAN,NTMA,,0,,,'')" ), "")</f>
        <v>13.973477000000001</v>
      </c>
      <c r="Z35" s="20">
        <f t="array" ref="Z35">IFERROR(_xll.FDS($B35,"PERCENT_CHANGE(FE_VALUATION(PE,MEAN,NTMA,,0,,,''),MAX(FE_VALUATION(PE,MEAN,NTMA,,-1AY,0,,'')))")/100,"")</f>
        <v>-0.41128990949813699</v>
      </c>
      <c r="AA35" s="20">
        <f t="array" ref="AA35">IFERROR(_xll.FDS($B35,"PERCENT_CHANGE(FE_VALUATION(FFEV_EBITDA,MEAN,NTMA,,0,,,''),MAX(FE_VALUATION(FFEV_EBITDA,MEAN,NTMA,,-1AY,0,,'')))")/100,"")</f>
        <v>-0.37785759778773703</v>
      </c>
      <c r="AB35" s="20">
        <f t="array" ref="AB35">IFERROR(_xll.FDS($B35,"FG_PRICE(0,,,USD)/P_PRICE_HIGH(-1AY,0,USD,,,""PRICE"",""INTRA"")")-1, "")</f>
        <v>-0.30096954799945397</v>
      </c>
      <c r="AC35" s="20">
        <f t="array" ref="AC35">IFERROR(_xll.FDS($B35,"RTP_PRICE_TARGET(USD)/FG_PRICE(0,,,USD)")-1, "")</f>
        <v>0.28395174838836001</v>
      </c>
      <c r="AD35" s="25">
        <f t="array" ref="AD35">IFERROR(_xll.FDS($B35,"FG_PRICE(0,,,USD)/FG_PRICE_MAVG(0,,,USD,50)")-1, "")</f>
        <v>-7.1691393152023997E-2</v>
      </c>
      <c r="AE35" s="25">
        <f t="array" ref="AE35">IFERROR(_xll.FDS($B35,"FG_PRICE(0,,,USD)/FG_PRICE_MAVG(0,,,USD,100)")-1, "")</f>
        <v>-0.13229267970757097</v>
      </c>
      <c r="AF35" s="25">
        <f t="array" ref="AF35">IFERROR(_xll.FDS($B35,"FG_PRICE(0,,,USD)/FG_PRICE_MAVG(0,,,USD,200)")-1, "")</f>
        <v>-0.16641132121661495</v>
      </c>
      <c r="AG35" s="26" t="str">
        <f t="array" ref="AG35">IFERROR(_xll.FDS($B35,"FE_RATING(MEAN,TEXTONLY,0,NOW,,,'')"), "")</f>
        <v>Overweight</v>
      </c>
      <c r="AH35" s="50">
        <f>IFERROR(IF('3 — Weights'!$E$2=1,PERCENTRANK(I$4:I$91,I35),1-PERCENTRANK(I$4:I$91,I35))*100,"")</f>
        <v>63.2</v>
      </c>
      <c r="AI35" s="51">
        <f>IFERROR(IF('3 — Weights'!$E$3=1,PERCENTRANK(J$4:J$91,J35),1-PERCENTRANK(J$4:J$91,J35))*100,"")</f>
        <v>83.899999999999991</v>
      </c>
      <c r="AJ35" s="51">
        <f>IFERROR(IF('3 — Weights'!$E$4=1,PERCENTRANK(K$4:K$91,K35),1-PERCENTRANK(K$4:K$91,K35))*100,"")</f>
        <v>9.1</v>
      </c>
      <c r="AK35" s="51">
        <f>IFERROR(IF('3 — Weights'!$E$5=1,PERCENTRANK(L$4:L$91,L35),1-PERCENTRANK(L$4:L$91,L35))*100,"")</f>
        <v>3.5000000000000004</v>
      </c>
      <c r="AL35" s="51">
        <f>IFERROR(IF('3 — Weights'!$E$6=1,PERCENTRANK(M$4:M$91,M35),1-PERCENTRANK(M$4:M$91,M35))*100,"")</f>
        <v>87.8</v>
      </c>
      <c r="AM35" s="51">
        <f>IFERROR(IF('3 — Weights'!$E$7=1,PERCENTRANK(N$4:N$91,N35),1-PERCENTRANK(N$4:N$91,N35))*100,"")</f>
        <v>92.2</v>
      </c>
      <c r="AN35" s="51">
        <f>IFERROR(IF('3 — Weights'!$E$8=1,PERCENTRANK(O$4:O$91,O35),1-PERCENTRANK(O$4:O$91,O35))*100,"")</f>
        <v>89.1</v>
      </c>
      <c r="AO35" s="51">
        <f>IFERROR(IF('3 — Weights'!$E$9=1,PERCENTRANK(P$4:P$91,P35),1-PERCENTRANK(P$4:P$91,P35))*100,"")</f>
        <v>20.499999999999996</v>
      </c>
      <c r="AP35" s="51">
        <f>IFERROR(IF('3 — Weights'!$E$10=1,PERCENTRANK(Q$4:Q$91,Q35),1-PERCENTRANK(Q$4:Q$91,Q35))*100,"")</f>
        <v>59.5</v>
      </c>
      <c r="AQ35" s="51">
        <f>IFERROR(IF('3 — Weights'!$E$11=1,PERCENTRANK(R$4:R$91,R35),1-PERCENTRANK(R$4:R$91,R35))*100,"")</f>
        <v>0</v>
      </c>
      <c r="AR35" s="51">
        <f>IFERROR(IF('3 — Weights'!$E$12=1,PERCENTRANK(S$4:S$91,S35),1-PERCENTRANK(S$4:S$91,S35))*100,"")</f>
        <v>62.9</v>
      </c>
      <c r="AS35" s="51">
        <f>IFERROR(IF('3 — Weights'!$E$13=1,PERCENTRANK(T$4:T$91,T35),1-PERCENTRANK(T$4:T$91,T35))*100,"")</f>
        <v>55.500000000000007</v>
      </c>
      <c r="AT35" s="51">
        <f>IFERROR(IF('3 — Weights'!$E$14=1,PERCENTRANK(U$4:U$91,U35),1-PERCENTRANK(U$4:U$91,U35))*100,"")</f>
        <v>90.2</v>
      </c>
      <c r="AU35" s="51">
        <f>IFERROR(IF('3 — Weights'!$E$15=1,PERCENTRANK(V$4:V$91,V35),1-PERCENTRANK(V$4:V$91,V35))*100,"")</f>
        <v>63.3</v>
      </c>
      <c r="AV35" s="51">
        <f>IFERROR(IF('3 — Weights'!$E$16=1,PERCENTRANK(W$4:W$91,W35),1-PERCENTRANK(W$4:W$91,W35))*100,"")</f>
        <v>34.5</v>
      </c>
      <c r="AW35" s="51">
        <f>IFERROR(IF('3 — Weights'!$E$17=1,PERCENTRANK(X$4:X$91,X35),1-PERCENTRANK(X$4:X$91,X35))*100,"")</f>
        <v>27.6</v>
      </c>
      <c r="AX35" s="51">
        <f>IFERROR(IF('3 — Weights'!$E$18=1,PERCENTRANK(Y$4:Y$91,Y35),1-PERCENTRANK(Y$4:Y$91,Y35))*100,"")</f>
        <v>55.899999999999991</v>
      </c>
      <c r="AY35" s="51">
        <f>IFERROR(IF('3 — Weights'!$E$18=1,PERCENTRANK(Z$4:Z$91,Z35),1-PERCENTRANK(Z$4:Z$91,Z35))*100,"")</f>
        <v>24.2</v>
      </c>
      <c r="AZ35" s="51">
        <f>IFERROR(IF('3 — Weights'!$E$18=1,PERCENTRANK(AA$4:AA$91,AA35),1-PERCENTRANK(AA$4:AA$91,AA35))*100,"")</f>
        <v>20.999999999999996</v>
      </c>
      <c r="BA35" s="51">
        <f>IFERROR(IF('3 — Weights'!$E$21=1,PERCENTRANK(AB$4:AB$91,AB35),1-PERCENTRANK(AB$4:AB$91,AB35))*100,"")</f>
        <v>78.100000000000009</v>
      </c>
      <c r="BB35" s="51">
        <f>IFERROR(IF('3 — Weights'!$E$22=1,PERCENTRANK(AC$4:AC$91,AC35),1-PERCENTRANK(AC$4:AC$91,AC35))*100,"")</f>
        <v>18.3</v>
      </c>
      <c r="BC35" s="51">
        <f>IFERROR(IF('3 — Weights'!$E$23=1,PERCENTRANK(AD$4:AD$91,AD35),1-PERCENTRANK(AD$4:AD$91,AD35))*100,"")</f>
        <v>19.599999999999994</v>
      </c>
      <c r="BD35" s="51">
        <f>IFERROR(IF('3 — Weights'!$E$24=1,PERCENTRANK(AE$4:AE$91,AE35),1-PERCENTRANK(AE$4:AE$91,AE35))*100,"")</f>
        <v>20.699999999999996</v>
      </c>
      <c r="BE35" s="51">
        <f>IFERROR(IF('3 — Weights'!$E$25=1,PERCENTRANK(AF$4:AF$91,AF35),1-PERCENTRANK(AF$4:AF$91,AF35))*100,"")</f>
        <v>25.3</v>
      </c>
      <c r="BF35" s="52" cm="1">
        <f t="array" ref="BF35">IFERROR(SUMPRODUCT(TRANSPOSE(AH35:BE35), [1]!Table2[Weight
Claude]),"")</f>
        <v>51.989999999999995</v>
      </c>
      <c r="BG35" s="53" cm="1">
        <f t="array" ref="BG35">IFERROR(SUMPRODUCT(TRANSPOSE(AH35:BE35), [1]!Table2[Weight
Cape IMC]),"")</f>
        <v>51.989999999999995</v>
      </c>
    </row>
    <row r="36" spans="1:59" ht="22.5" customHeight="1" x14ac:dyDescent="0.25">
      <c r="A36" s="17">
        <f t="shared" si="0"/>
        <v>35</v>
      </c>
      <c r="B36" s="18" t="s">
        <v>143</v>
      </c>
      <c r="C36" s="18" t="s">
        <v>144</v>
      </c>
      <c r="D36" s="18" t="str">
        <f t="array" ref="D36">IFERROR(_xll.FDS($B36,"FR_RBICS_NAME_CURR(""IND"")"), "")</f>
        <v>Computer Aided Design Software</v>
      </c>
      <c r="E36" s="18" t="str">
        <f t="array" ref="E36">PROPER(IFERROR(_xll.FDS($B36,"P_DCOUNTRY"), ""))</f>
        <v>France</v>
      </c>
      <c r="F36" s="19">
        <f t="array" ref="F36">IFERROR(_xll.FDS($B36,"FCS_EV_DAILY(MV,NOW,,,USD,M)"), "")</f>
        <v>27833.577519577899</v>
      </c>
      <c r="G36" s="19">
        <f t="array" ref="G36">IFERROR(_xll.FDS($B36,"AVG(P_VOLUME_FRQ(-1AM,NOW,D,,6))*P_PRICE_AVG(-1AM,NOW,,USD)"), "")</f>
        <v>96.060107608261305</v>
      </c>
      <c r="H36" s="20">
        <f t="array" ref="H36">IFERROR(_xll.FDS($B36,"OS_SEC_FLT_PCT(0D,,MTD,SEC)")/100, "")</f>
        <v>0.49186000000000002</v>
      </c>
      <c r="I36" s="19">
        <f t="array" ref="I36">IFERROR(_xll.FDS($B36,"FE_ACTUAL(ACTUAL,SALES,ANN_ROLL,0,,,,'CURRENCY=USD')"), "")</f>
        <v>7399.8535000000002</v>
      </c>
      <c r="J36" s="19">
        <f t="array" ref="J36">IFERROR(_xll.FDS($B36,"FE_ACTUAL(ACTUAL,EPS,ANN_ROLL,0,,,,'CURRENCY=USD')"), "")</f>
        <v>1.5535945</v>
      </c>
      <c r="K36" s="20">
        <f t="array" ref="K36">IFERROR(_xll.FDS($B36,"POW(FE_ESTIMATE(SALES,MEAN,STMA,,NOW,,,'CURRENCY=USD')/FE_ESTIMATE(SALES,MEAN,LTMA,,NOW,,,'CURRENCY=USD'),0.5)-1"), "")</f>
        <v>3.7831007438109E-2</v>
      </c>
      <c r="L36" s="20">
        <f t="array" ref="L36">IFERROR(_xll.FDS($B36,"POW(FE_ESTIMATE(EPS,MEAN,STMA,,NOW,,,'CURRENCY=USD')/FE_ESTIMATE(EPS,MEAN,LTMA,,NOW,,,'CURRENCY=USD'),0.5)-1"), "")</f>
        <v>4.2601170150887498E-2</v>
      </c>
      <c r="M36" s="21">
        <f t="array" ref="M36">IFERROR(_xll.FDS($B36,"FF_GROSS_MGN(LTM_R,0)"), "")</f>
        <v>78.313581474413496</v>
      </c>
      <c r="N36" s="21">
        <f t="array" ref="N36">IFERROR(_xll.FDS($B36,"FF_EBITDA_OPER_MGN(LTM_R,0)"), "")</f>
        <v>31.140048430809699</v>
      </c>
      <c r="O36" s="21">
        <f t="array" ref="O36">IFERROR(_xll.FDS($B36,"FF_NET_MGN(LTM_R,0)"), "")</f>
        <v>19.178279904421299</v>
      </c>
      <c r="P36" s="22">
        <f t="array" ref="P36">IFERROR(_xll.FDS($B36,"FE_VALUATION(NETDEBT_EBITDA,MEAN,NTMA,,NOW,,,'')"), "")</f>
        <v>-1.2156</v>
      </c>
      <c r="Q36" s="23">
        <f t="array" ref="Q36">IFERROR(_xll.FDS($B36,"FE_VALUATION(MCAP_FCF,MEAN,NTMA,,NOW,,,'')"), "")</f>
        <v>6.4636773999999999</v>
      </c>
      <c r="R36" s="23">
        <f t="array" ref="R36">IFERROR(_xll.FDS($B36,"FE_VALUATION(DIV_YLD,MEAN,NTMA,,NOW,,,'')"), "")</f>
        <v>1.5994823</v>
      </c>
      <c r="S36" s="21">
        <f t="array" ref="S36">IFERROR(_xll.FDS($B36,"FE_VALUATION(ROE,MEAN,NTMA,,0,,,'')" ), "")</f>
        <v>17.428587</v>
      </c>
      <c r="T36" s="21">
        <f t="array" ref="T36">IFERROR(_xll.FDS($B36,"FE_VALUATION(ROIC,MEAN,NTMA,,0,,,'')" ), "")</f>
        <v>13.975629</v>
      </c>
      <c r="U36" s="22">
        <f t="array" ref="U36">IFERROR(((_xll.FDS($B36,"FE_ACTUAL(ACTUAL,SALES,ANN_ROLL,0,,,,'CURRENCY=USD')")/_xll.FDS($B36,"FE_ACTUAL(ACTUAL,SALES,ANN_ROLL,-1,,,,'CURRENCY=USD')")-1)*100)+(_xll.FDS($B36,"FE_VALUATION(EBITDA_MARGIN,MEAN,ANN_ROLL,0,NOW,,,'')")  ), "")</f>
        <v>49.087647604631584</v>
      </c>
      <c r="V36" s="24">
        <f t="array" ref="V36">IFERROR(_xll.FDS($B36,"FE_VALUATION(PE,MEAN,NTMA,,0,,,'')" ), "")</f>
        <v>12.929945999999999</v>
      </c>
      <c r="W36" s="24">
        <f t="array" ref="W36">IFERROR(_xll.FDS($B36,"FE_VALUATION(P_SALESPS,MEAN,NTMA,,0,,,'')" ), "")</f>
        <v>3.6453555</v>
      </c>
      <c r="X36" s="24">
        <f t="array" ref="X36">IFERROR(_xll.FDS($B36,"FE_VALUATION(FFEV_SALES,MEAN,NTMA,,0,,,'')" ), "")</f>
        <v>3.372436</v>
      </c>
      <c r="Y36" s="24">
        <f t="array" ref="Y36">IFERROR(_xll.FDS($B36,"FE_VALUATION(FFEV_EBITDA,MEAN,NTMA,,0,,,'')" ), "")</f>
        <v>9.5341369999999994</v>
      </c>
      <c r="Z36" s="20">
        <f t="array" ref="Z36">IFERROR(_xll.FDS($B36,"PERCENT_CHANGE(FE_VALUATION(PE,MEAN,NTMA,,0,,,''),MAX(FE_VALUATION(PE,MEAN,NTMA,,-1AY,0,,'')))")/100,"")</f>
        <v>-0.54718672027932902</v>
      </c>
      <c r="AA36" s="20">
        <f t="array" ref="AA36">IFERROR(_xll.FDS($B36,"PERCENT_CHANGE(FE_VALUATION(FFEV_EBITDA,MEAN,NTMA,,0,,,''),MAX(FE_VALUATION(FFEV_EBITDA,MEAN,NTMA,,-1AY,0,,'')))")/100,"")</f>
        <v>-0.55100906836568098</v>
      </c>
      <c r="AB36" s="20">
        <f t="array" ref="AB36">IFERROR(_xll.FDS($B36,"FG_PRICE(0,,,USD)/P_PRICE_HIGH(-1AY,0,USD,,,""PRICE"",""INTRA"")")-1, "")</f>
        <v>-0.53479607147150598</v>
      </c>
      <c r="AC36" s="20">
        <f t="array" ref="AC36">IFERROR(_xll.FDS($B36,"RTP_PRICE_TARGET(USD)/FG_PRICE(0,,,USD)")-1, "")</f>
        <v>0.42604686311899997</v>
      </c>
      <c r="AD36" s="25">
        <f t="array" ref="AD36">IFERROR(_xll.FDS($B36,"FG_PRICE(0,,,USD)/FG_PRICE_MAVG(0,,,USD,50)")-1, "")</f>
        <v>-0.21932552796270199</v>
      </c>
      <c r="AE36" s="25">
        <f t="array" ref="AE36">IFERROR(_xll.FDS($B36,"FG_PRICE(0,,,USD)/FG_PRICE_MAVG(0,,,USD,100)")-1, "")</f>
        <v>-0.26457409259733999</v>
      </c>
      <c r="AF36" s="25">
        <f t="array" ref="AF36">IFERROR(_xll.FDS($B36,"FG_PRICE(0,,,USD)/FG_PRICE_MAVG(0,,,USD,200)")-1, "")</f>
        <v>-0.34340124750874401</v>
      </c>
      <c r="AG36" s="26" t="str">
        <f t="array" ref="AG36">IFERROR(_xll.FDS($B36,"FE_RATING(MEAN,TEXTONLY,0,NOW,,,'')"), "")</f>
        <v>Overweight</v>
      </c>
      <c r="AH36" s="50">
        <f>IFERROR(IF('3 — Weights'!$E$2=1,PERCENTRANK(I$4:I$91,I36),1-PERCENTRANK(I$4:I$91,I36))*100,"")</f>
        <v>89.600000000000009</v>
      </c>
      <c r="AI36" s="51">
        <f>IFERROR(IF('3 — Weights'!$E$3=1,PERCENTRANK(J$4:J$91,J36),1-PERCENTRANK(J$4:J$91,J36))*100,"")</f>
        <v>40.200000000000003</v>
      </c>
      <c r="AJ36" s="51">
        <f>IFERROR(IF('3 — Weights'!$E$4=1,PERCENTRANK(K$4:K$91,K36),1-PERCENTRANK(K$4:K$91,K36))*100,"")</f>
        <v>4.5</v>
      </c>
      <c r="AK36" s="51">
        <f>IFERROR(IF('3 — Weights'!$E$5=1,PERCENTRANK(L$4:L$91,L36),1-PERCENTRANK(L$4:L$91,L36))*100,"")</f>
        <v>1.0999999999999999</v>
      </c>
      <c r="AL36" s="51">
        <f>IFERROR(IF('3 — Weights'!$E$6=1,PERCENTRANK(M$4:M$91,M36),1-PERCENTRANK(M$4:M$91,M36))*100,"")</f>
        <v>71.899999999999991</v>
      </c>
      <c r="AM36" s="51">
        <f>IFERROR(IF('3 — Weights'!$E$7=1,PERCENTRANK(N$4:N$91,N36),1-PERCENTRANK(N$4:N$91,N36))*100,"")</f>
        <v>76.599999999999994</v>
      </c>
      <c r="AN36" s="51">
        <f>IFERROR(IF('3 — Weights'!$E$8=1,PERCENTRANK(O$4:O$91,O36),1-PERCENTRANK(O$4:O$91,O36))*100,"")</f>
        <v>71</v>
      </c>
      <c r="AO36" s="51">
        <f>IFERROR(IF('3 — Weights'!$E$9=1,PERCENTRANK(P$4:P$91,P36),1-PERCENTRANK(P$4:P$91,P36))*100,"")</f>
        <v>51.9</v>
      </c>
      <c r="AP36" s="51">
        <f>IFERROR(IF('3 — Weights'!$E$10=1,PERCENTRANK(Q$4:Q$91,Q36),1-PERCENTRANK(Q$4:Q$91,Q36))*100,"")</f>
        <v>66.600000000000009</v>
      </c>
      <c r="AQ36" s="51">
        <f>IFERROR(IF('3 — Weights'!$E$11=1,PERCENTRANK(R$4:R$91,R36),1-PERCENTRANK(R$4:R$91,R36))*100,"")</f>
        <v>89.7</v>
      </c>
      <c r="AR36" s="51">
        <f>IFERROR(IF('3 — Weights'!$E$12=1,PERCENTRANK(S$4:S$91,S36),1-PERCENTRANK(S$4:S$91,S36))*100,"")</f>
        <v>38.200000000000003</v>
      </c>
      <c r="AS36" s="51">
        <f>IFERROR(IF('3 — Weights'!$E$13=1,PERCENTRANK(T$4:T$91,T36),1-PERCENTRANK(T$4:T$91,T36))*100,"")</f>
        <v>37.5</v>
      </c>
      <c r="AT36" s="51">
        <f>IFERROR(IF('3 — Weights'!$E$14=1,PERCENTRANK(U$4:U$91,U36),1-PERCENTRANK(U$4:U$91,U36))*100,"")</f>
        <v>58.5</v>
      </c>
      <c r="AU36" s="51">
        <f>IFERROR(IF('3 — Weights'!$E$15=1,PERCENTRANK(V$4:V$91,V36),1-PERCENTRANK(V$4:V$91,V36))*100,"")</f>
        <v>84</v>
      </c>
      <c r="AV36" s="51">
        <f>IFERROR(IF('3 — Weights'!$E$16=1,PERCENTRANK(W$4:W$91,W36),1-PERCENTRANK(W$4:W$91,W36))*100,"")</f>
        <v>63.3</v>
      </c>
      <c r="AW36" s="51">
        <f>IFERROR(IF('3 — Weights'!$E$17=1,PERCENTRANK(X$4:X$91,X36),1-PERCENTRANK(X$4:X$91,X36))*100,"")</f>
        <v>67.900000000000006</v>
      </c>
      <c r="AX36" s="51">
        <f>IFERROR(IF('3 — Weights'!$E$18=1,PERCENTRANK(Y$4:Y$91,Y36),1-PERCENTRANK(Y$4:Y$91,Y36))*100,"")</f>
        <v>80.3</v>
      </c>
      <c r="AY36" s="51">
        <f>IFERROR(IF('3 — Weights'!$E$18=1,PERCENTRANK(Z$4:Z$91,Z36),1-PERCENTRANK(Z$4:Z$91,Z36))*100,"")</f>
        <v>57.499999999999993</v>
      </c>
      <c r="AZ36" s="51">
        <f>IFERROR(IF('3 — Weights'!$E$18=1,PERCENTRANK(AA$4:AA$91,AA36),1-PERCENTRANK(AA$4:AA$91,AA36))*100,"")</f>
        <v>58.20000000000001</v>
      </c>
      <c r="BA36" s="51">
        <f>IFERROR(IF('3 — Weights'!$E$21=1,PERCENTRANK(AB$4:AB$91,AB36),1-PERCENTRANK(AB$4:AB$91,AB36))*100,"")</f>
        <v>18.3</v>
      </c>
      <c r="BB36" s="51">
        <f>IFERROR(IF('3 — Weights'!$E$22=1,PERCENTRANK(AC$4:AC$91,AC36),1-PERCENTRANK(AC$4:AC$91,AC36))*100,"")</f>
        <v>36.700000000000003</v>
      </c>
      <c r="BC36" s="51">
        <f>IFERROR(IF('3 — Weights'!$E$23=1,PERCENTRANK(AD$4:AD$91,AD36),1-PERCENTRANK(AD$4:AD$91,AD36))*100,"")</f>
        <v>69</v>
      </c>
      <c r="BD36" s="51">
        <f>IFERROR(IF('3 — Weights'!$E$24=1,PERCENTRANK(AE$4:AE$91,AE36),1-PERCENTRANK(AE$4:AE$91,AE36))*100,"")</f>
        <v>56.400000000000006</v>
      </c>
      <c r="BE36" s="51">
        <f>IFERROR(IF('3 — Weights'!$E$25=1,PERCENTRANK(AF$4:AF$91,AF36),1-PERCENTRANK(AF$4:AF$91,AF36))*100,"")</f>
        <v>66.7</v>
      </c>
      <c r="BF36" s="52" cm="1">
        <f t="array" ref="BF36">IFERROR(SUMPRODUCT(TRANSPOSE(AH36:BE36), [1]!Table2[Weight
Claude]),"")</f>
        <v>51.585000000000001</v>
      </c>
      <c r="BG36" s="53" cm="1">
        <f t="array" ref="BG36">IFERROR(SUMPRODUCT(TRANSPOSE(AH36:BE36), [1]!Table2[Weight
Cape IMC]),"")</f>
        <v>51.585000000000001</v>
      </c>
    </row>
    <row r="37" spans="1:59" ht="22.5" customHeight="1" x14ac:dyDescent="0.25">
      <c r="A37" s="17">
        <f t="shared" si="0"/>
        <v>32</v>
      </c>
      <c r="B37" s="18" t="s">
        <v>145</v>
      </c>
      <c r="C37" s="18" t="s">
        <v>146</v>
      </c>
      <c r="D37" s="18" t="str">
        <f t="array" ref="D37">IFERROR(_xll.FDS($B37,"FR_RBICS_NAME_CURR(""IND"")"), "")</f>
        <v>General Enterprise Management Software</v>
      </c>
      <c r="E37" s="18" t="str">
        <f t="array" ref="E37">PROPER(IFERROR(_xll.FDS($B37,"P_DCOUNTRY"), ""))</f>
        <v>Germany</v>
      </c>
      <c r="F37" s="19">
        <f t="array" ref="F37">IFERROR(_xll.FDS($B37,"FCS_EV_DAILY(MV,NOW,,,USD,M)"), "")</f>
        <v>239108.11550556499</v>
      </c>
      <c r="G37" s="19">
        <f t="array" ref="G37">IFERROR(_xll.FDS($B37,"AVG(P_VOLUME_FRQ(-1AM,NOW,D,,6))*P_PRICE_AVG(-1AM,NOW,,USD)"), "")</f>
        <v>807.73288758409603</v>
      </c>
      <c r="H37" s="20">
        <f t="array" ref="H37">IFERROR(_xll.FDS($B37,"OS_SEC_FLT_PCT(0D,,MTD,SEC)")/100, "")</f>
        <v>0.89971299999999998</v>
      </c>
      <c r="I37" s="19">
        <f t="array" ref="I37">IFERROR(_xll.FDS($B37,"FE_ACTUAL(ACTUAL,SALES,ANN_ROLL,0,,,,'CURRENCY=USD')"), "")</f>
        <v>43900.56</v>
      </c>
      <c r="J37" s="19">
        <f t="array" ref="J37">IFERROR(_xll.FDS($B37,"FE_ACTUAL(ACTUAL,EPS,ANN_ROLL,0,,,,'CURRENCY=USD')"), "")</f>
        <v>7.3366423000000003</v>
      </c>
      <c r="K37" s="20">
        <f t="array" ref="K37">IFERROR(_xll.FDS($B37,"POW(FE_ESTIMATE(SALES,MEAN,STMA,,NOW,,,'CURRENCY=USD')/FE_ESTIMATE(SALES,MEAN,LTMA,,NOW,,,'CURRENCY=USD'),0.5)-1"), "")</f>
        <v>0.10331042775820801</v>
      </c>
      <c r="L37" s="20">
        <f t="array" ref="L37">IFERROR(_xll.FDS($B37,"POW(FE_ESTIMATE(EPS,MEAN,STMA,,NOW,,,'CURRENCY=USD')/FE_ESTIMATE(EPS,MEAN,LTMA,,NOW,,,'CURRENCY=USD'),0.5)-1"), "")</f>
        <v>0.163856090760365</v>
      </c>
      <c r="M37" s="21">
        <f t="array" ref="M37">IFERROR(_xll.FDS($B37,"FF_GROSS_MGN(LTM_R,0)"), "")</f>
        <v>76.1576086956522</v>
      </c>
      <c r="N37" s="21">
        <f t="array" ref="N37">IFERROR(_xll.FDS($B37,"FF_EBITDA_OPER_MGN(LTM_R,0)"), "")</f>
        <v>31.5326086956522</v>
      </c>
      <c r="O37" s="21">
        <f t="array" ref="O37">IFERROR(_xll.FDS($B37,"FF_NET_MGN(LTM_R,0)"), "")</f>
        <v>19.910326086956498</v>
      </c>
      <c r="P37" s="22">
        <f t="array" ref="P37">IFERROR(_xll.FDS($B37,"FE_VALUATION(NETDEBT_EBITDA,MEAN,NTMA,,NOW,,,'')"), "")</f>
        <v>-0.53080826999999997</v>
      </c>
      <c r="Q37" s="23">
        <f t="array" ref="Q37">IFERROR(_xll.FDS($B37,"FE_VALUATION(MCAP_FCF,MEAN,NTMA,,NOW,,,'')"), "")</f>
        <v>5.0163444999999998</v>
      </c>
      <c r="R37" s="23">
        <f t="array" ref="R37">IFERROR(_xll.FDS($B37,"FE_VALUATION(DIV_YLD,MEAN,NTMA,,NOW,,,'')"), "")</f>
        <v>1.6269106</v>
      </c>
      <c r="S37" s="21">
        <f t="array" ref="S37">IFERROR(_xll.FDS($B37,"FE_VALUATION(ROE,MEAN,NTMA,,0,,,'')" ), "")</f>
        <v>17.383752999999999</v>
      </c>
      <c r="T37" s="21">
        <f t="array" ref="T37">IFERROR(_xll.FDS($B37,"FE_VALUATION(ROIC,MEAN,NTMA,,0,,,'')" ), "")</f>
        <v>14.444312999999999</v>
      </c>
      <c r="U37" s="22">
        <f t="array" ref="U37">IFERROR(((_xll.FDS($B37,"FE_ACTUAL(ACTUAL,SALES,ANN_ROLL,0,,,,'CURRENCY=USD')")/_xll.FDS($B37,"FE_ACTUAL(ACTUAL,SALES,ANN_ROLL,-1,,,,'CURRENCY=USD')")-1)*100)+(_xll.FDS($B37,"FE_VALUATION(EBITDA_MARGIN,MEAN,ANN_ROLL,0,NOW,,,'')")  ), "")</f>
        <v>54.309609841961532</v>
      </c>
      <c r="V37" s="24">
        <f t="array" ref="V37">IFERROR(_xll.FDS($B37,"FE_VALUATION(PE,MEAN,NTMA,,0,,,'')" ), "")</f>
        <v>22.489258</v>
      </c>
      <c r="W37" s="24">
        <f t="array" ref="W37">IFERROR(_xll.FDS($B37,"FE_VALUATION(P_SALESPS,MEAN,NTMA,,0,,,'')" ), "")</f>
        <v>4.9603140000000003</v>
      </c>
      <c r="X37" s="24">
        <f t="array" ref="X37">IFERROR(_xll.FDS($B37,"FE_VALUATION(FFEV_SALES,MEAN,NTMA,,0,,,'')" ), "")</f>
        <v>4.7147490000000003</v>
      </c>
      <c r="Y37" s="24">
        <f t="array" ref="Y37">IFERROR(_xll.FDS($B37,"FE_VALUATION(FFEV_EBITDA,MEAN,NTMA,,0,,,'')" ), "")</f>
        <v>14.383008999999999</v>
      </c>
      <c r="Z37" s="20">
        <f t="array" ref="Z37">IFERROR(_xll.FDS($B37,"PERCENT_CHANGE(FE_VALUATION(PE,MEAN,NTMA,,0,,,''),MAX(FE_VALUATION(PE,MEAN,NTMA,,-1AY,0,,'')))")/100,"")</f>
        <v>-0.469433839389989</v>
      </c>
      <c r="AA37" s="20">
        <f t="array" ref="AA37">IFERROR(_xll.FDS($B37,"PERCENT_CHANGE(FE_VALUATION(FFEV_EBITDA,MEAN,NTMA,,0,,,''),MAX(FE_VALUATION(FFEV_EBITDA,MEAN,NTMA,,-1AY,0,,'')))")/100,"")</f>
        <v>-0.46498509488018303</v>
      </c>
      <c r="AB37" s="20">
        <f t="array" ref="AB37">IFERROR(_xll.FDS($B37,"FG_PRICE(0,,,USD)/P_PRICE_HIGH(-1AY,0,USD,,,""PRICE"",""INTRA"")")-1, "")</f>
        <v>-0.37939340328777205</v>
      </c>
      <c r="AC37" s="20">
        <f t="array" ref="AC37">IFERROR(_xll.FDS($B37,"RTP_PRICE_TARGET(USD)/FG_PRICE(0,,,USD)")-1, "")</f>
        <v>0.49448954890074992</v>
      </c>
      <c r="AD37" s="25">
        <f t="array" ref="AD37">IFERROR(_xll.FDS($B37,"FG_PRICE(0,,,USD)/FG_PRICE_MAVG(0,,,USD,50)")-1, "")</f>
        <v>-0.13396332347945294</v>
      </c>
      <c r="AE37" s="25">
        <f t="array" ref="AE37">IFERROR(_xll.FDS($B37,"FG_PRICE(0,,,USD)/FG_PRICE_MAVG(0,,,USD,100)")-1, "")</f>
        <v>-0.19131192906966898</v>
      </c>
      <c r="AF37" s="25">
        <f t="array" ref="AF37">IFERROR(_xll.FDS($B37,"FG_PRICE(0,,,USD)/FG_PRICE_MAVG(0,,,USD,200)")-1, "")</f>
        <v>-0.26136861956697399</v>
      </c>
      <c r="AG37" s="26" t="str">
        <f t="array" ref="AG37">IFERROR(_xll.FDS($B37,"FE_RATING(MEAN,TEXTONLY,0,NOW,,,'')"), "")</f>
        <v>Overweight</v>
      </c>
      <c r="AH37" s="50">
        <f>IFERROR(IF('3 — Weights'!$E$2=1,PERCENTRANK(I$4:I$91,I37),1-PERCENTRANK(I$4:I$91,I37))*100,"")</f>
        <v>97.7</v>
      </c>
      <c r="AI37" s="51">
        <f>IFERROR(IF('3 — Weights'!$E$3=1,PERCENTRANK(J$4:J$91,J37),1-PERCENTRANK(J$4:J$91,J37))*100,"")</f>
        <v>82.699999999999989</v>
      </c>
      <c r="AJ37" s="51">
        <f>IFERROR(IF('3 — Weights'!$E$4=1,PERCENTRANK(K$4:K$91,K37),1-PERCENTRANK(K$4:K$91,K37))*100,"")</f>
        <v>36.700000000000003</v>
      </c>
      <c r="AK37" s="51">
        <f>IFERROR(IF('3 — Weights'!$E$5=1,PERCENTRANK(L$4:L$91,L37),1-PERCENTRANK(L$4:L$91,L37))*100,"")</f>
        <v>51.1</v>
      </c>
      <c r="AL37" s="51">
        <f>IFERROR(IF('3 — Weights'!$E$6=1,PERCENTRANK(M$4:M$91,M37),1-PERCENTRANK(M$4:M$91,M37))*100,"")</f>
        <v>63.4</v>
      </c>
      <c r="AM37" s="51">
        <f>IFERROR(IF('3 — Weights'!$E$7=1,PERCENTRANK(N$4:N$91,N37),1-PERCENTRANK(N$4:N$91,N37))*100,"")</f>
        <v>77.900000000000006</v>
      </c>
      <c r="AN37" s="51">
        <f>IFERROR(IF('3 — Weights'!$E$8=1,PERCENTRANK(O$4:O$91,O37),1-PERCENTRANK(O$4:O$91,O37))*100,"")</f>
        <v>74.599999999999994</v>
      </c>
      <c r="AO37" s="51">
        <f>IFERROR(IF('3 — Weights'!$E$9=1,PERCENTRANK(P$4:P$91,P37),1-PERCENTRANK(P$4:P$91,P37))*100,"")</f>
        <v>37.4</v>
      </c>
      <c r="AP37" s="51">
        <f>IFERROR(IF('3 — Weights'!$E$10=1,PERCENTRANK(Q$4:Q$91,Q37),1-PERCENTRANK(Q$4:Q$91,Q37))*100,"")</f>
        <v>48.8</v>
      </c>
      <c r="AQ37" s="51">
        <f>IFERROR(IF('3 — Weights'!$E$11=1,PERCENTRANK(R$4:R$91,R37),1-PERCENTRANK(R$4:R$91,R37))*100,"")</f>
        <v>91</v>
      </c>
      <c r="AR37" s="51">
        <f>IFERROR(IF('3 — Weights'!$E$12=1,PERCENTRANK(S$4:S$91,S37),1-PERCENTRANK(S$4:S$91,S37))*100,"")</f>
        <v>37</v>
      </c>
      <c r="AS37" s="51">
        <f>IFERROR(IF('3 — Weights'!$E$13=1,PERCENTRANK(T$4:T$91,T37),1-PERCENTRANK(T$4:T$91,T37))*100,"")</f>
        <v>41.6</v>
      </c>
      <c r="AT37" s="51">
        <f>IFERROR(IF('3 — Weights'!$E$14=1,PERCENTRANK(U$4:U$91,U37),1-PERCENTRANK(U$4:U$91,U37))*100,"")</f>
        <v>74.3</v>
      </c>
      <c r="AU37" s="51">
        <f>IFERROR(IF('3 — Weights'!$E$15=1,PERCENTRANK(V$4:V$91,V37),1-PERCENTRANK(V$4:V$91,V37))*100,"")</f>
        <v>46</v>
      </c>
      <c r="AV37" s="51">
        <f>IFERROR(IF('3 — Weights'!$E$16=1,PERCENTRANK(W$4:W$91,W37),1-PERCENTRANK(W$4:W$91,W37))*100,"")</f>
        <v>47.199999999999996</v>
      </c>
      <c r="AW37" s="51">
        <f>IFERROR(IF('3 — Weights'!$E$17=1,PERCENTRANK(X$4:X$91,X37),1-PERCENTRANK(X$4:X$91,X37))*100,"")</f>
        <v>51.800000000000004</v>
      </c>
      <c r="AX37" s="51">
        <f>IFERROR(IF('3 — Weights'!$E$18=1,PERCENTRANK(Y$4:Y$91,Y37),1-PERCENTRANK(Y$4:Y$91,Y37))*100,"")</f>
        <v>52.400000000000006</v>
      </c>
      <c r="AY37" s="51">
        <f>IFERROR(IF('3 — Weights'!$E$18=1,PERCENTRANK(Z$4:Z$91,Z37),1-PERCENTRANK(Z$4:Z$91,Z37))*100,"")</f>
        <v>39.1</v>
      </c>
      <c r="AZ37" s="51">
        <f>IFERROR(IF('3 — Weights'!$E$18=1,PERCENTRANK(AA$4:AA$91,AA37),1-PERCENTRANK(AA$4:AA$91,AA37))*100,"")</f>
        <v>34.9</v>
      </c>
      <c r="BA37" s="51">
        <f>IFERROR(IF('3 — Weights'!$E$21=1,PERCENTRANK(AB$4:AB$91,AB37),1-PERCENTRANK(AB$4:AB$91,AB37))*100,"")</f>
        <v>66.600000000000009</v>
      </c>
      <c r="BB37" s="51">
        <f>IFERROR(IF('3 — Weights'!$E$22=1,PERCENTRANK(AC$4:AC$91,AC37),1-PERCENTRANK(AC$4:AC$91,AC37))*100,"")</f>
        <v>47.099999999999994</v>
      </c>
      <c r="BC37" s="51">
        <f>IFERROR(IF('3 — Weights'!$E$23=1,PERCENTRANK(AD$4:AD$91,AD37),1-PERCENTRANK(AD$4:AD$91,AD37))*100,"")</f>
        <v>28.800000000000004</v>
      </c>
      <c r="BD37" s="51">
        <f>IFERROR(IF('3 — Weights'!$E$24=1,PERCENTRANK(AE$4:AE$91,AE37),1-PERCENTRANK(AE$4:AE$91,AE37))*100,"")</f>
        <v>31.100000000000005</v>
      </c>
      <c r="BE37" s="51">
        <f>IFERROR(IF('3 — Weights'!$E$25=1,PERCENTRANK(AF$4:AF$91,AF37),1-PERCENTRANK(AF$4:AF$91,AF37))*100,"")</f>
        <v>43.7</v>
      </c>
      <c r="BF37" s="52" cm="1">
        <f t="array" ref="BF37">IFERROR(SUMPRODUCT(TRANSPOSE(AH37:BE37), [1]!Table2[Weight
Claude]),"")</f>
        <v>52.53</v>
      </c>
      <c r="BG37" s="53" cm="1">
        <f t="array" ref="BG37">IFERROR(SUMPRODUCT(TRANSPOSE(AH37:BE37), [1]!Table2[Weight
Cape IMC]),"")</f>
        <v>52.53</v>
      </c>
    </row>
    <row r="38" spans="1:59" ht="22.5" customHeight="1" x14ac:dyDescent="0.25">
      <c r="A38" s="17">
        <f t="shared" si="0"/>
        <v>34</v>
      </c>
      <c r="B38" s="18" t="s">
        <v>147</v>
      </c>
      <c r="C38" s="18" t="s">
        <v>148</v>
      </c>
      <c r="D38" s="18" t="str">
        <f t="array" ref="D38">IFERROR(_xll.FDS($B38,"FR_RBICS_NAME_CURR(""IND"")"), "")</f>
        <v>Network Infrastructure Software</v>
      </c>
      <c r="E38" s="18" t="str">
        <f t="array" ref="E38">PROPER(IFERROR(_xll.FDS($B38,"P_DCOUNTRY"), ""))</f>
        <v>United States</v>
      </c>
      <c r="F38" s="19">
        <f t="array" ref="F38">IFERROR(_xll.FDS($B38,"FCS_EV_DAILY(MV,NOW,,,USD,M)"), "")</f>
        <v>2736.0141923579999</v>
      </c>
      <c r="G38" s="19">
        <f t="array" ref="G38">IFERROR(_xll.FDS($B38,"AVG(P_VOLUME_FRQ(-1AM,NOW,D,,6))*P_PRICE_AVG(-1AM,NOW,,USD)"), "")</f>
        <v>127.322865902532</v>
      </c>
      <c r="H38" s="20">
        <f t="array" ref="H38">IFERROR(_xll.FDS($B38,"OS_SEC_FLT_PCT(0D,,MTD,SEC)")/100, "")</f>
        <v>0.94582300000000008</v>
      </c>
      <c r="I38" s="19">
        <f t="array" ref="I38">IFERROR(_xll.FDS($B38,"FE_ACTUAL(ACTUAL,SALES,ANN_ROLL,0,,,,'CURRENCY=USD')"), "")</f>
        <v>623.53200000000004</v>
      </c>
      <c r="J38" s="19">
        <f t="array" ref="J38">IFERROR(_xll.FDS($B38,"FE_ACTUAL(ACTUAL,EPS,ANN_ROLL,0,,,,'CURRENCY=USD')"), "")</f>
        <v>0.18</v>
      </c>
      <c r="K38" s="20">
        <f t="array" ref="K38">IFERROR(_xll.FDS($B38,"POW(FE_ESTIMATE(SALES,MEAN,STMA,,NOW,,,'CURRENCY=USD')/FE_ESTIMATE(SALES,MEAN,LTMA,,NOW,,,'CURRENCY=USD'),0.5)-1"), "")</f>
        <v>0.170698167761443</v>
      </c>
      <c r="L38" s="20">
        <f t="array" ref="L38">IFERROR(_xll.FDS($B38,"POW(FE_ESTIMATE(EPS,MEAN,STMA,,NOW,,,'CURRENCY=USD')/FE_ESTIMATE(EPS,MEAN,LTMA,,NOW,,,'CURRENCY=USD'),0.5)-1"), "")</f>
        <v>0.66010650260758896</v>
      </c>
      <c r="M38" s="21">
        <f t="array" ref="M38">IFERROR(_xll.FDS($B38,"FF_GROSS_MGN(LTM_R,0)"), "")</f>
        <v>78.834446347581206</v>
      </c>
      <c r="N38" s="21">
        <f t="array" ref="N38">IFERROR(_xll.FDS($B38,"FF_EBITDA_OPER_MGN(LTM_R,0)"), "")</f>
        <v>-21.7477210471957</v>
      </c>
      <c r="O38" s="21">
        <f t="array" ref="O38">IFERROR(_xll.FDS($B38,"FF_NET_MGN(LTM_R,0)"), "")</f>
        <v>-20.740555416562401</v>
      </c>
      <c r="P38" s="22">
        <f t="array" ref="P38">IFERROR(_xll.FDS($B38,"FE_VALUATION(NETDEBT_EBITDA,MEAN,NTMA,,NOW,,,'')"), "")</f>
        <v>-38.46902</v>
      </c>
      <c r="Q38" s="23">
        <f t="array" ref="Q38">IFERROR(_xll.FDS($B38,"FE_VALUATION(MCAP_FCF,MEAN,NTMA,,NOW,,,'')"), "")</f>
        <v>4.3720189999999999</v>
      </c>
      <c r="R38" s="23">
        <f t="array" ref="R38">IFERROR(_xll.FDS($B38,"FE_VALUATION(DIV_YLD,MEAN,NTMA,,NOW,,,'')"), "")</f>
        <v>0</v>
      </c>
      <c r="S38" s="21">
        <f t="array" ref="S38">IFERROR(_xll.FDS($B38,"FE_VALUATION(ROE,MEAN,NTMA,,0,,,'')" ), "")</f>
        <v>2.6995661000000002</v>
      </c>
      <c r="T38" s="21">
        <f t="array" ref="T38">IFERROR(_xll.FDS($B38,"FE_VALUATION(ROIC,MEAN,NTMA,,0,,,'')" ), "")</f>
        <v>1.7536153999999999</v>
      </c>
      <c r="U38" s="22">
        <f t="array" ref="U38">IFERROR(((_xll.FDS($B38,"FE_ACTUAL(ACTUAL,SALES,ANN_ROLL,0,,,,'CURRENCY=USD')")/_xll.FDS($B38,"FE_ACTUAL(ACTUAL,SALES,ANN_ROLL,-1,,,,'CURRENCY=USD')")-1)*100)+(_xll.FDS($B38,"FE_VALUATION(EBITDA_MARGIN,MEAN,ANN_ROLL,0,NOW,,,'')")  ), "")</f>
        <v>14.590339029784914</v>
      </c>
      <c r="V38" s="24">
        <f t="array" ref="V38">IFERROR(_xll.FDS($B38,"FE_VALUATION(PE,MEAN,NTMA,,0,,,'')" ), "")</f>
        <v>164.29173</v>
      </c>
      <c r="W38" s="24">
        <f t="array" ref="W38">IFERROR(_xll.FDS($B38,"FE_VALUATION(P_SALESPS,MEAN,NTMA,,0,,,'')" ), "")</f>
        <v>3.4203446</v>
      </c>
      <c r="X38" s="24">
        <f t="array" ref="X38">IFERROR(_xll.FDS($B38,"FE_VALUATION(FFEV_SALES,MEAN,NTMA,,0,,,'')" ), "")</f>
        <v>2.7964484999999999</v>
      </c>
      <c r="Y38" s="24">
        <f t="array" ref="Y38">IFERROR(_xll.FDS($B38,"FE_VALUATION(FFEV_EBITDA,MEAN,NTMA,,0,,,'')" ), "")</f>
        <v>93.043655000000001</v>
      </c>
      <c r="Z38" s="20">
        <f t="array" ref="Z38">IFERROR(_xll.FDS($B38,"PERCENT_CHANGE(FE_VALUATION(PE,MEAN,NTMA,,0,,,''),MAX(FE_VALUATION(PE,MEAN,NTMA,,-1AY,0,,'')))")/100,"")</f>
        <v>-0.28194101768546398</v>
      </c>
      <c r="AA38" s="20">
        <f t="array" ref="AA38">IFERROR(_xll.FDS($B38,"PERCENT_CHANGE(FE_VALUATION(FFEV_EBITDA,MEAN,NTMA,,0,,,''),MAX(FE_VALUATION(FFEV_EBITDA,MEAN,NTMA,,-1AY,0,,'')))")/100,"")</f>
        <v>-0.52687411181146704</v>
      </c>
      <c r="AB38" s="20">
        <f t="array" ref="AB38">IFERROR(_xll.FDS($B38,"FG_PRICE(0,,,USD)/P_PRICE_HIGH(-1AY,0,USD,,,""PRICE"",""INTRA"")")-1, "")</f>
        <v>-0.66025039123630702</v>
      </c>
      <c r="AC38" s="20">
        <f t="array" ref="AC38">IFERROR(_xll.FDS($B38,"RTP_PRICE_TARGET(USD)/FG_PRICE(0,,,USD)")-1, "")</f>
        <v>0.59034168585905</v>
      </c>
      <c r="AD38" s="25">
        <f t="array" ref="AD38">IFERROR(_xll.FDS($B38,"FG_PRICE(0,,,USD)/FG_PRICE_MAVG(0,,,USD,50)")-1, "")</f>
        <v>-0.29435320043814495</v>
      </c>
      <c r="AE38" s="25">
        <f t="array" ref="AE38">IFERROR(_xll.FDS($B38,"FG_PRICE(0,,,USD)/FG_PRICE_MAVG(0,,,USD,100)")-1, "")</f>
        <v>-0.42240284142683304</v>
      </c>
      <c r="AF38" s="25">
        <f t="array" ref="AF38">IFERROR(_xll.FDS($B38,"FG_PRICE(0,,,USD)/FG_PRICE_MAVG(0,,,USD,200)")-1, "")</f>
        <v>-0.52027267780543007</v>
      </c>
      <c r="AG38" s="26" t="str">
        <f t="array" ref="AG38">IFERROR(_xll.FDS($B38,"FE_RATING(MEAN,TEXTONLY,0,NOW,,,'')"), "")</f>
        <v>Overweight</v>
      </c>
      <c r="AH38" s="50">
        <f>IFERROR(IF('3 — Weights'!$E$2=1,PERCENTRANK(I$4:I$91,I38),1-PERCENTRANK(I$4:I$91,I38))*100,"")</f>
        <v>10.299999999999999</v>
      </c>
      <c r="AI38" s="51">
        <f>IFERROR(IF('3 — Weights'!$E$3=1,PERCENTRANK(J$4:J$91,J38),1-PERCENTRANK(J$4:J$91,J38))*100,"")</f>
        <v>11.4</v>
      </c>
      <c r="AJ38" s="51">
        <f>IFERROR(IF('3 — Weights'!$E$4=1,PERCENTRANK(K$4:K$91,K38),1-PERCENTRANK(K$4:K$91,K38))*100,"")</f>
        <v>70.099999999999994</v>
      </c>
      <c r="AK38" s="51">
        <f>IFERROR(IF('3 — Weights'!$E$5=1,PERCENTRANK(L$4:L$91,L38),1-PERCENTRANK(L$4:L$91,L38))*100,"")</f>
        <v>98.8</v>
      </c>
      <c r="AL38" s="51">
        <f>IFERROR(IF('3 — Weights'!$E$6=1,PERCENTRANK(M$4:M$91,M38),1-PERCENTRANK(M$4:M$91,M38))*100,"")</f>
        <v>75.599999999999994</v>
      </c>
      <c r="AM38" s="51">
        <f>IFERROR(IF('3 — Weights'!$E$7=1,PERCENTRANK(N$4:N$91,N38),1-PERCENTRANK(N$4:N$91,N38))*100,"")</f>
        <v>6.4</v>
      </c>
      <c r="AN38" s="51">
        <f>IFERROR(IF('3 — Weights'!$E$8=1,PERCENTRANK(O$4:O$91,O38),1-PERCENTRANK(O$4:O$91,O38))*100,"")</f>
        <v>8.4</v>
      </c>
      <c r="AO38" s="51">
        <f>IFERROR(IF('3 — Weights'!$E$9=1,PERCENTRANK(P$4:P$91,P38),1-PERCENTRANK(P$4:P$91,P38))*100,"")</f>
        <v>100</v>
      </c>
      <c r="AP38" s="51">
        <f>IFERROR(IF('3 — Weights'!$E$10=1,PERCENTRANK(Q$4:Q$91,Q38),1-PERCENTRANK(Q$4:Q$91,Q38))*100,"")</f>
        <v>39.200000000000003</v>
      </c>
      <c r="AQ38" s="51">
        <f>IFERROR(IF('3 — Weights'!$E$11=1,PERCENTRANK(R$4:R$91,R38),1-PERCENTRANK(R$4:R$91,R38))*100,"")</f>
        <v>0</v>
      </c>
      <c r="AR38" s="51">
        <f>IFERROR(IF('3 — Weights'!$E$12=1,PERCENTRANK(S$4:S$91,S38),1-PERCENTRANK(S$4:S$91,S38))*100,"")</f>
        <v>2.4</v>
      </c>
      <c r="AS38" s="51">
        <f>IFERROR(IF('3 — Weights'!$E$13=1,PERCENTRANK(T$4:T$91,T38),1-PERCENTRANK(T$4:T$91,T38))*100,"")</f>
        <v>4.1000000000000005</v>
      </c>
      <c r="AT38" s="51">
        <f>IFERROR(IF('3 — Weights'!$E$14=1,PERCENTRANK(U$4:U$91,U38),1-PERCENTRANK(U$4:U$91,U38))*100,"")</f>
        <v>2.4</v>
      </c>
      <c r="AU38" s="51">
        <f>IFERROR(IF('3 — Weights'!$E$15=1,PERCENTRANK(V$4:V$91,V38),1-PERCENTRANK(V$4:V$91,V38))*100,"")</f>
        <v>5.8000000000000052</v>
      </c>
      <c r="AV38" s="51">
        <f>IFERROR(IF('3 — Weights'!$E$16=1,PERCENTRANK(W$4:W$91,W38),1-PERCENTRANK(W$4:W$91,W38))*100,"")</f>
        <v>66.7</v>
      </c>
      <c r="AW38" s="51">
        <f>IFERROR(IF('3 — Weights'!$E$17=1,PERCENTRANK(X$4:X$91,X38),1-PERCENTRANK(X$4:X$91,X38))*100,"")</f>
        <v>82.800000000000011</v>
      </c>
      <c r="AX38" s="51">
        <f>IFERROR(IF('3 — Weights'!$E$18=1,PERCENTRANK(Y$4:Y$91,Y38),1-PERCENTRANK(Y$4:Y$91,Y38))*100,"")</f>
        <v>1.2000000000000011</v>
      </c>
      <c r="AY38" s="51">
        <f>IFERROR(IF('3 — Weights'!$E$18=1,PERCENTRANK(Z$4:Z$91,Z38),1-PERCENTRANK(Z$4:Z$91,Z38))*100,"")</f>
        <v>6.899999999999995</v>
      </c>
      <c r="AZ38" s="51">
        <f>IFERROR(IF('3 — Weights'!$E$18=1,PERCENTRANK(AA$4:AA$91,AA38),1-PERCENTRANK(AA$4:AA$91,AA38))*100,"")</f>
        <v>50</v>
      </c>
      <c r="BA38" s="51">
        <f>IFERROR(IF('3 — Weights'!$E$21=1,PERCENTRANK(AB$4:AB$91,AB38),1-PERCENTRANK(AB$4:AB$91,AB38))*100,"")</f>
        <v>3.4000000000000004</v>
      </c>
      <c r="BB38" s="51">
        <f>IFERROR(IF('3 — Weights'!$E$22=1,PERCENTRANK(AC$4:AC$91,AC38),1-PERCENTRANK(AC$4:AC$91,AC38))*100,"")</f>
        <v>57.4</v>
      </c>
      <c r="BC38" s="51">
        <f>IFERROR(IF('3 — Weights'!$E$23=1,PERCENTRANK(AD$4:AD$91,AD38),1-PERCENTRANK(AD$4:AD$91,AD38))*100,"")</f>
        <v>87.4</v>
      </c>
      <c r="BD38" s="51">
        <f>IFERROR(IF('3 — Weights'!$E$24=1,PERCENTRANK(AE$4:AE$91,AE38),1-PERCENTRANK(AE$4:AE$91,AE38))*100,"")</f>
        <v>98.9</v>
      </c>
      <c r="BE38" s="51">
        <f>IFERROR(IF('3 — Weights'!$E$25=1,PERCENTRANK(AF$4:AF$91,AF38),1-PERCENTRANK(AF$4:AF$91,AF38))*100,"")</f>
        <v>100</v>
      </c>
      <c r="BF38" s="52" cm="1">
        <f t="array" ref="BF38">IFERROR(SUMPRODUCT(TRANSPOSE(AH38:BE38), [1]!Table2[Weight
Claude]),"")</f>
        <v>51.865000000000002</v>
      </c>
      <c r="BG38" s="53" cm="1">
        <f t="array" ref="BG38">IFERROR(SUMPRODUCT(TRANSPOSE(AH38:BE38), [1]!Table2[Weight
Cape IMC]),"")</f>
        <v>51.865000000000002</v>
      </c>
    </row>
    <row r="39" spans="1:59" ht="22.5" customHeight="1" x14ac:dyDescent="0.25">
      <c r="A39" s="17">
        <f t="shared" si="0"/>
        <v>36</v>
      </c>
      <c r="B39" s="18" t="s">
        <v>149</v>
      </c>
      <c r="C39" s="18" t="s">
        <v>150</v>
      </c>
      <c r="D39" s="18" t="str">
        <f t="array" ref="D39">IFERROR(_xll.FDS($B39,"FR_RBICS_NAME_CURR(""IND"")"), "")</f>
        <v>Network Infrastructure Software</v>
      </c>
      <c r="E39" s="18" t="str">
        <f t="array" ref="E39">PROPER(IFERROR(_xll.FDS($B39,"P_DCOUNTRY"), ""))</f>
        <v>United States</v>
      </c>
      <c r="F39" s="19">
        <f t="array" ref="F39">IFERROR(_xll.FDS($B39,"FCS_EV_DAILY(MV,NOW,,,USD,M)"), "")</f>
        <v>38912.282991059998</v>
      </c>
      <c r="G39" s="19">
        <f t="array" ref="G39">IFERROR(_xll.FDS($B39,"AVG(P_VOLUME_FRQ(-1AM,NOW,D,,6))*P_PRICE_AVG(-1AM,NOW,,USD)"), "")</f>
        <v>844.03939415882905</v>
      </c>
      <c r="H39" s="20">
        <f t="array" ref="H39">IFERROR(_xll.FDS($B39,"OS_SEC_FLT_PCT(0D,,MTD,SEC)")/100, "")</f>
        <v>0.98288600000000004</v>
      </c>
      <c r="I39" s="19">
        <f t="array" ref="I39">IFERROR(_xll.FDS($B39,"FE_ACTUAL(ACTUAL,SALES,ANN_ROLL,0,,,,'CURRENCY=USD')"), "")</f>
        <v>3427.1579999999999</v>
      </c>
      <c r="J39" s="19">
        <f t="array" ref="J39">IFERROR(_xll.FDS($B39,"FE_ACTUAL(ACTUAL,EPS,ANN_ROLL,0,,,,'CURRENCY=USD')"), "")</f>
        <v>2.0499999999999998</v>
      </c>
      <c r="K39" s="20">
        <f t="array" ref="K39">IFERROR(_xll.FDS($B39,"POW(FE_ESTIMATE(SALES,MEAN,STMA,,NOW,,,'CURRENCY=USD')/FE_ESTIMATE(SALES,MEAN,LTMA,,NOW,,,'CURRENCY=USD'),0.5)-1"), "")</f>
        <v>0.19662362503838299</v>
      </c>
      <c r="L39" s="20">
        <f t="array" ref="L39">IFERROR(_xll.FDS($B39,"POW(FE_ESTIMATE(EPS,MEAN,STMA,,NOW,,,'CURRENCY=USD')/FE_ESTIMATE(EPS,MEAN,LTMA,,NOW,,,'CURRENCY=USD'),0.5)-1"), "")</f>
        <v>0.14345638307720299</v>
      </c>
      <c r="M39" s="21">
        <f t="array" ref="M39">IFERROR(_xll.FDS($B39,"FF_GROSS_MGN(LTM_R,0)"), "")</f>
        <v>79.927916950429506</v>
      </c>
      <c r="N39" s="21">
        <f t="array" ref="N39">IFERROR(_xll.FDS($B39,"FF_EBITDA_OPER_MGN(LTM_R,0)"), "")</f>
        <v>2.2790895546689098</v>
      </c>
      <c r="O39" s="21">
        <f t="array" ref="O39">IFERROR(_xll.FDS($B39,"FF_NET_MGN(LTM_R,0)"), "")</f>
        <v>3.14374184090725</v>
      </c>
      <c r="P39" s="22">
        <f t="array" ref="P39">IFERROR(_xll.FDS($B39,"FE_VALUATION(NETDEBT_EBITDA,MEAN,NTMA,,NOW,,,'')"), "")</f>
        <v>-4.4172330000000004</v>
      </c>
      <c r="Q39" s="23">
        <f t="array" ref="Q39">IFERROR(_xll.FDS($B39,"FE_VALUATION(MCAP_FCF,MEAN,NTMA,,NOW,,,'')"), "")</f>
        <v>3.0458797999999998</v>
      </c>
      <c r="R39" s="23">
        <f t="array" ref="R39">IFERROR(_xll.FDS($B39,"FE_VALUATION(DIV_YLD,MEAN,NTMA,,NOW,,,'')"), "")</f>
        <v>0</v>
      </c>
      <c r="S39" s="21">
        <f t="array" ref="S39">IFERROR(_xll.FDS($B39,"FE_VALUATION(ROE,MEAN,NTMA,,0,,,'')" ), "")</f>
        <v>16.43451</v>
      </c>
      <c r="T39" s="21">
        <f t="array" ref="T39">IFERROR(_xll.FDS($B39,"FE_VALUATION(ROIC,MEAN,NTMA,,0,,,'')" ), "")</f>
        <v>13.954807000000001</v>
      </c>
      <c r="U39" s="22">
        <f t="array" ref="U39">IFERROR(((_xll.FDS($B39,"FE_ACTUAL(ACTUAL,SALES,ANN_ROLL,0,,,,'CURRENCY=USD')")/_xll.FDS($B39,"FE_ACTUAL(ACTUAL,SALES,ANN_ROLL,-1,,,,'CURRENCY=USD')")-1)*100)+(_xll.FDS($B39,"FE_VALUATION(EBITDA_MARGIN,MEAN,ANN_ROLL,0,NOW,,,'')")  ), "")</f>
        <v>51.702824581833084</v>
      </c>
      <c r="V39" s="24">
        <f t="array" ref="V39">IFERROR(_xll.FDS($B39,"FE_VALUATION(PE,MEAN,NTMA,,0,,,'')" ), "")</f>
        <v>47.100499999999997</v>
      </c>
      <c r="W39" s="24">
        <f t="array" ref="W39">IFERROR(_xll.FDS($B39,"FE_VALUATION(P_SALESPS,MEAN,NTMA,,0,,,'')" ), "")</f>
        <v>8.6878980000000006</v>
      </c>
      <c r="X39" s="24">
        <f t="array" ref="X39">IFERROR(_xll.FDS($B39,"FE_VALUATION(FFEV_SALES,MEAN,NTMA,,0,,,'')" ), "")</f>
        <v>8.1998169999999995</v>
      </c>
      <c r="Y39" s="24">
        <f t="array" ref="Y39">IFERROR(_xll.FDS($B39,"FE_VALUATION(FFEV_EBITDA,MEAN,NTMA,,0,,,'')" ), "")</f>
        <v>33.833396999999998</v>
      </c>
      <c r="Z39" s="20">
        <f t="array" ref="Z39">IFERROR(_xll.FDS($B39,"PERCENT_CHANGE(FE_VALUATION(PE,MEAN,NTMA,,0,,,''),MAX(FE_VALUATION(PE,MEAN,NTMA,,-1AY,0,,'')))")/100,"")</f>
        <v>-0.46329574392345596</v>
      </c>
      <c r="AA39" s="20">
        <f t="array" ref="AA39">IFERROR(_xll.FDS($B39,"PERCENT_CHANGE(FE_VALUATION(FFEV_EBITDA,MEAN,NTMA,,0,,,''),MAX(FE_VALUATION(FFEV_EBITDA,MEAN,NTMA,,-1AY,0,,'')))")/100,"")</f>
        <v>-0.51334272220513699</v>
      </c>
      <c r="AB39" s="20">
        <f t="array" ref="AB39">IFERROR(_xll.FDS($B39,"FG_PRICE(0,,,USD)/P_PRICE_HIGH(-1AY,0,USD,,,""PRICE"",""INTRA"")")-1, "")</f>
        <v>-0.48222519708463496</v>
      </c>
      <c r="AC39" s="20">
        <f t="array" ref="AC39">IFERROR(_xll.FDS($B39,"RTP_PRICE_TARGET(USD)/FG_PRICE(0,,,USD)")-1, "")</f>
        <v>0.76145532892847001</v>
      </c>
      <c r="AD39" s="25">
        <f t="array" ref="AD39">IFERROR(_xll.FDS($B39,"FG_PRICE(0,,,USD)/FG_PRICE_MAVG(0,,,USD,50)")-1, "")</f>
        <v>-0.19024981060855695</v>
      </c>
      <c r="AE39" s="25">
        <f t="array" ref="AE39">IFERROR(_xll.FDS($B39,"FG_PRICE(0,,,USD)/FG_PRICE_MAVG(0,,,USD,100)")-1, "")</f>
        <v>-0.28461087914835603</v>
      </c>
      <c r="AF39" s="25">
        <f t="array" ref="AF39">IFERROR(_xll.FDS($B39,"FG_PRICE(0,,,USD)/FG_PRICE_MAVG(0,,,USD,200)")-1, "")</f>
        <v>-0.247422405524235</v>
      </c>
      <c r="AG39" s="26" t="str">
        <f t="array" ref="AG39">IFERROR(_xll.FDS($B39,"FE_RATING(MEAN,TEXTONLY,0,NOW,,,'')"), "")</f>
        <v>Buy</v>
      </c>
      <c r="AH39" s="50">
        <f>IFERROR(IF('3 — Weights'!$E$2=1,PERCENTRANK(I$4:I$91,I39),1-PERCENTRANK(I$4:I$91,I39))*100,"")</f>
        <v>70.099999999999994</v>
      </c>
      <c r="AI39" s="51">
        <f>IFERROR(IF('3 — Weights'!$E$3=1,PERCENTRANK(J$4:J$91,J39),1-PERCENTRANK(J$4:J$91,J39))*100,"")</f>
        <v>47.099999999999994</v>
      </c>
      <c r="AJ39" s="51">
        <f>IFERROR(IF('3 — Weights'!$E$4=1,PERCENTRANK(K$4:K$91,K39),1-PERCENTRANK(K$4:K$91,K39))*100,"")</f>
        <v>83.899999999999991</v>
      </c>
      <c r="AK39" s="51">
        <f>IFERROR(IF('3 — Weights'!$E$5=1,PERCENTRANK(L$4:L$91,L39),1-PERCENTRANK(L$4:L$91,L39))*100,"")</f>
        <v>36.9</v>
      </c>
      <c r="AL39" s="51">
        <f>IFERROR(IF('3 — Weights'!$E$6=1,PERCENTRANK(M$4:M$91,M39),1-PERCENTRANK(M$4:M$91,M39))*100,"")</f>
        <v>80.400000000000006</v>
      </c>
      <c r="AM39" s="51">
        <f>IFERROR(IF('3 — Weights'!$E$7=1,PERCENTRANK(N$4:N$91,N39),1-PERCENTRANK(N$4:N$91,N39))*100,"")</f>
        <v>20.7</v>
      </c>
      <c r="AN39" s="51">
        <f>IFERROR(IF('3 — Weights'!$E$8=1,PERCENTRANK(O$4:O$91,O39),1-PERCENTRANK(O$4:O$91,O39))*100,"")</f>
        <v>32.5</v>
      </c>
      <c r="AO39" s="51">
        <f>IFERROR(IF('3 — Weights'!$E$9=1,PERCENTRANK(P$4:P$91,P39),1-PERCENTRANK(P$4:P$91,P39))*100,"")</f>
        <v>91.600000000000009</v>
      </c>
      <c r="AP39" s="51">
        <f>IFERROR(IF('3 — Weights'!$E$10=1,PERCENTRANK(Q$4:Q$91,Q39),1-PERCENTRANK(Q$4:Q$91,Q39))*100,"")</f>
        <v>23.799999999999997</v>
      </c>
      <c r="AQ39" s="51">
        <f>IFERROR(IF('3 — Weights'!$E$11=1,PERCENTRANK(R$4:R$91,R39),1-PERCENTRANK(R$4:R$91,R39))*100,"")</f>
        <v>0</v>
      </c>
      <c r="AR39" s="51">
        <f>IFERROR(IF('3 — Weights'!$E$12=1,PERCENTRANK(S$4:S$91,S39),1-PERCENTRANK(S$4:S$91,S39))*100,"")</f>
        <v>34.5</v>
      </c>
      <c r="AS39" s="51">
        <f>IFERROR(IF('3 — Weights'!$E$13=1,PERCENTRANK(T$4:T$91,T39),1-PERCENTRANK(T$4:T$91,T39))*100,"")</f>
        <v>36.1</v>
      </c>
      <c r="AT39" s="51">
        <f>IFERROR(IF('3 — Weights'!$E$14=1,PERCENTRANK(U$4:U$91,U39),1-PERCENTRANK(U$4:U$91,U39))*100,"")</f>
        <v>68.2</v>
      </c>
      <c r="AU39" s="51">
        <f>IFERROR(IF('3 — Weights'!$E$15=1,PERCENTRANK(V$4:V$91,V39),1-PERCENTRANK(V$4:V$91,V39))*100,"")</f>
        <v>17.300000000000004</v>
      </c>
      <c r="AV39" s="51">
        <f>IFERROR(IF('3 — Weights'!$E$16=1,PERCENTRANK(W$4:W$91,W39),1-PERCENTRANK(W$4:W$91,W39))*100,"")</f>
        <v>15.000000000000002</v>
      </c>
      <c r="AW39" s="51">
        <f>IFERROR(IF('3 — Weights'!$E$17=1,PERCENTRANK(X$4:X$91,X39),1-PERCENTRANK(X$4:X$91,X39))*100,"")</f>
        <v>15.000000000000002</v>
      </c>
      <c r="AX39" s="51">
        <f>IFERROR(IF('3 — Weights'!$E$18=1,PERCENTRANK(Y$4:Y$91,Y39),1-PERCENTRANK(Y$4:Y$91,Y39))*100,"")</f>
        <v>15.200000000000003</v>
      </c>
      <c r="AY39" s="51">
        <f>IFERROR(IF('3 — Weights'!$E$18=1,PERCENTRANK(Z$4:Z$91,Z39),1-PERCENTRANK(Z$4:Z$91,Z39))*100,"")</f>
        <v>34.5</v>
      </c>
      <c r="AZ39" s="51">
        <f>IFERROR(IF('3 — Weights'!$E$18=1,PERCENTRANK(AA$4:AA$91,AA39),1-PERCENTRANK(AA$4:AA$91,AA39))*100,"")</f>
        <v>46.599999999999994</v>
      </c>
      <c r="BA39" s="51">
        <f>IFERROR(IF('3 — Weights'!$E$21=1,PERCENTRANK(AB$4:AB$91,AB39),1-PERCENTRANK(AB$4:AB$91,AB39))*100,"")</f>
        <v>39</v>
      </c>
      <c r="BB39" s="51">
        <f>IFERROR(IF('3 — Weights'!$E$22=1,PERCENTRANK(AC$4:AC$91,AC39),1-PERCENTRANK(AC$4:AC$91,AC39))*100,"")</f>
        <v>80.400000000000006</v>
      </c>
      <c r="BC39" s="51">
        <f>IFERROR(IF('3 — Weights'!$E$23=1,PERCENTRANK(AD$4:AD$91,AD39),1-PERCENTRANK(AD$4:AD$91,AD39))*100,"")</f>
        <v>49.5</v>
      </c>
      <c r="BD39" s="51">
        <f>IFERROR(IF('3 — Weights'!$E$24=1,PERCENTRANK(AE$4:AE$91,AE39),1-PERCENTRANK(AE$4:AE$91,AE39))*100,"")</f>
        <v>69</v>
      </c>
      <c r="BE39" s="51">
        <f>IFERROR(IF('3 — Weights'!$E$25=1,PERCENTRANK(AF$4:AF$91,AF39),1-PERCENTRANK(AF$4:AF$91,AF39))*100,"")</f>
        <v>36.799999999999997</v>
      </c>
      <c r="BF39" s="52" cm="1">
        <f t="array" ref="BF39">IFERROR(SUMPRODUCT(TRANSPOSE(AH39:BE39), [1]!Table2[Weight
Claude]),"")</f>
        <v>50.795000000000002</v>
      </c>
      <c r="BG39" s="53" cm="1">
        <f t="array" ref="BG39">IFERROR(SUMPRODUCT(TRANSPOSE(AH39:BE39), [1]!Table2[Weight
Cape IMC]),"")</f>
        <v>50.795000000000002</v>
      </c>
    </row>
    <row r="40" spans="1:59" ht="22.5" customHeight="1" x14ac:dyDescent="0.25">
      <c r="A40" s="17">
        <f t="shared" si="0"/>
        <v>37</v>
      </c>
      <c r="B40" s="18" t="s">
        <v>151</v>
      </c>
      <c r="C40" s="18" t="s">
        <v>152</v>
      </c>
      <c r="D40" s="18" t="str">
        <f t="array" ref="D40">IFERROR(_xll.FDS($B40,"FR_RBICS_NAME_CURR(""IND"")"), "")</f>
        <v>Retail Industry Software</v>
      </c>
      <c r="E40" s="18" t="str">
        <f t="array" ref="E40">PROPER(IFERROR(_xll.FDS($B40,"P_DCOUNTRY"), ""))</f>
        <v>United States</v>
      </c>
      <c r="F40" s="19">
        <f t="array" ref="F40">IFERROR(_xll.FDS($B40,"FCS_EV_DAILY(MV,NOW,,,USD,M)"), "")</f>
        <v>15766.25</v>
      </c>
      <c r="G40" s="19">
        <f t="array" ref="G40">IFERROR(_xll.FDS($B40,"AVG(P_VOLUME_FRQ(-1AM,NOW,D,,6))*P_PRICE_AVG(-1AM,NOW,,USD)"), "")</f>
        <v>398.44803265652803</v>
      </c>
      <c r="H40" s="20">
        <f t="array" ref="H40">IFERROR(_xll.FDS($B40,"OS_SEC_FLT_PCT(0D,,MTD,SEC)")/100, "")</f>
        <v>0.92078500000000008</v>
      </c>
      <c r="I40" s="19">
        <f t="array" ref="I40">IFERROR(_xll.FDS($B40,"FE_ACTUAL(ACTUAL,SALES,ANN_ROLL,0,,,,'CURRENCY=USD')"), "")</f>
        <v>6153</v>
      </c>
      <c r="J40" s="19">
        <f t="array" ref="J40">IFERROR(_xll.FDS($B40,"FE_ACTUAL(ACTUAL,EPS,ANN_ROLL,0,,,,'CURRENCY=USD')"), "")</f>
        <v>0.97680400000000001</v>
      </c>
      <c r="K40" s="20">
        <f t="array" ref="K40">IFERROR(_xll.FDS($B40,"POW(FE_ESTIMATE(SALES,MEAN,STMA,,NOW,,,'CURRENCY=USD')/FE_ESTIMATE(SALES,MEAN,LTMA,,NOW,,,'CURRENCY=USD'),0.5)-1"), "")</f>
        <v>0.189157516900095</v>
      </c>
      <c r="L40" s="20">
        <f t="array" ref="L40">IFERROR(_xll.FDS($B40,"POW(FE_ESTIMATE(EPS,MEAN,STMA,,NOW,,,'CURRENCY=USD')/FE_ESTIMATE(EPS,MEAN,LTMA,,NOW,,,'CURRENCY=USD'),0.5)-1"), "")</f>
        <v>0.25587722329851997</v>
      </c>
      <c r="M40" s="21">
        <f t="array" ref="M40">IFERROR(_xll.FDS($B40,"FF_GROSS_MGN(LTM_R,0)"), "")</f>
        <v>25.8410531448074</v>
      </c>
      <c r="N40" s="21">
        <f t="array" ref="N40">IFERROR(_xll.FDS($B40,"FF_EBITDA_OPER_MGN(LTM_R,0)"), "")</f>
        <v>6.0295790671217304</v>
      </c>
      <c r="O40" s="21">
        <f t="array" ref="O40">IFERROR(_xll.FDS($B40,"FF_NET_MGN(LTM_R,0)"), "")</f>
        <v>5.5582642613359301</v>
      </c>
      <c r="P40" s="22">
        <f t="array" ref="P40">IFERROR(_xll.FDS($B40,"FE_VALUATION(NETDEBT_EBITDA,MEAN,NTMA,,NOW,,,'')"), "")</f>
        <v>-3.0913737000000001</v>
      </c>
      <c r="Q40" s="23">
        <f t="array" ref="Q40">IFERROR(_xll.FDS($B40,"FE_VALUATION(MCAP_FCF,MEAN,NTMA,,NOW,,,'')"), "")</f>
        <v>5.320233</v>
      </c>
      <c r="R40" s="23">
        <f t="array" ref="R40">IFERROR(_xll.FDS($B40,"FE_VALUATION(DIV_YLD,MEAN,NTMA,,NOW,,,'')"), "")</f>
        <v>0</v>
      </c>
      <c r="S40" s="21">
        <f t="array" ref="S40">IFERROR(_xll.FDS($B40,"FE_VALUATION(ROE,MEAN,NTMA,,0,,,'')" ), "")</f>
        <v>25.188044000000001</v>
      </c>
      <c r="T40" s="21">
        <f t="array" ref="T40">IFERROR(_xll.FDS($B40,"FE_VALUATION(ROIC,MEAN,NTMA,,0,,,'')" ), "")</f>
        <v>17.183422</v>
      </c>
      <c r="U40" s="22">
        <f t="array" ref="U40">IFERROR(((_xll.FDS($B40,"FE_ACTUAL(ACTUAL,SALES,ANN_ROLL,0,,,,'CURRENCY=USD')")/_xll.FDS($B40,"FE_ACTUAL(ACTUAL,SALES,ANN_ROLL,-1,,,,'CURRENCY=USD')")-1)*100)+(_xll.FDS($B40,"FE_VALUATION(EBITDA_MARGIN,MEAN,ANN_ROLL,0,NOW,,,'')")  ), "")</f>
        <v>34.340083354838704</v>
      </c>
      <c r="V40" s="24">
        <f t="array" ref="V40">IFERROR(_xll.FDS($B40,"FE_VALUATION(PE,MEAN,NTMA,,0,,,'')" ), "")</f>
        <v>20.190753999999998</v>
      </c>
      <c r="W40" s="24">
        <f t="array" ref="W40">IFERROR(_xll.FDS($B40,"FE_VALUATION(P_SALESPS,MEAN,NTMA,,0,,,'')" ), "")</f>
        <v>1.9844888000000001</v>
      </c>
      <c r="X40" s="24">
        <f t="array" ref="X40">IFERROR(_xll.FDS($B40,"FE_VALUATION(FFEV_SALES,MEAN,NTMA,,0,,,'')" ), "")</f>
        <v>1.7823989</v>
      </c>
      <c r="Y40" s="24">
        <f t="array" ref="Y40">IFERROR(_xll.FDS($B40,"FE_VALUATION(FFEV_EBITDA,MEAN,NTMA,,0,,,'')" ), "")</f>
        <v>16.230029999999999</v>
      </c>
      <c r="Z40" s="20">
        <f t="array" ref="Z40">IFERROR(_xll.FDS($B40,"PERCENT_CHANGE(FE_VALUATION(PE,MEAN,NTMA,,0,,,''),MAX(FE_VALUATION(PE,MEAN,NTMA,,-1AY,0,,'')))")/100,"")</f>
        <v>-0.56131870624485902</v>
      </c>
      <c r="AA40" s="20">
        <f t="array" ref="AA40">IFERROR(_xll.FDS($B40,"PERCENT_CHANGE(FE_VALUATION(FFEV_EBITDA,MEAN,NTMA,,0,,,''),MAX(FE_VALUATION(FFEV_EBITDA,MEAN,NTMA,,-1AY,0,,'')))")/100,"")</f>
        <v>-0.60454444115507899</v>
      </c>
      <c r="AB40" s="20">
        <f t="array" ref="AB40">IFERROR(_xll.FDS($B40,"FG_PRICE(0,,,USD)/P_PRICE_HIGH(-1AY,0,USD,,,""PRICE"",""INTRA"")")-1, "")</f>
        <v>-0.485098670962545</v>
      </c>
      <c r="AC40" s="20">
        <f t="array" ref="AC40">IFERROR(_xll.FDS($B40,"RTP_PRICE_TARGET(USD)/FG_PRICE(0,,,USD)")-1, "")</f>
        <v>0.45482987876418002</v>
      </c>
      <c r="AD40" s="25">
        <f t="array" ref="AD40">IFERROR(_xll.FDS($B40,"FG_PRICE(0,,,USD)/FG_PRICE_MAVG(0,,,USD,50)")-1, "")</f>
        <v>-0.21512894967862295</v>
      </c>
      <c r="AE40" s="25">
        <f t="array" ref="AE40">IFERROR(_xll.FDS($B40,"FG_PRICE(0,,,USD)/FG_PRICE_MAVG(0,,,USD,100)")-1, "")</f>
        <v>-0.25486436316692795</v>
      </c>
      <c r="AF40" s="25">
        <f t="array" ref="AF40">IFERROR(_xll.FDS($B40,"FG_PRICE(0,,,USD)/FG_PRICE_MAVG(0,,,USD,200)")-1, "")</f>
        <v>-0.34039542739512996</v>
      </c>
      <c r="AG40" s="26" t="str">
        <f t="array" ref="AG40">IFERROR(_xll.FDS($B40,"FE_RATING(MEAN,TEXTONLY,0,NOW,,,'')"), "")</f>
        <v>Overweight</v>
      </c>
      <c r="AH40" s="50">
        <f>IFERROR(IF('3 — Weights'!$E$2=1,PERCENTRANK(I$4:I$91,I40),1-PERCENTRANK(I$4:I$91,I40))*100,"")</f>
        <v>82.699999999999989</v>
      </c>
      <c r="AI40" s="51">
        <f>IFERROR(IF('3 — Weights'!$E$3=1,PERCENTRANK(J$4:J$91,J40),1-PERCENTRANK(J$4:J$91,J40))*100,"")</f>
        <v>33.300000000000004</v>
      </c>
      <c r="AJ40" s="51">
        <f>IFERROR(IF('3 — Weights'!$E$4=1,PERCENTRANK(K$4:K$91,K40),1-PERCENTRANK(K$4:K$91,K40))*100,"")</f>
        <v>80.400000000000006</v>
      </c>
      <c r="AK40" s="51">
        <f>IFERROR(IF('3 — Weights'!$E$5=1,PERCENTRANK(L$4:L$91,L40),1-PERCENTRANK(L$4:L$91,L40))*100,"")</f>
        <v>76.099999999999994</v>
      </c>
      <c r="AL40" s="51">
        <f>IFERROR(IF('3 — Weights'!$E$6=1,PERCENTRANK(M$4:M$91,M40),1-PERCENTRANK(M$4:M$91,M40))*100,"")</f>
        <v>1.2</v>
      </c>
      <c r="AM40" s="51">
        <f>IFERROR(IF('3 — Weights'!$E$7=1,PERCENTRANK(N$4:N$91,N40),1-PERCENTRANK(N$4:N$91,N40))*100,"")</f>
        <v>27.200000000000003</v>
      </c>
      <c r="AN40" s="51">
        <f>IFERROR(IF('3 — Weights'!$E$8=1,PERCENTRANK(O$4:O$91,O40),1-PERCENTRANK(O$4:O$91,O40))*100,"")</f>
        <v>37.299999999999997</v>
      </c>
      <c r="AO40" s="51">
        <f>IFERROR(IF('3 — Weights'!$E$9=1,PERCENTRANK(P$4:P$91,P40),1-PERCENTRANK(P$4:P$91,P40))*100,"")</f>
        <v>80.800000000000011</v>
      </c>
      <c r="AP40" s="51">
        <f>IFERROR(IF('3 — Weights'!$E$10=1,PERCENTRANK(Q$4:Q$91,Q40),1-PERCENTRANK(Q$4:Q$91,Q40))*100,"")</f>
        <v>51.1</v>
      </c>
      <c r="AQ40" s="51">
        <f>IFERROR(IF('3 — Weights'!$E$11=1,PERCENTRANK(R$4:R$91,R40),1-PERCENTRANK(R$4:R$91,R40))*100,"")</f>
        <v>0</v>
      </c>
      <c r="AR40" s="51">
        <f>IFERROR(IF('3 — Weights'!$E$12=1,PERCENTRANK(S$4:S$91,S40),1-PERCENTRANK(S$4:S$91,S40))*100,"")</f>
        <v>61.7</v>
      </c>
      <c r="AS40" s="51">
        <f>IFERROR(IF('3 — Weights'!$E$13=1,PERCENTRANK(T$4:T$91,T40),1-PERCENTRANK(T$4:T$91,T40))*100,"")</f>
        <v>54.1</v>
      </c>
      <c r="AT40" s="51">
        <f>IFERROR(IF('3 — Weights'!$E$14=1,PERCENTRANK(U$4:U$91,U40),1-PERCENTRANK(U$4:U$91,U40))*100,"")</f>
        <v>20.7</v>
      </c>
      <c r="AU40" s="51">
        <f>IFERROR(IF('3 — Weights'!$E$15=1,PERCENTRANK(V$4:V$91,V40),1-PERCENTRANK(V$4:V$91,V40))*100,"")</f>
        <v>55.2</v>
      </c>
      <c r="AV40" s="51">
        <f>IFERROR(IF('3 — Weights'!$E$16=1,PERCENTRANK(W$4:W$91,W40),1-PERCENTRANK(W$4:W$91,W40))*100,"")</f>
        <v>95.5</v>
      </c>
      <c r="AW40" s="51">
        <f>IFERROR(IF('3 — Weights'!$E$17=1,PERCENTRANK(X$4:X$91,X40),1-PERCENTRANK(X$4:X$91,X40))*100,"")</f>
        <v>97.8</v>
      </c>
      <c r="AX40" s="51">
        <f>IFERROR(IF('3 — Weights'!$E$18=1,PERCENTRANK(Y$4:Y$91,Y40),1-PERCENTRANK(Y$4:Y$91,Y40))*100,"")</f>
        <v>45.4</v>
      </c>
      <c r="AY40" s="51">
        <f>IFERROR(IF('3 — Weights'!$E$18=1,PERCENTRANK(Z$4:Z$91,Z40),1-PERCENTRANK(Z$4:Z$91,Z40))*100,"")</f>
        <v>58.699999999999996</v>
      </c>
      <c r="AZ40" s="51">
        <f>IFERROR(IF('3 — Weights'!$E$18=1,PERCENTRANK(AA$4:AA$91,AA40),1-PERCENTRANK(AA$4:AA$91,AA40))*100,"")</f>
        <v>76.8</v>
      </c>
      <c r="BA40" s="51">
        <f>IFERROR(IF('3 — Weights'!$E$21=1,PERCENTRANK(AB$4:AB$91,AB40),1-PERCENTRANK(AB$4:AB$91,AB40))*100,"")</f>
        <v>36.700000000000003</v>
      </c>
      <c r="BB40" s="51">
        <f>IFERROR(IF('3 — Weights'!$E$22=1,PERCENTRANK(AC$4:AC$91,AC40),1-PERCENTRANK(AC$4:AC$91,AC40))*100,"")</f>
        <v>41.3</v>
      </c>
      <c r="BC40" s="51">
        <f>IFERROR(IF('3 — Weights'!$E$23=1,PERCENTRANK(AD$4:AD$91,AD40),1-PERCENTRANK(AD$4:AD$91,AD40))*100,"")</f>
        <v>66.7</v>
      </c>
      <c r="BD40" s="51">
        <f>IFERROR(IF('3 — Weights'!$E$24=1,PERCENTRANK(AE$4:AE$91,AE40),1-PERCENTRANK(AE$4:AE$91,AE40))*100,"")</f>
        <v>49.5</v>
      </c>
      <c r="BE40" s="51">
        <f>IFERROR(IF('3 — Weights'!$E$25=1,PERCENTRANK(AF$4:AF$91,AF40),1-PERCENTRANK(AF$4:AF$91,AF40))*100,"")</f>
        <v>65.600000000000009</v>
      </c>
      <c r="BF40" s="52" cm="1">
        <f t="array" ref="BF40">IFERROR(SUMPRODUCT(TRANSPOSE(AH40:BE40), [1]!Table2[Weight
Claude]),"")</f>
        <v>50.38000000000001</v>
      </c>
      <c r="BG40" s="53" cm="1">
        <f t="array" ref="BG40">IFERROR(SUMPRODUCT(TRANSPOSE(AH40:BE40), [1]!Table2[Weight
Cape IMC]),"")</f>
        <v>50.38000000000001</v>
      </c>
    </row>
    <row r="41" spans="1:59" ht="22.5" customHeight="1" x14ac:dyDescent="0.25">
      <c r="A41" s="17">
        <f t="shared" si="0"/>
        <v>38</v>
      </c>
      <c r="B41" s="18" t="s">
        <v>153</v>
      </c>
      <c r="C41" s="18" t="s">
        <v>154</v>
      </c>
      <c r="D41" s="18" t="str">
        <f t="array" ref="D41">IFERROR(_xll.FDS($B41,"FR_RBICS_NAME_CURR(""IND"")"), "")</f>
        <v>Customer Relationship Management Software</v>
      </c>
      <c r="E41" s="18" t="str">
        <f t="array" ref="E41">PROPER(IFERROR(_xll.FDS($B41,"P_DCOUNTRY"), ""))</f>
        <v>Israel</v>
      </c>
      <c r="F41" s="19">
        <f t="array" ref="F41">IFERROR(_xll.FDS($B41,"FCS_EV_DAILY(MV,NOW,,,USD,M)"), "")</f>
        <v>7420.5964424554804</v>
      </c>
      <c r="G41" s="19">
        <f t="array" ref="G41">IFERROR(_xll.FDS($B41,"AVG(P_VOLUME_FRQ(-1AM,NOW,D,,6))*P_PRICE_AVG(-1AM,NOW,,USD)"), "")</f>
        <v>117.494895114729</v>
      </c>
      <c r="H41" s="20" t="str">
        <f t="array" ref="H41">IFERROR(_xll.FDS($B41,"OS_SEC_FLT_PCT(0D,,MTD,SEC)")/100, "")</f>
        <v/>
      </c>
      <c r="I41" s="19">
        <f t="array" ref="I41">IFERROR(_xll.FDS($B41,"FE_ACTUAL(ACTUAL,SALES,ANN_ROLL,0,,,,'CURRENCY=USD')"), "")</f>
        <v>2945.3989999999999</v>
      </c>
      <c r="J41" s="19">
        <f t="array" ref="J41">IFERROR(_xll.FDS($B41,"FE_ACTUAL(ACTUAL,EPS,ANN_ROLL,0,,,,'CURRENCY=USD')"), "")</f>
        <v>12.3</v>
      </c>
      <c r="K41" s="20">
        <f t="array" ref="K41">IFERROR(_xll.FDS($B41,"POW(FE_ESTIMATE(SALES,MEAN,STMA,,NOW,,,'CURRENCY=USD')/FE_ESTIMATE(SALES,MEAN,LTMA,,NOW,,,'CURRENCY=USD'),0.5)-1"), "")</f>
        <v>9.3703890456644498E-2</v>
      </c>
      <c r="L41" s="20">
        <f t="array" ref="L41">IFERROR(_xll.FDS($B41,"POW(FE_ESTIMATE(EPS,MEAN,STMA,,NOW,,,'CURRENCY=USD')/FE_ESTIMATE(EPS,MEAN,LTMA,,NOW,,,'CURRENCY=USD'),0.5)-1"), "")</f>
        <v>3.1412865927122398E-2</v>
      </c>
      <c r="M41" s="21">
        <f t="array" ref="M41">IFERROR(_xll.FDS($B41,"FF_GROSS_MGN(LTM_R,0)"), "")</f>
        <v>66.413508033433303</v>
      </c>
      <c r="N41" s="21">
        <f t="array" ref="N41">IFERROR(_xll.FDS($B41,"FF_EBITDA_OPER_MGN(LTM_R,0)"), "")</f>
        <v>28.990992616995399</v>
      </c>
      <c r="O41" s="21">
        <f t="array" ref="O41">IFERROR(_xll.FDS($B41,"FF_NET_MGN(LTM_R,0)"), "")</f>
        <v>20.806934098784399</v>
      </c>
      <c r="P41" s="22">
        <f t="array" ref="P41">IFERROR(_xll.FDS($B41,"FE_VALUATION(NETDEBT_EBITDA,MEAN,NTMA,,NOW,,,'')"), "")</f>
        <v>-0.90781730000000005</v>
      </c>
      <c r="Q41" s="23">
        <f t="array" ref="Q41">IFERROR(_xll.FDS($B41,"FE_VALUATION(MCAP_FCF,MEAN,NTMA,,NOW,,,'')"), "")</f>
        <v>8.4445080000000008</v>
      </c>
      <c r="R41" s="23">
        <f t="array" ref="R41">IFERROR(_xll.FDS($B41,"FE_VALUATION(DIV_YLD,MEAN,NTMA,,NOW,,,'')"), "")</f>
        <v>0</v>
      </c>
      <c r="S41" s="21">
        <f t="array" ref="S41">IFERROR(_xll.FDS($B41,"FE_VALUATION(ROE,MEAN,NTMA,,0,,,'')" ), "")</f>
        <v>14.630997000000001</v>
      </c>
      <c r="T41" s="21">
        <f t="array" ref="T41">IFERROR(_xll.FDS($B41,"FE_VALUATION(ROIC,MEAN,NTMA,,0,,,'')" ), "")</f>
        <v>16.202742000000001</v>
      </c>
      <c r="U41" s="22">
        <f t="array" ref="U41">IFERROR(((_xll.FDS($B41,"FE_ACTUAL(ACTUAL,SALES,ANN_ROLL,0,,,,'CURRENCY=USD')")/_xll.FDS($B41,"FE_ACTUAL(ACTUAL,SALES,ANN_ROLL,-1,,,,'CURRENCY=USD')")-1)*100)+(_xll.FDS($B41,"FE_VALUATION(EBITDA_MARGIN,MEAN,ANN_ROLL,0,NOW,,,'')")  ), "")</f>
        <v>42.38715648341519</v>
      </c>
      <c r="V41" s="24">
        <f t="array" ref="V41">IFERROR(_xll.FDS($B41,"FE_VALUATION(PE,MEAN,NTMA,,0,,,'')" ), "")</f>
        <v>10.221038999999999</v>
      </c>
      <c r="W41" s="24">
        <f t="array" ref="W41">IFERROR(_xll.FDS($B41,"FE_VALUATION(P_SALESPS,MEAN,NTMA,,0,,,'')" ), "")</f>
        <v>2.2398726999999998</v>
      </c>
      <c r="X41" s="24">
        <f t="array" ref="X41">IFERROR(_xll.FDS($B41,"FE_VALUATION(FFEV_SALES,MEAN,NTMA,,0,,,'')" ), "")</f>
        <v>2.1466796000000001</v>
      </c>
      <c r="Y41" s="24">
        <f t="array" ref="Y41">IFERROR(_xll.FDS($B41,"FE_VALUATION(FFEV_EBITDA,MEAN,NTMA,,0,,,'')" ), "")</f>
        <v>7.1366829999999997</v>
      </c>
      <c r="Z41" s="20">
        <f t="array" ref="Z41">IFERROR(_xll.FDS($B41,"PERCENT_CHANGE(FE_VALUATION(PE,MEAN,NTMA,,0,,,''),MAX(FE_VALUATION(PE,MEAN,NTMA,,-1AY,0,,'')))")/100,"")</f>
        <v>-0.26316399963234</v>
      </c>
      <c r="AA41" s="20">
        <f t="array" ref="AA41">IFERROR(_xll.FDS($B41,"PERCENT_CHANGE(FE_VALUATION(FFEV_EBITDA,MEAN,NTMA,,0,,,''),MAX(FE_VALUATION(FFEV_EBITDA,MEAN,NTMA,,-1AY,0,,'')))")/100,"")</f>
        <v>-0.27123816794391997</v>
      </c>
      <c r="AB41" s="20">
        <f t="array" ref="AB41">IFERROR(_xll.FDS($B41,"FG_PRICE(0,,,USD)/P_PRICE_HIGH(-1AY,0,USD,,,""PRICE"",""INTRA"")")-1, "")</f>
        <v>-0.36753225181329896</v>
      </c>
      <c r="AC41" s="20">
        <f t="array" ref="AC41">IFERROR(_xll.FDS($B41,"RTP_PRICE_TARGET(USD)/FG_PRICE(0,,,USD)")-1, "")</f>
        <v>0.34065350608421996</v>
      </c>
      <c r="AD41" s="25">
        <f t="array" ref="AD41">IFERROR(_xll.FDS($B41,"FG_PRICE(0,,,USD)/FG_PRICE_MAVG(0,,,USD,50)")-1, "")</f>
        <v>2.452749129335996E-2</v>
      </c>
      <c r="AE41" s="25">
        <f t="array" ref="AE41">IFERROR(_xll.FDS($B41,"FG_PRICE(0,,,USD)/FG_PRICE_MAVG(0,,,USD,100)")-1, "")</f>
        <v>-2.8780342643370038E-2</v>
      </c>
      <c r="AF41" s="25">
        <f t="array" ref="AF41">IFERROR(_xll.FDS($B41,"FG_PRICE(0,,,USD)/FG_PRICE_MAVG(0,,,USD,200)")-1, "")</f>
        <v>-0.16566681320877297</v>
      </c>
      <c r="AG41" s="26" t="str">
        <f t="array" ref="AG41">IFERROR(_xll.FDS($B41,"FE_RATING(MEAN,TEXTONLY,0,NOW,,,'')"), "")</f>
        <v>Overweight</v>
      </c>
      <c r="AH41" s="50">
        <f>IFERROR(IF('3 — Weights'!$E$2=1,PERCENTRANK(I$4:I$91,I41),1-PERCENTRANK(I$4:I$91,I41))*100,"")</f>
        <v>65.5</v>
      </c>
      <c r="AI41" s="51">
        <f>IFERROR(IF('3 — Weights'!$E$3=1,PERCENTRANK(J$4:J$91,J41),1-PERCENTRANK(J$4:J$91,J41))*100,"")</f>
        <v>93.100000000000009</v>
      </c>
      <c r="AJ41" s="51">
        <f>IFERROR(IF('3 — Weights'!$E$4=1,PERCENTRANK(K$4:K$91,K41),1-PERCENTRANK(K$4:K$91,K41))*100,"")</f>
        <v>31</v>
      </c>
      <c r="AK41" s="51">
        <f>IFERROR(IF('3 — Weights'!$E$5=1,PERCENTRANK(L$4:L$91,L41),1-PERCENTRANK(L$4:L$91,L41))*100,"")</f>
        <v>0</v>
      </c>
      <c r="AL41" s="51">
        <f>IFERROR(IF('3 — Weights'!$E$6=1,PERCENTRANK(M$4:M$91,M41),1-PERCENTRANK(M$4:M$91,M41))*100,"")</f>
        <v>35.299999999999997</v>
      </c>
      <c r="AM41" s="51">
        <f>IFERROR(IF('3 — Weights'!$E$7=1,PERCENTRANK(N$4:N$91,N41),1-PERCENTRANK(N$4:N$91,N41))*100,"")</f>
        <v>71.399999999999991</v>
      </c>
      <c r="AN41" s="51">
        <f>IFERROR(IF('3 — Weights'!$E$8=1,PERCENTRANK(O$4:O$91,O41),1-PERCENTRANK(O$4:O$91,O41))*100,"")</f>
        <v>77.100000000000009</v>
      </c>
      <c r="AO41" s="51">
        <f>IFERROR(IF('3 — Weights'!$E$9=1,PERCENTRANK(P$4:P$91,P41),1-PERCENTRANK(P$4:P$91,P41))*100,"")</f>
        <v>47</v>
      </c>
      <c r="AP41" s="51">
        <f>IFERROR(IF('3 — Weights'!$E$10=1,PERCENTRANK(Q$4:Q$91,Q41),1-PERCENTRANK(Q$4:Q$91,Q41))*100,"")</f>
        <v>82.1</v>
      </c>
      <c r="AQ41" s="51">
        <f>IFERROR(IF('3 — Weights'!$E$11=1,PERCENTRANK(R$4:R$91,R41),1-PERCENTRANK(R$4:R$91,R41))*100,"")</f>
        <v>0</v>
      </c>
      <c r="AR41" s="51">
        <f>IFERROR(IF('3 — Weights'!$E$12=1,PERCENTRANK(S$4:S$91,S41),1-PERCENTRANK(S$4:S$91,S41))*100,"")</f>
        <v>27.1</v>
      </c>
      <c r="AS41" s="51">
        <f>IFERROR(IF('3 — Weights'!$E$13=1,PERCENTRANK(T$4:T$91,T41),1-PERCENTRANK(T$4:T$91,T41))*100,"")</f>
        <v>45.800000000000004</v>
      </c>
      <c r="AT41" s="51">
        <f>IFERROR(IF('3 — Weights'!$E$14=1,PERCENTRANK(U$4:U$91,U41),1-PERCENTRANK(U$4:U$91,U41))*100,"")</f>
        <v>45.1</v>
      </c>
      <c r="AU41" s="51">
        <f>IFERROR(IF('3 — Weights'!$E$15=1,PERCENTRANK(V$4:V$91,V41),1-PERCENTRANK(V$4:V$91,V41))*100,"")</f>
        <v>93.199999999999989</v>
      </c>
      <c r="AV41" s="51">
        <f>IFERROR(IF('3 — Weights'!$E$16=1,PERCENTRANK(W$4:W$91,W41),1-PERCENTRANK(W$4:W$91,W41))*100,"")</f>
        <v>90.9</v>
      </c>
      <c r="AW41" s="51">
        <f>IFERROR(IF('3 — Weights'!$E$17=1,PERCENTRANK(X$4:X$91,X41),1-PERCENTRANK(X$4:X$91,X41))*100,"")</f>
        <v>95.5</v>
      </c>
      <c r="AX41" s="51">
        <f>IFERROR(IF('3 — Weights'!$E$18=1,PERCENTRANK(Y$4:Y$91,Y41),1-PERCENTRANK(Y$4:Y$91,Y41))*100,"")</f>
        <v>91.9</v>
      </c>
      <c r="AY41" s="51">
        <f>IFERROR(IF('3 — Weights'!$E$18=1,PERCENTRANK(Z$4:Z$91,Z41),1-PERCENTRANK(Z$4:Z$91,Z41))*100,"")</f>
        <v>4.6000000000000041</v>
      </c>
      <c r="AZ41" s="51">
        <f>IFERROR(IF('3 — Weights'!$E$18=1,PERCENTRANK(AA$4:AA$91,AA41),1-PERCENTRANK(AA$4:AA$91,AA41))*100,"")</f>
        <v>8.1999999999999957</v>
      </c>
      <c r="BA41" s="51">
        <f>IFERROR(IF('3 — Weights'!$E$21=1,PERCENTRANK(AB$4:AB$91,AB41),1-PERCENTRANK(AB$4:AB$91,AB41))*100,"")</f>
        <v>70.099999999999994</v>
      </c>
      <c r="BB41" s="51">
        <f>IFERROR(IF('3 — Weights'!$E$22=1,PERCENTRANK(AC$4:AC$91,AC41),1-PERCENTRANK(AC$4:AC$91,AC41))*100,"")</f>
        <v>20.599999999999998</v>
      </c>
      <c r="BC41" s="51">
        <f>IFERROR(IF('3 — Weights'!$E$23=1,PERCENTRANK(AD$4:AD$91,AD41),1-PERCENTRANK(AD$4:AD$91,AD41))*100,"")</f>
        <v>4.6000000000000041</v>
      </c>
      <c r="BD41" s="51">
        <f>IFERROR(IF('3 — Weights'!$E$24=1,PERCENTRANK(AE$4:AE$91,AE41),1-PERCENTRANK(AE$4:AE$91,AE41))*100,"")</f>
        <v>10.399999999999999</v>
      </c>
      <c r="BE41" s="51">
        <f>IFERROR(IF('3 — Weights'!$E$25=1,PERCENTRANK(AF$4:AF$91,AF41),1-PERCENTRANK(AF$4:AF$91,AF41))*100,"")</f>
        <v>24.2</v>
      </c>
      <c r="BF41" s="52" cm="1">
        <f t="array" ref="BF41">IFERROR(SUMPRODUCT(TRANSPOSE(AH41:BE41), [1]!Table2[Weight
Claude]),"")</f>
        <v>50.109999999999992</v>
      </c>
      <c r="BG41" s="53" cm="1">
        <f t="array" ref="BG41">IFERROR(SUMPRODUCT(TRANSPOSE(AH41:BE41), [1]!Table2[Weight
Cape IMC]),"")</f>
        <v>50.109999999999992</v>
      </c>
    </row>
    <row r="42" spans="1:59" ht="22.5" customHeight="1" x14ac:dyDescent="0.25">
      <c r="A42" s="17">
        <f t="shared" si="0"/>
        <v>42</v>
      </c>
      <c r="B42" s="18" t="s">
        <v>155</v>
      </c>
      <c r="C42" s="18" t="s">
        <v>156</v>
      </c>
      <c r="D42" s="18" t="str">
        <f t="array" ref="D42">IFERROR(_xll.FDS($B42,"FR_RBICS_NAME_CURR(""IND"")"), "")</f>
        <v>Enterprise Resource Planning Software</v>
      </c>
      <c r="E42" s="18" t="str">
        <f t="array" ref="E42">PROPER(IFERROR(_xll.FDS($B42,"P_DCOUNTRY"), ""))</f>
        <v>Japan</v>
      </c>
      <c r="F42" s="19">
        <f t="array" ref="F42">IFERROR(_xll.FDS($B42,"FCS_EV_DAILY(MV,NOW,,,USD,M)"), "")</f>
        <v>11769.7633082424</v>
      </c>
      <c r="G42" s="19">
        <f t="array" ref="G42">IFERROR(_xll.FDS($B42,"AVG(P_VOLUME_FRQ(-1AM,NOW,D,,6))*P_PRICE_AVG(-1AM,NOW,,USD)"), "")</f>
        <v>73.069290347692899</v>
      </c>
      <c r="H42" s="20">
        <f t="array" ref="H42">IFERROR(_xll.FDS($B42,"OS_SEC_FLT_PCT(0D,,MTD,SEC)")/100, "")</f>
        <v>0.61027799999999999</v>
      </c>
      <c r="I42" s="19">
        <f t="array" ref="I42">IFERROR(_xll.FDS($B42,"FE_ACTUAL(ACTUAL,SALES,ANN_ROLL,0,,,,'CURRENCY=USD')"), "")</f>
        <v>850.09119999999996</v>
      </c>
      <c r="J42" s="19">
        <f t="array" ref="J42">IFERROR(_xll.FDS($B42,"FE_ACTUAL(ACTUAL,EPS,ANN_ROLL,0,,,,'CURRENCY=USD')"), "")</f>
        <v>1.0300099</v>
      </c>
      <c r="K42" s="20">
        <f t="array" ref="K42">IFERROR(_xll.FDS($B42,"POW(FE_ESTIMATE(SALES,MEAN,STMA,,NOW,,,'CURRENCY=USD')/FE_ESTIMATE(SALES,MEAN,LTMA,,NOW,,,'CURRENCY=USD'),0.5)-1"), "")</f>
        <v>8.96142436660783E-2</v>
      </c>
      <c r="L42" s="20">
        <f t="array" ref="L42">IFERROR(_xll.FDS($B42,"POW(FE_ESTIMATE(EPS,MEAN,STMA,,NOW,,,'CURRENCY=USD')/FE_ESTIMATE(EPS,MEAN,LTMA,,NOW,,,'CURRENCY=USD'),0.5)-1"), "")</f>
        <v>8.8282132537330596E-2</v>
      </c>
      <c r="M42" s="21">
        <f t="array" ref="M42">IFERROR(_xll.FDS($B42,"FF_GROSS_MGN(LTM_R,0)"), "")</f>
        <v>78.068829294233794</v>
      </c>
      <c r="N42" s="21">
        <f t="array" ref="N42">IFERROR(_xll.FDS($B42,"FF_EBITDA_OPER_MGN(LTM_R,0)"), "")</f>
        <v>67.507407126035105</v>
      </c>
      <c r="O42" s="21">
        <f t="array" ref="O42">IFERROR(_xll.FDS($B42,"FF_NET_MGN(LTM_R,0)"), "")</f>
        <v>54.863632910430802</v>
      </c>
      <c r="P42" s="22">
        <f t="array" ref="P42">IFERROR(_xll.FDS($B42,"FE_VALUATION(NETDEBT_EBITDA,MEAN,NTMA,,NOW,,,'')"), "")</f>
        <v>-2.4344165000000002</v>
      </c>
      <c r="Q42" s="23">
        <f t="array" ref="Q42">IFERROR(_xll.FDS($B42,"FE_VALUATION(MCAP_FCF,MEAN,NTMA,,NOW,,,'')"), "")</f>
        <v>3.9433042999999999</v>
      </c>
      <c r="R42" s="23">
        <f t="array" ref="R42">IFERROR(_xll.FDS($B42,"FE_VALUATION(DIV_YLD,MEAN,NTMA,,NOW,,,'')"), "")</f>
        <v>2.2899759999999998</v>
      </c>
      <c r="S42" s="21">
        <f t="array" ref="S42">IFERROR(_xll.FDS($B42,"FE_VALUATION(ROE,MEAN,NTMA,,0,,,'')" ), "")</f>
        <v>15.804352</v>
      </c>
      <c r="T42" s="21">
        <f t="array" ref="T42">IFERROR(_xll.FDS($B42,"FE_VALUATION(ROIC,MEAN,NTMA,,0,,,'')" ), "")</f>
        <v>15.830852500000001</v>
      </c>
      <c r="U42" s="22">
        <f t="array" ref="U42">IFERROR(((_xll.FDS($B42,"FE_ACTUAL(ACTUAL,SALES,ANN_ROLL,0,,,,'CURRENCY=USD')")/_xll.FDS($B42,"FE_ACTUAL(ACTUAL,SALES,ANN_ROLL,-1,,,,'CURRENCY=USD')")-1)*100)+(_xll.FDS($B42,"FE_VALUATION(EBITDA_MARGIN,MEAN,ANN_ROLL,0,NOW,,,'')")  ), "")</f>
        <v>84.567966367735409</v>
      </c>
      <c r="V42" s="24">
        <f t="array" ref="V42">IFERROR(_xll.FDS($B42,"FE_VALUATION(PE,MEAN,NTMA,,0,,,'')" ), "")</f>
        <v>21.037956000000001</v>
      </c>
      <c r="W42" s="24">
        <f t="array" ref="W42">IFERROR(_xll.FDS($B42,"FE_VALUATION(P_SALESPS,MEAN,NTMA,,0,,,'')" ), "")</f>
        <v>12.827413999999999</v>
      </c>
      <c r="X42" s="24">
        <f t="array" ref="X42">IFERROR(_xll.FDS($B42,"FE_VALUATION(FFEV_SALES,MEAN,NTMA,,0,,,'')" ), "")</f>
        <v>9.9469019999999997</v>
      </c>
      <c r="Y42" s="24">
        <f t="array" ref="Y42">IFERROR(_xll.FDS($B42,"FE_VALUATION(FFEV_EBITDA,MEAN,NTMA,,0,,,'')" ), "")</f>
        <v>14.703856</v>
      </c>
      <c r="Z42" s="20">
        <f t="array" ref="Z42">IFERROR(_xll.FDS($B42,"PERCENT_CHANGE(FE_VALUATION(PE,MEAN,NTMA,,0,,,''),MAX(FE_VALUATION(PE,MEAN,NTMA,,-1AY,0,,'')))")/100,"")</f>
        <v>-0.38557195636833297</v>
      </c>
      <c r="AA42" s="20">
        <f t="array" ref="AA42">IFERROR(_xll.FDS($B42,"PERCENT_CHANGE(FE_VALUATION(FFEV_EBITDA,MEAN,NTMA,,0,,,''),MAX(FE_VALUATION(FFEV_EBITDA,MEAN,NTMA,,-1AY,0,,'')))")/100,"")</f>
        <v>-0.40779305096497404</v>
      </c>
      <c r="AB42" s="20">
        <f t="array" ref="AB42">IFERROR(_xll.FDS($B42,"FG_PRICE(0,,,USD)/P_PRICE_HIGH(-1AY,0,USD,,,""PRICE"",""INTRA"")")-1, "")</f>
        <v>-0.38721116511114295</v>
      </c>
      <c r="AC42" s="20">
        <f t="array" ref="AC42">IFERROR(_xll.FDS($B42,"RTP_PRICE_TARGET(USD)/FG_PRICE(0,,,USD)")-1, "")</f>
        <v>0.39043699625813999</v>
      </c>
      <c r="AD42" s="25">
        <f t="array" ref="AD42">IFERROR(_xll.FDS($B42,"FG_PRICE(0,,,USD)/FG_PRICE_MAVG(0,,,USD,50)")-1, "")</f>
        <v>-0.17086961277784896</v>
      </c>
      <c r="AE42" s="25">
        <f t="array" ref="AE42">IFERROR(_xll.FDS($B42,"FG_PRICE(0,,,USD)/FG_PRICE_MAVG(0,,,USD,100)")-1, "")</f>
        <v>-0.21822836276558999</v>
      </c>
      <c r="AF42" s="25">
        <f t="array" ref="AF42">IFERROR(_xll.FDS($B42,"FG_PRICE(0,,,USD)/FG_PRICE_MAVG(0,,,USD,200)")-1, "")</f>
        <v>-0.28488374880401701</v>
      </c>
      <c r="AG42" s="26" t="str">
        <f t="array" ref="AG42">IFERROR(_xll.FDS($B42,"FE_RATING(MEAN,TEXTONLY,0,NOW,,,'')"), "")</f>
        <v>Overweight</v>
      </c>
      <c r="AH42" s="50">
        <f>IFERROR(IF('3 — Weights'!$E$2=1,PERCENTRANK(I$4:I$91,I42),1-PERCENTRANK(I$4:I$91,I42))*100,"")</f>
        <v>25.2</v>
      </c>
      <c r="AI42" s="51">
        <f>IFERROR(IF('3 — Weights'!$E$3=1,PERCENTRANK(J$4:J$91,J42),1-PERCENTRANK(J$4:J$91,J42))*100,"")</f>
        <v>34.4</v>
      </c>
      <c r="AJ42" s="51">
        <f>IFERROR(IF('3 — Weights'!$E$4=1,PERCENTRANK(K$4:K$91,K42),1-PERCENTRANK(K$4:K$91,K42))*100,"")</f>
        <v>27.500000000000004</v>
      </c>
      <c r="AK42" s="51">
        <f>IFERROR(IF('3 — Weights'!$E$5=1,PERCENTRANK(L$4:L$91,L42),1-PERCENTRANK(L$4:L$91,L42))*100,"")</f>
        <v>11.899999999999999</v>
      </c>
      <c r="AL42" s="51">
        <f>IFERROR(IF('3 — Weights'!$E$6=1,PERCENTRANK(M$4:M$91,M42),1-PERCENTRANK(M$4:M$91,M42))*100,"")</f>
        <v>70.7</v>
      </c>
      <c r="AM42" s="51">
        <f>IFERROR(IF('3 — Weights'!$E$7=1,PERCENTRANK(N$4:N$91,N42),1-PERCENTRANK(N$4:N$91,N42))*100,"")</f>
        <v>98.7</v>
      </c>
      <c r="AN42" s="51">
        <f>IFERROR(IF('3 — Weights'!$E$8=1,PERCENTRANK(O$4:O$91,O42),1-PERCENTRANK(O$4:O$91,O42))*100,"")</f>
        <v>97.5</v>
      </c>
      <c r="AO42" s="51">
        <f>IFERROR(IF('3 — Weights'!$E$9=1,PERCENTRANK(P$4:P$91,P42),1-PERCENTRANK(P$4:P$91,P42))*100,"")</f>
        <v>73.5</v>
      </c>
      <c r="AP42" s="51">
        <f>IFERROR(IF('3 — Weights'!$E$10=1,PERCENTRANK(Q$4:Q$91,Q42),1-PERCENTRANK(Q$4:Q$91,Q42))*100,"")</f>
        <v>33.300000000000004</v>
      </c>
      <c r="AQ42" s="51">
        <f>IFERROR(IF('3 — Weights'!$E$11=1,PERCENTRANK(R$4:R$91,R42),1-PERCENTRANK(R$4:R$91,R42))*100,"")</f>
        <v>94.8</v>
      </c>
      <c r="AR42" s="51">
        <f>IFERROR(IF('3 — Weights'!$E$12=1,PERCENTRANK(S$4:S$91,S42),1-PERCENTRANK(S$4:S$91,S42))*100,"")</f>
        <v>32</v>
      </c>
      <c r="AS42" s="51">
        <f>IFERROR(IF('3 — Weights'!$E$13=1,PERCENTRANK(T$4:T$91,T42),1-PERCENTRANK(T$4:T$91,T42))*100,"")</f>
        <v>44.4</v>
      </c>
      <c r="AT42" s="51">
        <f>IFERROR(IF('3 — Weights'!$E$14=1,PERCENTRANK(U$4:U$91,U42),1-PERCENTRANK(U$4:U$91,U42))*100,"")</f>
        <v>95.1</v>
      </c>
      <c r="AU42" s="51">
        <f>IFERROR(IF('3 — Weights'!$E$15=1,PERCENTRANK(V$4:V$91,V42),1-PERCENTRANK(V$4:V$91,V42))*100,"")</f>
        <v>49.5</v>
      </c>
      <c r="AV42" s="51">
        <f>IFERROR(IF('3 — Weights'!$E$16=1,PERCENTRANK(W$4:W$91,W42),1-PERCENTRANK(W$4:W$91,W42))*100,"")</f>
        <v>9.1999999999999975</v>
      </c>
      <c r="AW42" s="51">
        <f>IFERROR(IF('3 — Weights'!$E$17=1,PERCENTRANK(X$4:X$91,X42),1-PERCENTRANK(X$4:X$91,X42))*100,"")</f>
        <v>10.399999999999999</v>
      </c>
      <c r="AX42" s="51">
        <f>IFERROR(IF('3 — Weights'!$E$18=1,PERCENTRANK(Y$4:Y$91,Y42),1-PERCENTRANK(Y$4:Y$91,Y42))*100,"")</f>
        <v>50</v>
      </c>
      <c r="AY42" s="51">
        <f>IFERROR(IF('3 — Weights'!$E$18=1,PERCENTRANK(Z$4:Z$91,Z42),1-PERCENTRANK(Z$4:Z$91,Z42))*100,"")</f>
        <v>20.699999999999996</v>
      </c>
      <c r="AZ42" s="51">
        <f>IFERROR(IF('3 — Weights'!$E$18=1,PERCENTRANK(AA$4:AA$91,AA42),1-PERCENTRANK(AA$4:AA$91,AA42))*100,"")</f>
        <v>23.299999999999997</v>
      </c>
      <c r="BA42" s="51">
        <f>IFERROR(IF('3 — Weights'!$E$21=1,PERCENTRANK(AB$4:AB$91,AB42),1-PERCENTRANK(AB$4:AB$91,AB42))*100,"")</f>
        <v>63.2</v>
      </c>
      <c r="BB42" s="51">
        <f>IFERROR(IF('3 — Weights'!$E$22=1,PERCENTRANK(AC$4:AC$91,AC42),1-PERCENTRANK(AC$4:AC$91,AC42))*100,"")</f>
        <v>29.799999999999997</v>
      </c>
      <c r="BC42" s="51">
        <f>IFERROR(IF('3 — Weights'!$E$23=1,PERCENTRANK(AD$4:AD$91,AD42),1-PERCENTRANK(AD$4:AD$91,AD42))*100,"")</f>
        <v>40.300000000000004</v>
      </c>
      <c r="BD42" s="51">
        <f>IFERROR(IF('3 — Weights'!$E$24=1,PERCENTRANK(AE$4:AE$91,AE42),1-PERCENTRANK(AE$4:AE$91,AE42))*100,"")</f>
        <v>39.1</v>
      </c>
      <c r="BE42" s="51">
        <f>IFERROR(IF('3 — Weights'!$E$25=1,PERCENTRANK(AF$4:AF$91,AF42),1-PERCENTRANK(AF$4:AF$91,AF42))*100,"")</f>
        <v>50.6</v>
      </c>
      <c r="BF42" s="52" cm="1">
        <f t="array" ref="BF42">IFERROR(SUMPRODUCT(TRANSPOSE(AH42:BE42), [1]!Table2[Weight
Claude]),"")</f>
        <v>49.449999999999996</v>
      </c>
      <c r="BG42" s="53" cm="1">
        <f t="array" ref="BG42">IFERROR(SUMPRODUCT(TRANSPOSE(AH42:BE42), [1]!Table2[Weight
Cape IMC]),"")</f>
        <v>49.449999999999996</v>
      </c>
    </row>
    <row r="43" spans="1:59" ht="22.5" customHeight="1" x14ac:dyDescent="0.25">
      <c r="A43" s="17">
        <f t="shared" si="0"/>
        <v>41</v>
      </c>
      <c r="B43" s="18" t="s">
        <v>157</v>
      </c>
      <c r="C43" s="18" t="s">
        <v>158</v>
      </c>
      <c r="D43" s="18" t="str">
        <f t="array" ref="D43">IFERROR(_xll.FDS($B43,"FR_RBICS_NAME_CURR(""IND"")"), "")</f>
        <v>Computer Aided Design Software</v>
      </c>
      <c r="E43" s="18" t="str">
        <f t="array" ref="E43">PROPER(IFERROR(_xll.FDS($B43,"P_DCOUNTRY"), ""))</f>
        <v>United States</v>
      </c>
      <c r="F43" s="19">
        <f t="array" ref="F43">IFERROR(_xll.FDS($B43,"FCS_EV_DAILY(MV,NOW,,,USD,M)"), "")</f>
        <v>9939.4655051999998</v>
      </c>
      <c r="G43" s="19">
        <f t="array" ref="G43">IFERROR(_xll.FDS($B43,"AVG(P_VOLUME_FRQ(-1AM,NOW,D,,6))*P_PRICE_AVG(-1AM,NOW,,USD)"), "")</f>
        <v>105.55024959917399</v>
      </c>
      <c r="H43" s="20">
        <f t="array" ref="H43">IFERROR(_xll.FDS($B43,"OS_SEC_FLT_PCT(0D,,MTD,SEC)")/100, "")</f>
        <v>0.41149400000000003</v>
      </c>
      <c r="I43" s="19">
        <f t="array" ref="I43">IFERROR(_xll.FDS($B43,"FE_ACTUAL(ACTUAL,SALES,ANN_ROLL,0,,,,'CURRENCY=USD')"), "")</f>
        <v>1353.095</v>
      </c>
      <c r="J43" s="19">
        <f t="array" ref="J43">IFERROR(_xll.FDS($B43,"FE_ACTUAL(ACTUAL,EPS,ANN_ROLL,0,,,,'CURRENCY=USD')"), "")</f>
        <v>1.07</v>
      </c>
      <c r="K43" s="20">
        <f t="array" ref="K43">IFERROR(_xll.FDS($B43,"POW(FE_ESTIMATE(SALES,MEAN,STMA,,NOW,,,'CURRENCY=USD')/FE_ESTIMATE(SALES,MEAN,LTMA,,NOW,,,'CURRENCY=USD'),0.5)-1"), "")</f>
        <v>9.5143050016754702E-2</v>
      </c>
      <c r="L43" s="20">
        <f t="array" ref="L43">IFERROR(_xll.FDS($B43,"POW(FE_ESTIMATE(EPS,MEAN,STMA,,NOW,,,'CURRENCY=USD')/FE_ESTIMATE(EPS,MEAN,LTMA,,NOW,,,'CURRENCY=USD'),0.5)-1"), "")</f>
        <v>0.125725499400276</v>
      </c>
      <c r="M43" s="21">
        <f t="array" ref="M43">IFERROR(_xll.FDS($B43,"FF_GROSS_MGN(LTM_R,0)"), "")</f>
        <v>78.946849321823905</v>
      </c>
      <c r="N43" s="21">
        <f t="array" ref="N43">IFERROR(_xll.FDS($B43,"FF_EBITDA_OPER_MGN(LTM_R,0)"), "")</f>
        <v>28.338877781727501</v>
      </c>
      <c r="O43" s="21">
        <f t="array" ref="O43">IFERROR(_xll.FDS($B43,"FF_NET_MGN(LTM_R,0)"), "")</f>
        <v>18.441677813781901</v>
      </c>
      <c r="P43" s="22">
        <f t="array" ref="P43">IFERROR(_xll.FDS($B43,"FE_VALUATION(NETDEBT_EBITDA,MEAN,NTMA,,NOW,,,'')"), "")</f>
        <v>0.84888642999999997</v>
      </c>
      <c r="Q43" s="23">
        <f t="array" ref="Q43">IFERROR(_xll.FDS($B43,"FE_VALUATION(MCAP_FCF,MEAN,NTMA,,NOW,,,'')"), "")</f>
        <v>5.3996570000000004</v>
      </c>
      <c r="R43" s="23">
        <f t="array" ref="R43">IFERROR(_xll.FDS($B43,"FE_VALUATION(DIV_YLD,MEAN,NTMA,,NOW,,,'')"), "")</f>
        <v>0.95367396000000004</v>
      </c>
      <c r="S43" s="21">
        <f t="array" ref="S43">IFERROR(_xll.FDS($B43,"FE_VALUATION(ROE,MEAN,NTMA,,0,,,'')" ), "")</f>
        <v>19.141386000000001</v>
      </c>
      <c r="T43" s="21">
        <f t="array" ref="T43">IFERROR(_xll.FDS($B43,"FE_VALUATION(ROIC,MEAN,NTMA,,0,,,'')" ), "")</f>
        <v>13.299073999999999</v>
      </c>
      <c r="U43" s="22">
        <f t="array" ref="U43">IFERROR(((_xll.FDS($B43,"FE_ACTUAL(ACTUAL,SALES,ANN_ROLL,0,,,,'CURRENCY=USD')")/_xll.FDS($B43,"FE_ACTUAL(ACTUAL,SALES,ANN_ROLL,-1,,,,'CURRENCY=USD')")-1)*100)+(_xll.FDS($B43,"FE_VALUATION(EBITDA_MARGIN,MEAN,ANN_ROLL,0,NOW,,,'')")  ), "")</f>
        <v>44.54270074147783</v>
      </c>
      <c r="V43" s="24">
        <f t="array" ref="V43">IFERROR(_xll.FDS($B43,"FE_VALUATION(PE,MEAN,NTMA,,0,,,'')" ), "")</f>
        <v>23.566427000000001</v>
      </c>
      <c r="W43" s="24">
        <f t="array" ref="W43">IFERROR(_xll.FDS($B43,"FE_VALUATION(P_SALESPS,MEAN,NTMA,,0,,,'')" ), "")</f>
        <v>5.8692500000000001</v>
      </c>
      <c r="X43" s="24">
        <f t="array" ref="X43">IFERROR(_xll.FDS($B43,"FE_VALUATION(FFEV_SALES,MEAN,NTMA,,0,,,'')" ), "")</f>
        <v>7.1122326999999999</v>
      </c>
      <c r="Y43" s="24">
        <f t="array" ref="Y43">IFERROR(_xll.FDS($B43,"FE_VALUATION(FFEV_EBITDA,MEAN,NTMA,,0,,,'')" ), "")</f>
        <v>19.418759999999999</v>
      </c>
      <c r="Z43" s="20">
        <f t="array" ref="Z43">IFERROR(_xll.FDS($B43,"PERCENT_CHANGE(FE_VALUATION(PE,MEAN,NTMA,,0,,,''),MAX(FE_VALUATION(PE,MEAN,NTMA,,-1AY,0,,'')))")/100,"")</f>
        <v>-0.49316139443772899</v>
      </c>
      <c r="AA43" s="20">
        <f t="array" ref="AA43">IFERROR(_xll.FDS($B43,"PERCENT_CHANGE(FE_VALUATION(FFEV_EBITDA,MEAN,NTMA,,0,,,''),MAX(FE_VALUATION(FFEV_EBITDA,MEAN,NTMA,,-1AY,0,,'')))")/100,"")</f>
        <v>-0.470558746416808</v>
      </c>
      <c r="AB43" s="20">
        <f t="array" ref="AB43">IFERROR(_xll.FDS($B43,"FG_PRICE(0,,,USD)/P_PRICE_HIGH(-1AY,0,USD,,,""PRICE"",""INTRA"")")-1, "")</f>
        <v>-0.45417721518987297</v>
      </c>
      <c r="AC43" s="20">
        <f t="array" ref="AC43">IFERROR(_xll.FDS($B43,"RTP_PRICE_TARGET(USD)/FG_PRICE(0,,,USD)")-1, "")</f>
        <v>0.62218738404453</v>
      </c>
      <c r="AD43" s="25">
        <f t="array" ref="AD43">IFERROR(_xll.FDS($B43,"FG_PRICE(0,,,USD)/FG_PRICE_MAVG(0,,,USD,50)")-1, "")</f>
        <v>-0.13083441508703697</v>
      </c>
      <c r="AE43" s="25">
        <f t="array" ref="AE43">IFERROR(_xll.FDS($B43,"FG_PRICE(0,,,USD)/FG_PRICE_MAVG(0,,,USD,100)")-1, "")</f>
        <v>-0.23405767067321903</v>
      </c>
      <c r="AF43" s="25">
        <f t="array" ref="AF43">IFERROR(_xll.FDS($B43,"FG_PRICE(0,,,USD)/FG_PRICE_MAVG(0,,,USD,200)")-1, "")</f>
        <v>-0.31884921153952805</v>
      </c>
      <c r="AG43" s="26" t="str">
        <f t="array" ref="AG43">IFERROR(_xll.FDS($B43,"FE_RATING(MEAN,TEXTONLY,0,NOW,,,'')"), "")</f>
        <v>Overweight</v>
      </c>
      <c r="AH43" s="50">
        <f>IFERROR(IF('3 — Weights'!$E$2=1,PERCENTRANK(I$4:I$91,I43),1-PERCENTRANK(I$4:I$91,I43))*100,"")</f>
        <v>45.9</v>
      </c>
      <c r="AI43" s="51">
        <f>IFERROR(IF('3 — Weights'!$E$3=1,PERCENTRANK(J$4:J$91,J43),1-PERCENTRANK(J$4:J$91,J43))*100,"")</f>
        <v>35.6</v>
      </c>
      <c r="AJ43" s="51">
        <f>IFERROR(IF('3 — Weights'!$E$4=1,PERCENTRANK(K$4:K$91,K43),1-PERCENTRANK(K$4:K$91,K43))*100,"")</f>
        <v>32.1</v>
      </c>
      <c r="AK43" s="51">
        <f>IFERROR(IF('3 — Weights'!$E$5=1,PERCENTRANK(L$4:L$91,L43),1-PERCENTRANK(L$4:L$91,L43))*100,"")</f>
        <v>28.499999999999996</v>
      </c>
      <c r="AL43" s="51">
        <f>IFERROR(IF('3 — Weights'!$E$6=1,PERCENTRANK(M$4:M$91,M43),1-PERCENTRANK(M$4:M$91,M43))*100,"")</f>
        <v>78</v>
      </c>
      <c r="AM43" s="51">
        <f>IFERROR(IF('3 — Weights'!$E$7=1,PERCENTRANK(N$4:N$91,N43),1-PERCENTRANK(N$4:N$91,N43))*100,"")</f>
        <v>70.099999999999994</v>
      </c>
      <c r="AN43" s="51">
        <f>IFERROR(IF('3 — Weights'!$E$8=1,PERCENTRANK(O$4:O$91,O43),1-PERCENTRANK(O$4:O$91,O43))*100,"")</f>
        <v>68.600000000000009</v>
      </c>
      <c r="AO43" s="51">
        <f>IFERROR(IF('3 — Weights'!$E$9=1,PERCENTRANK(P$4:P$91,P43),1-PERCENTRANK(P$4:P$91,P43))*100,"")</f>
        <v>18.100000000000005</v>
      </c>
      <c r="AP43" s="51">
        <f>IFERROR(IF('3 — Weights'!$E$10=1,PERCENTRANK(Q$4:Q$91,Q43),1-PERCENTRANK(Q$4:Q$91,Q43))*100,"")</f>
        <v>53.5</v>
      </c>
      <c r="AQ43" s="51">
        <f>IFERROR(IF('3 — Weights'!$E$11=1,PERCENTRANK(R$4:R$91,R43),1-PERCENTRANK(R$4:R$91,R43))*100,"")</f>
        <v>79.400000000000006</v>
      </c>
      <c r="AR43" s="51">
        <f>IFERROR(IF('3 — Weights'!$E$12=1,PERCENTRANK(S$4:S$91,S43),1-PERCENTRANK(S$4:S$91,S43))*100,"")</f>
        <v>43.2</v>
      </c>
      <c r="AS43" s="51">
        <f>IFERROR(IF('3 — Weights'!$E$13=1,PERCENTRANK(T$4:T$91,T43),1-PERCENTRANK(T$4:T$91,T43))*100,"")</f>
        <v>34.699999999999996</v>
      </c>
      <c r="AT43" s="51">
        <f>IFERROR(IF('3 — Weights'!$E$14=1,PERCENTRANK(U$4:U$91,U43),1-PERCENTRANK(U$4:U$91,U43))*100,"")</f>
        <v>48.699999999999996</v>
      </c>
      <c r="AU43" s="51">
        <f>IFERROR(IF('3 — Weights'!$E$15=1,PERCENTRANK(V$4:V$91,V43),1-PERCENTRANK(V$4:V$91,V43))*100,"")</f>
        <v>44.9</v>
      </c>
      <c r="AV43" s="51">
        <f>IFERROR(IF('3 — Weights'!$E$16=1,PERCENTRANK(W$4:W$91,W43),1-PERCENTRANK(W$4:W$91,W43))*100,"")</f>
        <v>35.699999999999996</v>
      </c>
      <c r="AW43" s="51">
        <f>IFERROR(IF('3 — Weights'!$E$17=1,PERCENTRANK(X$4:X$91,X43),1-PERCENTRANK(X$4:X$91,X43))*100,"")</f>
        <v>23</v>
      </c>
      <c r="AX43" s="51">
        <f>IFERROR(IF('3 — Weights'!$E$18=1,PERCENTRANK(Y$4:Y$91,Y43),1-PERCENTRANK(Y$4:Y$91,Y43))*100,"")</f>
        <v>31.399999999999995</v>
      </c>
      <c r="AY43" s="51">
        <f>IFERROR(IF('3 — Weights'!$E$18=1,PERCENTRANK(Z$4:Z$91,Z43),1-PERCENTRANK(Z$4:Z$91,Z43))*100,"")</f>
        <v>47.199999999999996</v>
      </c>
      <c r="AZ43" s="51">
        <f>IFERROR(IF('3 — Weights'!$E$18=1,PERCENTRANK(AA$4:AA$91,AA43),1-PERCENTRANK(AA$4:AA$91,AA43))*100,"")</f>
        <v>37.299999999999997</v>
      </c>
      <c r="BA43" s="51">
        <f>IFERROR(IF('3 — Weights'!$E$21=1,PERCENTRANK(AB$4:AB$91,AB43),1-PERCENTRANK(AB$4:AB$91,AB43))*100,"")</f>
        <v>44.800000000000004</v>
      </c>
      <c r="BB43" s="51">
        <f>IFERROR(IF('3 — Weights'!$E$22=1,PERCENTRANK(AC$4:AC$91,AC43),1-PERCENTRANK(AC$4:AC$91,AC43))*100,"")</f>
        <v>65.5</v>
      </c>
      <c r="BC43" s="51">
        <f>IFERROR(IF('3 — Weights'!$E$23=1,PERCENTRANK(AD$4:AD$91,AD43),1-PERCENTRANK(AD$4:AD$91,AD43))*100,"")</f>
        <v>27.6</v>
      </c>
      <c r="BD43" s="51">
        <f>IFERROR(IF('3 — Weights'!$E$24=1,PERCENTRANK(AE$4:AE$91,AE43),1-PERCENTRANK(AE$4:AE$91,AE43))*100,"")</f>
        <v>44.9</v>
      </c>
      <c r="BE43" s="51">
        <f>IFERROR(IF('3 — Weights'!$E$25=1,PERCENTRANK(AF$4:AF$91,AF43),1-PERCENTRANK(AF$4:AF$91,AF43))*100,"")</f>
        <v>61</v>
      </c>
      <c r="BF43" s="52" cm="1">
        <f t="array" ref="BF43">IFERROR(SUMPRODUCT(TRANSPOSE(AH43:BE43), [1]!Table2[Weight
Claude]),"")</f>
        <v>49.47</v>
      </c>
      <c r="BG43" s="53" cm="1">
        <f t="array" ref="BG43">IFERROR(SUMPRODUCT(TRANSPOSE(AH43:BE43), [1]!Table2[Weight
Cape IMC]),"")</f>
        <v>49.47</v>
      </c>
    </row>
    <row r="44" spans="1:59" ht="22.5" customHeight="1" x14ac:dyDescent="0.25">
      <c r="A44" s="17">
        <f t="shared" si="0"/>
        <v>40</v>
      </c>
      <c r="B44" s="18" t="s">
        <v>159</v>
      </c>
      <c r="C44" s="18" t="s">
        <v>160</v>
      </c>
      <c r="D44" s="18" t="str">
        <f t="array" ref="D44">IFERROR(_xll.FDS($B44,"FR_RBICS_NAME_CURR(""IND"")"), "")</f>
        <v>Enterprise Resource Planning Software</v>
      </c>
      <c r="E44" s="18" t="str">
        <f t="array" ref="E44">PROPER(IFERROR(_xll.FDS($B44,"P_DCOUNTRY"), ""))</f>
        <v>United States</v>
      </c>
      <c r="F44" s="19">
        <f t="array" ref="F44">IFERROR(_xll.FDS($B44,"FCS_EV_DAILY(MV,NOW,,,USD,M)"), "")</f>
        <v>6330.4048572800002</v>
      </c>
      <c r="G44" s="19">
        <f t="array" ref="G44">IFERROR(_xll.FDS($B44,"AVG(P_VOLUME_FRQ(-1AM,NOW,D,,6))*P_PRICE_AVG(-1AM,NOW,,USD)"), "")</f>
        <v>111.344473174469</v>
      </c>
      <c r="H44" s="20">
        <f t="array" ref="H44">IFERROR(_xll.FDS($B44,"OS_SEC_FLT_PCT(0D,,MTD,SEC)")/100, "")</f>
        <v>0.96326299999999998</v>
      </c>
      <c r="I44" s="19">
        <f t="array" ref="I44">IFERROR(_xll.FDS($B44,"FE_ACTUAL(ACTUAL,SALES,ANN_ROLL,0,,,,'CURRENCY=USD')"), "")</f>
        <v>489.40699999999998</v>
      </c>
      <c r="J44" s="19">
        <f t="array" ref="J44">IFERROR(_xll.FDS($B44,"FE_ACTUAL(ACTUAL,EPS,ANN_ROLL,0,,,,'CURRENCY=USD')"), "")</f>
        <v>0.14000000000000001</v>
      </c>
      <c r="K44" s="20">
        <f t="array" ref="K44">IFERROR(_xll.FDS($B44,"POW(FE_ESTIMATE(SALES,MEAN,STMA,,NOW,,,'CURRENCY=USD')/FE_ESTIMATE(SALES,MEAN,LTMA,,NOW,,,'CURRENCY=USD'),0.5)-1"), "")</f>
        <v>0.185930562891437</v>
      </c>
      <c r="L44" s="20">
        <f t="array" ref="L44">IFERROR(_xll.FDS($B44,"POW(FE_ESTIMATE(EPS,MEAN,STMA,,NOW,,,'CURRENCY=USD')/FE_ESTIMATE(EPS,MEAN,LTMA,,NOW,,,'CURRENCY=USD'),0.5)-1"), "")</f>
        <v>0.51695177906220902</v>
      </c>
      <c r="M44" s="21">
        <f t="array" ref="M44">IFERROR(_xll.FDS($B44,"FF_GROSS_MGN(LTM_R,0)"), "")</f>
        <v>67.858876387168195</v>
      </c>
      <c r="N44" s="21">
        <f t="array" ref="N44">IFERROR(_xll.FDS($B44,"FF_EBITDA_OPER_MGN(LTM_R,0)"), "")</f>
        <v>-23.246249629825599</v>
      </c>
      <c r="O44" s="21">
        <f t="array" ref="O44">IFERROR(_xll.FDS($B44,"FF_NET_MGN(LTM_R,0)"), "")</f>
        <v>-14.499795856500301</v>
      </c>
      <c r="P44" s="22">
        <f t="array" ref="P44">IFERROR(_xll.FDS($B44,"FE_VALUATION(NETDEBT_EBITDA,MEAN,NTMA,,NOW,,,'')"), "")</f>
        <v>-13.442983</v>
      </c>
      <c r="Q44" s="23">
        <f t="array" ref="Q44">IFERROR(_xll.FDS($B44,"FE_VALUATION(MCAP_FCF,MEAN,NTMA,,NOW,,,'')"), "")</f>
        <v>2.1887032999999998</v>
      </c>
      <c r="R44" s="23">
        <f t="array" ref="R44">IFERROR(_xll.FDS($B44,"FE_VALUATION(DIV_YLD,MEAN,NTMA,,NOW,,,'')"), "")</f>
        <v>0</v>
      </c>
      <c r="S44" s="21">
        <f t="array" ref="S44">IFERROR(_xll.FDS($B44,"FE_VALUATION(ROE,MEAN,NTMA,,0,,,'')" ), "")</f>
        <v>11.452493</v>
      </c>
      <c r="T44" s="21">
        <f t="array" ref="T44">IFERROR(_xll.FDS($B44,"FE_VALUATION(ROIC,MEAN,NTMA,,0,,,'')" ), "")</f>
        <v>-8.9705739999999992</v>
      </c>
      <c r="U44" s="22" t="str">
        <f t="array" ref="U44">IFERROR(((_xll.FDS($B44,"FE_ACTUAL(ACTUAL,SALES,ANN_ROLL,0,,,,'CURRENCY=USD')")/_xll.FDS($B44,"FE_ACTUAL(ACTUAL,SALES,ANN_ROLL,-1,,,,'CURRENCY=USD')")-1)*100)+(_xll.FDS($B44,"FE_VALUATION(EBITDA_MARGIN,MEAN,ANN_ROLL,0,NOW,,,'')")  ), "")</f>
        <v/>
      </c>
      <c r="V44" s="24">
        <f t="array" ref="V44">IFERROR(_xll.FDS($B44,"FE_VALUATION(PE,MEAN,NTMA,,0,,,'')" ), "")</f>
        <v>78.698689999999999</v>
      </c>
      <c r="W44" s="24">
        <f t="array" ref="W44">IFERROR(_xll.FDS($B44,"FE_VALUATION(P_SALESPS,MEAN,NTMA,,0,,,'')" ), "")</f>
        <v>8.0099230000000006</v>
      </c>
      <c r="X44" s="24">
        <f t="array" ref="X44">IFERROR(_xll.FDS($B44,"FE_VALUATION(FFEV_SALES,MEAN,NTMA,,0,,,'')" ), "")</f>
        <v>5.2914870000000001</v>
      </c>
      <c r="Y44" s="24">
        <f t="array" ref="Y44">IFERROR(_xll.FDS($B44,"FE_VALUATION(FFEV_EBITDA,MEAN,NTMA,,0,,,'')" ), "")</f>
        <v>63.743042000000003</v>
      </c>
      <c r="Z44" s="20">
        <f t="array" ref="Z44">IFERROR(_xll.FDS($B44,"PERCENT_CHANGE(FE_VALUATION(PE,MEAN,NTMA,,0,,,''),MAX(FE_VALUATION(PE,MEAN,NTMA,,-1AY,0,,'')))")/100,"")</f>
        <v>-0.72347347968142794</v>
      </c>
      <c r="AA44" s="20">
        <f t="array" ref="AA44">IFERROR(_xll.FDS($B44,"PERCENT_CHANGE(FE_VALUATION(FFEV_EBITDA,MEAN,NTMA,,0,,,''),MAX(FE_VALUATION(FFEV_EBITDA,MEAN,NTMA,,-1AY,0,,'')))")/100,"")</f>
        <v>-0.80875741817194291</v>
      </c>
      <c r="AB44" s="20">
        <f t="array" ref="AB44">IFERROR(_xll.FDS($B44,"FG_PRICE(0,,,USD)/P_PRICE_HIGH(-1AY,0,USD,,,""PRICE"",""INTRA"")")-1, "")</f>
        <v>-0.20836142953472703</v>
      </c>
      <c r="AC44" s="20">
        <f t="array" ref="AC44">IFERROR(_xll.FDS($B44,"RTP_PRICE_TARGET(USD)/FG_PRICE(0,,,USD)")-1, "")</f>
        <v>2.7825085178879938E-2</v>
      </c>
      <c r="AD44" s="25">
        <f t="array" ref="AD44">IFERROR(_xll.FDS($B44,"FG_PRICE(0,,,USD)/FG_PRICE_MAVG(0,,,USD,50)")-1, "")</f>
        <v>7.3126142595979937E-2</v>
      </c>
      <c r="AE44" s="25">
        <f t="array" ref="AE44">IFERROR(_xll.FDS($B44,"FG_PRICE(0,,,USD)/FG_PRICE_MAVG(0,,,USD,100)")-1, "")</f>
        <v>0.14115471443187011</v>
      </c>
      <c r="AF44" s="25">
        <f t="array" ref="AF44">IFERROR(_xll.FDS($B44,"FG_PRICE(0,,,USD)/FG_PRICE_MAVG(0,,,USD,200)")-1, "")</f>
        <v>5.0485209633539974E-2</v>
      </c>
      <c r="AG44" s="26" t="str">
        <f t="array" ref="AG44">IFERROR(_xll.FDS($B44,"FE_RATING(MEAN,TEXTONLY,0,NOW,,,'')"), "")</f>
        <v>Hold</v>
      </c>
      <c r="AH44" s="50">
        <f>IFERROR(IF('3 — Weights'!$E$2=1,PERCENTRANK(I$4:I$91,I44),1-PERCENTRANK(I$4:I$91,I44))*100,"")</f>
        <v>5.7</v>
      </c>
      <c r="AI44" s="51">
        <f>IFERROR(IF('3 — Weights'!$E$3=1,PERCENTRANK(J$4:J$91,J44),1-PERCENTRANK(J$4:J$91,J44))*100,"")</f>
        <v>10.299999999999999</v>
      </c>
      <c r="AJ44" s="51">
        <f>IFERROR(IF('3 — Weights'!$E$4=1,PERCENTRANK(K$4:K$91,K44),1-PERCENTRANK(K$4:K$91,K44))*100,"")</f>
        <v>79.3</v>
      </c>
      <c r="AK44" s="51">
        <f>IFERROR(IF('3 — Weights'!$E$5=1,PERCENTRANK(L$4:L$91,L44),1-PERCENTRANK(L$4:L$91,L44))*100,"")</f>
        <v>95.199999999999989</v>
      </c>
      <c r="AL44" s="51">
        <f>IFERROR(IF('3 — Weights'!$E$6=1,PERCENTRANK(M$4:M$91,M44),1-PERCENTRANK(M$4:M$91,M44))*100,"")</f>
        <v>37.799999999999997</v>
      </c>
      <c r="AM44" s="51">
        <f>IFERROR(IF('3 — Weights'!$E$7=1,PERCENTRANK(N$4:N$91,N44),1-PERCENTRANK(N$4:N$91,N44))*100,"")</f>
        <v>5.0999999999999996</v>
      </c>
      <c r="AN44" s="51">
        <f>IFERROR(IF('3 — Weights'!$E$8=1,PERCENTRANK(O$4:O$91,O44),1-PERCENTRANK(O$4:O$91,O44))*100,"")</f>
        <v>10.8</v>
      </c>
      <c r="AO44" s="51">
        <f>IFERROR(IF('3 — Weights'!$E$9=1,PERCENTRANK(P$4:P$91,P44),1-PERCENTRANK(P$4:P$91,P44))*100,"")</f>
        <v>98.8</v>
      </c>
      <c r="AP44" s="51">
        <f>IFERROR(IF('3 — Weights'!$E$10=1,PERCENTRANK(Q$4:Q$91,Q44),1-PERCENTRANK(Q$4:Q$91,Q44))*100,"")</f>
        <v>11.899999999999999</v>
      </c>
      <c r="AQ44" s="51">
        <f>IFERROR(IF('3 — Weights'!$E$11=1,PERCENTRANK(R$4:R$91,R44),1-PERCENTRANK(R$4:R$91,R44))*100,"")</f>
        <v>0</v>
      </c>
      <c r="AR44" s="51">
        <f>IFERROR(IF('3 — Weights'!$E$12=1,PERCENTRANK(S$4:S$91,S44),1-PERCENTRANK(S$4:S$91,S44))*100,"")</f>
        <v>17.2</v>
      </c>
      <c r="AS44" s="51">
        <f>IFERROR(IF('3 — Weights'!$E$13=1,PERCENTRANK(T$4:T$91,T44),1-PERCENTRANK(T$4:T$91,T44))*100,"")</f>
        <v>0</v>
      </c>
      <c r="AT44" s="51" t="str">
        <f>IFERROR(IF('3 — Weights'!$E$14=1,PERCENTRANK(U$4:U$91,U44),1-PERCENTRANK(U$4:U$91,U44))*100,"")</f>
        <v/>
      </c>
      <c r="AU44" s="51">
        <f>IFERROR(IF('3 — Weights'!$E$15=1,PERCENTRANK(V$4:V$91,V44),1-PERCENTRANK(V$4:V$91,V44))*100,"")</f>
        <v>9.1999999999999975</v>
      </c>
      <c r="AV44" s="51">
        <f>IFERROR(IF('3 — Weights'!$E$16=1,PERCENTRANK(W$4:W$91,W44),1-PERCENTRANK(W$4:W$91,W44))*100,"")</f>
        <v>19.599999999999994</v>
      </c>
      <c r="AW44" s="51">
        <f>IFERROR(IF('3 — Weights'!$E$17=1,PERCENTRANK(X$4:X$91,X44),1-PERCENTRANK(X$4:X$91,X44))*100,"")</f>
        <v>42.6</v>
      </c>
      <c r="AX44" s="51">
        <f>IFERROR(IF('3 — Weights'!$E$18=1,PERCENTRANK(Y$4:Y$91,Y44),1-PERCENTRANK(Y$4:Y$91,Y44))*100,"")</f>
        <v>5.9000000000000057</v>
      </c>
      <c r="AY44" s="51">
        <f>IFERROR(IF('3 — Weights'!$E$18=1,PERCENTRANK(Z$4:Z$91,Z44),1-PERCENTRANK(Z$4:Z$91,Z44))*100,"")</f>
        <v>88.6</v>
      </c>
      <c r="AZ44" s="51">
        <f>IFERROR(IF('3 — Weights'!$E$18=1,PERCENTRANK(AA$4:AA$91,AA44),1-PERCENTRANK(AA$4:AA$91,AA44))*100,"")</f>
        <v>100</v>
      </c>
      <c r="BA44" s="51">
        <f>IFERROR(IF('3 — Weights'!$E$21=1,PERCENTRANK(AB$4:AB$91,AB44),1-PERCENTRANK(AB$4:AB$91,AB44))*100,"")</f>
        <v>94.199999999999989</v>
      </c>
      <c r="BB44" s="51">
        <f>IFERROR(IF('3 — Weights'!$E$22=1,PERCENTRANK(AC$4:AC$91,AC44),1-PERCENTRANK(AC$4:AC$91,AC44))*100,"")</f>
        <v>2.1999999999999997</v>
      </c>
      <c r="BC44" s="51">
        <f>IFERROR(IF('3 — Weights'!$E$23=1,PERCENTRANK(AD$4:AD$91,AD44),1-PERCENTRANK(AD$4:AD$91,AD44))*100,"")</f>
        <v>2.300000000000002</v>
      </c>
      <c r="BD44" s="51">
        <f>IFERROR(IF('3 — Weights'!$E$24=1,PERCENTRANK(AE$4:AE$91,AE44),1-PERCENTRANK(AE$4:AE$91,AE44))*100,"")</f>
        <v>2.300000000000002</v>
      </c>
      <c r="BE44" s="51">
        <f>IFERROR(IF('3 — Weights'!$E$25=1,PERCENTRANK(AF$4:AF$91,AF44),1-PERCENTRANK(AF$4:AF$91,AF44))*100,"")</f>
        <v>6.899999999999995</v>
      </c>
      <c r="BF44" s="52" cm="1">
        <f t="array" ref="BF44">IFERROR(SUMPRODUCT(TRANSPOSE(AH44:BE44), [1]!Table2[Weight
Claude]),"")</f>
        <v>49.550000000000004</v>
      </c>
      <c r="BG44" s="53" cm="1">
        <f t="array" ref="BG44">IFERROR(SUMPRODUCT(TRANSPOSE(AH44:BE44), [1]!Table2[Weight
Cape IMC]),"")</f>
        <v>49.550000000000004</v>
      </c>
    </row>
    <row r="45" spans="1:59" ht="22.5" customHeight="1" x14ac:dyDescent="0.25">
      <c r="A45" s="17">
        <f t="shared" si="0"/>
        <v>43</v>
      </c>
      <c r="B45" s="27" t="s">
        <v>161</v>
      </c>
      <c r="C45" s="27" t="s">
        <v>162</v>
      </c>
      <c r="D45" s="27" t="str">
        <f t="array" ref="D45">IFERROR(_xll.FDS($B45,"FR_RBICS_NAME_CURR(""IND"")"), "")</f>
        <v>Electronic Design Automation Software</v>
      </c>
      <c r="E45" s="18" t="str">
        <f t="array" ref="E45">PROPER(IFERROR(_xll.FDS($B45,"P_DCOUNTRY"), ""))</f>
        <v>China</v>
      </c>
      <c r="F45" s="19">
        <f t="array" ref="F45">IFERROR(_xll.FDS($B45,"FCS_EV_DAILY(MV,NOW,,,USD,M)"), "")</f>
        <v>8143.7252192676197</v>
      </c>
      <c r="G45" s="19">
        <f t="array" ref="G45">IFERROR(_xll.FDS($B45,"AVG(P_VOLUME_FRQ(-1AM,NOW,D,,6))*P_PRICE_AVG(-1AM,NOW,,USD)"), "")</f>
        <v>79.205107209872097</v>
      </c>
      <c r="H45" s="20">
        <f t="array" ref="H45">IFERROR(_xll.FDS($B45,"OS_SEC_FLT_PCT(0D,,MTD,SEC)")/100, "")</f>
        <v>0.27832799999999996</v>
      </c>
      <c r="I45" s="19">
        <f t="array" ref="I45">IFERROR(_xll.FDS($B45,"FE_ACTUAL(ACTUAL,SALES,ANN_ROLL,0,,,,'CURRENCY=USD')"), "")</f>
        <v>167.41561999999999</v>
      </c>
      <c r="J45" s="19">
        <f t="array" ref="J45">IFERROR(_xll.FDS($B45,"FE_ACTUAL(ACTUAL,EPS,ANN_ROLL,0,,,,'CURRENCY=USD')"), "")</f>
        <v>2.7400265E-2</v>
      </c>
      <c r="K45" s="20">
        <f t="array" ref="K45">IFERROR(_xll.FDS($B45,"POW(FE_ESTIMATE(SALES,MEAN,STMA,,NOW,,,'CURRENCY=USD')/FE_ESTIMATE(SALES,MEAN,LTMA,,NOW,,,'CURRENCY=USD'),0.5)-1"), "")</f>
        <v>0.26874481279727802</v>
      </c>
      <c r="L45" s="20">
        <f t="array" ref="L45">IFERROR(_xll.FDS($B45,"POW(FE_ESTIMATE(EPS,MEAN,STMA,,NOW,,,'CURRENCY=USD')/FE_ESTIMATE(EPS,MEAN,LTMA,,NOW,,,'CURRENCY=USD'),0.5)-1"), "")</f>
        <v>0.65408125556152796</v>
      </c>
      <c r="M45" s="21">
        <f t="array" ref="M45">IFERROR(_xll.FDS($B45,"FF_GROSS_MGN(LTM_R,0)"), "")</f>
        <v>94.119003444320398</v>
      </c>
      <c r="N45" s="21" t="str">
        <f t="array" ref="N45">IFERROR(_xll.FDS($B45,"FF_EBITDA_OPER_MGN(LTM_R,0)"), "")</f>
        <v/>
      </c>
      <c r="O45" s="21">
        <f t="array" ref="O45">IFERROR(_xll.FDS($B45,"FF_NET_MGN(LTM_R,0)"), "")</f>
        <v>4.67389357674874</v>
      </c>
      <c r="P45" s="22">
        <f t="array" ref="P45">IFERROR(_xll.FDS($B45,"FE_VALUATION(NETDEBT_EBITDA,MEAN,NTMA,,NOW,,,'')"), "")</f>
        <v>-2.7087110000000001</v>
      </c>
      <c r="Q45" s="23" t="str">
        <f t="array" ref="Q45">IFERROR(_xll.FDS($B45,"FE_VALUATION(MCAP_FCF,MEAN,NTMA,,NOW,,,'')"), "")</f>
        <v/>
      </c>
      <c r="R45" s="23">
        <f t="array" ref="R45">IFERROR(_xll.FDS($B45,"FE_VALUATION(DIV_YLD,MEAN,NTMA,,NOW,,,'')"), "")</f>
        <v>0.58867919999999996</v>
      </c>
      <c r="S45" s="21">
        <f t="array" ref="S45">IFERROR(_xll.FDS($B45,"FE_VALUATION(ROE,MEAN,NTMA,,0,,,'')" ), "")</f>
        <v>5.6396217000000002</v>
      </c>
      <c r="T45" s="21" t="str">
        <f t="array" ref="T45">IFERROR(_xll.FDS($B45,"FE_VALUATION(ROIC,MEAN,NTMA,,0,,,'')" ), "")</f>
        <v/>
      </c>
      <c r="U45" s="22">
        <f t="array" ref="U45">IFERROR(((_xll.FDS($B45,"FE_ACTUAL(ACTUAL,SALES,ANN_ROLL,0,,,,'CURRENCY=USD')")/_xll.FDS($B45,"FE_ACTUAL(ACTUAL,SALES,ANN_ROLL,-1,,,,'CURRENCY=USD')")-1)*100)+(_xll.FDS($B45,"FE_VALUATION(EBITDA_MARGIN,MEAN,ANN_ROLL,0,NOW,,,'')")  ), "")</f>
        <v>27.962925608903703</v>
      </c>
      <c r="V45" s="24">
        <f t="array" ref="V45">IFERROR(_xll.FDS($B45,"FE_VALUATION(PE,MEAN,NTMA,,0,,,'')" ), "")</f>
        <v>190.69336999999999</v>
      </c>
      <c r="W45" s="24">
        <f t="array" ref="W45">IFERROR(_xll.FDS($B45,"FE_VALUATION(P_SALESPS,MEAN,NTMA,,0,,,'')" ), "")</f>
        <v>27.990995000000002</v>
      </c>
      <c r="X45" s="24">
        <f t="array" ref="X45">IFERROR(_xll.FDS($B45,"FE_VALUATION(FFEV_SALES,MEAN,NTMA,,0,,,'')" ), "")</f>
        <v>27.255692</v>
      </c>
      <c r="Y45" s="24">
        <f t="array" ref="Y45">IFERROR(_xll.FDS($B45,"FE_VALUATION(FFEV_EBITDA,MEAN,NTMA,,0,,,'')" ), "")</f>
        <v>138.27274</v>
      </c>
      <c r="Z45" s="20">
        <f t="array" ref="Z45">IFERROR(_xll.FDS($B45,"PERCENT_CHANGE(FE_VALUATION(PE,MEAN,NTMA,,0,,,''),MAX(FE_VALUATION(PE,MEAN,NTMA,,-1AY,0,,'')))")/100,"")</f>
        <v>-0.38336533456229099</v>
      </c>
      <c r="AA45" s="20">
        <f t="array" ref="AA45">IFERROR(_xll.FDS($B45,"PERCENT_CHANGE(FE_VALUATION(FFEV_EBITDA,MEAN,NTMA,,0,,,''),MAX(FE_VALUATION(FFEV_EBITDA,MEAN,NTMA,,-1AY,0,,'')))")/100,"")</f>
        <v>-0.27535904836252301</v>
      </c>
      <c r="AB45" s="20">
        <f t="array" ref="AB45">IFERROR(_xll.FDS($B45,"FG_PRICE(0,,,USD)/P_PRICE_HIGH(-1AY,0,USD,,,""PRICE"",""INTRA"")")-1, "")</f>
        <v>-0.27275803070172</v>
      </c>
      <c r="AC45" s="20">
        <f t="array" ref="AC45">IFERROR(_xll.FDS($B45,"RTP_PRICE_TARGET(USD)/FG_PRICE(0,,,USD)")-1, "")</f>
        <v>0.37709544048497001</v>
      </c>
      <c r="AD45" s="25">
        <f t="array" ref="AD45">IFERROR(_xll.FDS($B45,"FG_PRICE(0,,,USD)/FG_PRICE_MAVG(0,,,USD,50)")-1, "")</f>
        <v>-3.0470527194094044E-2</v>
      </c>
      <c r="AE45" s="25">
        <f t="array" ref="AE45">IFERROR(_xll.FDS($B45,"FG_PRICE(0,,,USD)/FG_PRICE_MAVG(0,,,USD,100)")-1, "")</f>
        <v>-6.6089636155927001E-2</v>
      </c>
      <c r="AF45" s="25">
        <f t="array" ref="AF45">IFERROR(_xll.FDS($B45,"FG_PRICE(0,,,USD)/FG_PRICE_MAVG(0,,,USD,200)")-1, "")</f>
        <v>-7.5376518068908993E-2</v>
      </c>
      <c r="AG45" s="26" t="str">
        <f t="array" ref="AG45">IFERROR(_xll.FDS($B45,"FE_RATING(MEAN,TEXTONLY,0,NOW,,,'')"), "")</f>
        <v>Overweight</v>
      </c>
      <c r="AH45" s="50">
        <f>IFERROR(IF('3 — Weights'!$E$2=1,PERCENTRANK(I$4:I$91,I45),1-PERCENTRANK(I$4:I$91,I45))*100,"")</f>
        <v>0</v>
      </c>
      <c r="AI45" s="51">
        <f>IFERROR(IF('3 — Weights'!$E$3=1,PERCENTRANK(J$4:J$91,J45),1-PERCENTRANK(J$4:J$91,J45))*100,"")</f>
        <v>5.7</v>
      </c>
      <c r="AJ45" s="51">
        <f>IFERROR(IF('3 — Weights'!$E$4=1,PERCENTRANK(K$4:K$91,K45),1-PERCENTRANK(K$4:K$91,K45))*100,"")</f>
        <v>95.399999999999991</v>
      </c>
      <c r="AK45" s="51">
        <f>IFERROR(IF('3 — Weights'!$E$5=1,PERCENTRANK(L$4:L$91,L45),1-PERCENTRANK(L$4:L$91,L45))*100,"")</f>
        <v>97.6</v>
      </c>
      <c r="AL45" s="51">
        <f>IFERROR(IF('3 — Weights'!$E$6=1,PERCENTRANK(M$4:M$91,M45),1-PERCENTRANK(M$4:M$91,M45))*100,"")</f>
        <v>100</v>
      </c>
      <c r="AM45" s="51" t="str">
        <f>IFERROR(IF('3 — Weights'!$E$7=1,PERCENTRANK(N$4:N$91,N45),1-PERCENTRANK(N$4:N$91,N45))*100,"")</f>
        <v/>
      </c>
      <c r="AN45" s="51">
        <f>IFERROR(IF('3 — Weights'!$E$8=1,PERCENTRANK(O$4:O$91,O45),1-PERCENTRANK(O$4:O$91,O45))*100,"")</f>
        <v>36.1</v>
      </c>
      <c r="AO45" s="51">
        <f>IFERROR(IF('3 — Weights'!$E$9=1,PERCENTRANK(P$4:P$91,P45),1-PERCENTRANK(P$4:P$91,P45))*100,"")</f>
        <v>78.400000000000006</v>
      </c>
      <c r="AP45" s="51" t="str">
        <f>IFERROR(IF('3 — Weights'!$E$10=1,PERCENTRANK(Q$4:Q$91,Q45),1-PERCENTRANK(Q$4:Q$91,Q45))*100,"")</f>
        <v/>
      </c>
      <c r="AQ45" s="51">
        <f>IFERROR(IF('3 — Weights'!$E$11=1,PERCENTRANK(R$4:R$91,R45),1-PERCENTRANK(R$4:R$91,R45))*100,"")</f>
        <v>75.599999999999994</v>
      </c>
      <c r="AR45" s="51">
        <f>IFERROR(IF('3 — Weights'!$E$12=1,PERCENTRANK(S$4:S$91,S45),1-PERCENTRANK(S$4:S$91,S45))*100,"")</f>
        <v>6.1</v>
      </c>
      <c r="AS45" s="51" t="str">
        <f>IFERROR(IF('3 — Weights'!$E$13=1,PERCENTRANK(T$4:T$91,T45),1-PERCENTRANK(T$4:T$91,T45))*100,"")</f>
        <v/>
      </c>
      <c r="AT45" s="51">
        <f>IFERROR(IF('3 — Weights'!$E$14=1,PERCENTRANK(U$4:U$91,U45),1-PERCENTRANK(U$4:U$91,U45))*100,"")</f>
        <v>9.7000000000000011</v>
      </c>
      <c r="AU45" s="51">
        <f>IFERROR(IF('3 — Weights'!$E$15=1,PERCENTRANK(V$4:V$91,V45),1-PERCENTRANK(V$4:V$91,V45))*100,"")</f>
        <v>3.5000000000000031</v>
      </c>
      <c r="AV45" s="51">
        <f>IFERROR(IF('3 — Weights'!$E$16=1,PERCENTRANK(W$4:W$91,W45),1-PERCENTRANK(W$4:W$91,W45))*100,"")</f>
        <v>2.300000000000002</v>
      </c>
      <c r="AW45" s="51">
        <f>IFERROR(IF('3 — Weights'!$E$17=1,PERCENTRANK(X$4:X$91,X45),1-PERCENTRANK(X$4:X$91,X45))*100,"")</f>
        <v>2.300000000000002</v>
      </c>
      <c r="AX45" s="51">
        <f>IFERROR(IF('3 — Weights'!$E$18=1,PERCENTRANK(Y$4:Y$91,Y45),1-PERCENTRANK(Y$4:Y$91,Y45))*100,"")</f>
        <v>0</v>
      </c>
      <c r="AY45" s="51">
        <f>IFERROR(IF('3 — Weights'!$E$18=1,PERCENTRANK(Z$4:Z$91,Z45),1-PERCENTRANK(Z$4:Z$91,Z45))*100,"")</f>
        <v>18.400000000000006</v>
      </c>
      <c r="AZ45" s="51">
        <f>IFERROR(IF('3 — Weights'!$E$18=1,PERCENTRANK(AA$4:AA$91,AA45),1-PERCENTRANK(AA$4:AA$91,AA45))*100,"")</f>
        <v>10.499999999999998</v>
      </c>
      <c r="BA45" s="51">
        <f>IFERROR(IF('3 — Weights'!$E$21=1,PERCENTRANK(AB$4:AB$91,AB45),1-PERCENTRANK(AB$4:AB$91,AB45))*100,"")</f>
        <v>85</v>
      </c>
      <c r="BB45" s="51">
        <f>IFERROR(IF('3 — Weights'!$E$22=1,PERCENTRANK(AC$4:AC$91,AC45),1-PERCENTRANK(AC$4:AC$91,AC45))*100,"")</f>
        <v>25.2</v>
      </c>
      <c r="BC45" s="51">
        <f>IFERROR(IF('3 — Weights'!$E$23=1,PERCENTRANK(AD$4:AD$91,AD45),1-PERCENTRANK(AD$4:AD$91,AD45))*100,"")</f>
        <v>11.5</v>
      </c>
      <c r="BD45" s="51">
        <f>IFERROR(IF('3 — Weights'!$E$24=1,PERCENTRANK(AE$4:AE$91,AE45),1-PERCENTRANK(AE$4:AE$91,AE45))*100,"")</f>
        <v>15.000000000000002</v>
      </c>
      <c r="BE45" s="51">
        <f>IFERROR(IF('3 — Weights'!$E$25=1,PERCENTRANK(AF$4:AF$91,AF45),1-PERCENTRANK(AF$4:AF$91,AF45))*100,"")</f>
        <v>12.7</v>
      </c>
      <c r="BF45" s="52" cm="1">
        <f t="array" ref="BF45">IFERROR(SUMPRODUCT(TRANSPOSE(AH45:BE45), [1]!Table2[Weight
Claude]),"")</f>
        <v>49.04</v>
      </c>
      <c r="BG45" s="53" cm="1">
        <f t="array" ref="BG45">IFERROR(SUMPRODUCT(TRANSPOSE(AH45:BE45), [1]!Table2[Weight
Cape IMC]),"")</f>
        <v>49.04</v>
      </c>
    </row>
    <row r="46" spans="1:59" ht="22.5" customHeight="1" x14ac:dyDescent="0.25">
      <c r="A46" s="17">
        <f t="shared" si="0"/>
        <v>39</v>
      </c>
      <c r="B46" s="18" t="s">
        <v>163</v>
      </c>
      <c r="C46" s="18" t="s">
        <v>164</v>
      </c>
      <c r="D46" s="18" t="str">
        <f t="array" ref="D46">IFERROR(_xll.FDS($B46,"FR_RBICS_NAME_CURR(""IND"")"), "")</f>
        <v>Network Infrastructure Software</v>
      </c>
      <c r="E46" s="18" t="str">
        <f t="array" ref="E46">PROPER(IFERROR(_xll.FDS($B46,"P_DCOUNTRY"), ""))</f>
        <v>United States</v>
      </c>
      <c r="F46" s="19">
        <f t="array" ref="F46">IFERROR(_xll.FDS($B46,"FCS_EV_DAILY(MV,NOW,,,USD,M)"), "")</f>
        <v>118719.46</v>
      </c>
      <c r="G46" s="19">
        <f t="array" ref="G46">IFERROR(_xll.FDS($B46,"AVG(P_VOLUME_FRQ(-1AM,NOW,D,,6))*P_PRICE_AVG(-1AM,NOW,,USD)"), "")</f>
        <v>2454.3322549424001</v>
      </c>
      <c r="H46" s="20">
        <f t="array" ref="H46">IFERROR(_xll.FDS($B46,"OS_SEC_FLT_PCT(0D,,MTD,SEC)")/100, "")</f>
        <v>0.99105999999999994</v>
      </c>
      <c r="I46" s="19">
        <f t="array" ref="I46">IFERROR(_xll.FDS($B46,"FE_ACTUAL(ACTUAL,SALES,ANN_ROLL,0,,,,'CURRENCY=USD')"), "")</f>
        <v>9221.5</v>
      </c>
      <c r="J46" s="19">
        <f t="array" ref="J46">IFERROR(_xll.FDS($B46,"FE_ACTUAL(ACTUAL,EPS,ANN_ROLL,0,,,,'CURRENCY=USD')"), "")</f>
        <v>3.34</v>
      </c>
      <c r="K46" s="20">
        <f t="array" ref="K46">IFERROR(_xll.FDS($B46,"POW(FE_ESTIMATE(SALES,MEAN,STMA,,NOW,,,'CURRENCY=USD')/FE_ESTIMATE(SALES,MEAN,LTMA,,NOW,,,'CURRENCY=USD'),0.5)-1"), "")</f>
        <v>0.17929266935735699</v>
      </c>
      <c r="L46" s="20">
        <f t="array" ref="L46">IFERROR(_xll.FDS($B46,"POW(FE_ESTIMATE(EPS,MEAN,STMA,,NOW,,,'CURRENCY=USD')/FE_ESTIMATE(EPS,MEAN,LTMA,,NOW,,,'CURRENCY=USD'),0.5)-1"), "")</f>
        <v>0.11141054520820499</v>
      </c>
      <c r="M46" s="21">
        <f t="array" ref="M46">IFERROR(_xll.FDS($B46,"FF_GROSS_MGN(LTM_R,0)"), "")</f>
        <v>73.504290782650898</v>
      </c>
      <c r="N46" s="21">
        <f t="array" ref="N46">IFERROR(_xll.FDS($B46,"FF_EBITDA_OPER_MGN(LTM_R,0)"), "")</f>
        <v>21.6388869234735</v>
      </c>
      <c r="O46" s="21">
        <f t="array" ref="O46">IFERROR(_xll.FDS($B46,"FF_NET_MGN(LTM_R,0)"), "")</f>
        <v>12.957253899103399</v>
      </c>
      <c r="P46" s="22">
        <f t="array" ref="P46">IFERROR(_xll.FDS($B46,"FE_VALUATION(NETDEBT_EBITDA,MEAN,NTMA,,NOW,,,'')"), "")</f>
        <v>-2.2344122</v>
      </c>
      <c r="Q46" s="23">
        <f t="array" ref="Q46">IFERROR(_xll.FDS($B46,"FE_VALUATION(MCAP_FCF,MEAN,NTMA,,NOW,,,'')"), "")</f>
        <v>3.9820150000000001</v>
      </c>
      <c r="R46" s="23">
        <f t="array" ref="R46">IFERROR(_xll.FDS($B46,"FE_VALUATION(DIV_YLD,MEAN,NTMA,,NOW,,,'')"), "")</f>
        <v>0</v>
      </c>
      <c r="S46" s="21">
        <f t="array" ref="S46">IFERROR(_xll.FDS($B46,"FE_VALUATION(ROE,MEAN,NTMA,,0,,,'')" ), "")</f>
        <v>23.746382000000001</v>
      </c>
      <c r="T46" s="21">
        <f t="array" ref="T46">IFERROR(_xll.FDS($B46,"FE_VALUATION(ROIC,MEAN,NTMA,,0,,,'')" ), "")</f>
        <v>25.788795</v>
      </c>
      <c r="U46" s="22">
        <f t="array" ref="U46">IFERROR(((_xll.FDS($B46,"FE_ACTUAL(ACTUAL,SALES,ANN_ROLL,0,,,,'CURRENCY=USD')")/_xll.FDS($B46,"FE_ACTUAL(ACTUAL,SALES,ANN_ROLL,-1,,,,'CURRENCY=USD')")-1)*100)+(_xll.FDS($B46,"FE_VALUATION(EBITDA_MARGIN,MEAN,ANN_ROLL,0,NOW,,,'')")  ), "")</f>
        <v>46.050391068203055</v>
      </c>
      <c r="V46" s="24">
        <f t="array" ref="V46">IFERROR(_xll.FDS($B46,"FE_VALUATION(PE,MEAN,NTMA,,0,,,'')" ), "")</f>
        <v>36.352707000000002</v>
      </c>
      <c r="W46" s="24">
        <f t="array" ref="W46">IFERROR(_xll.FDS($B46,"FE_VALUATION(P_SALESPS,MEAN,NTMA,,0,,,'')" ), "")</f>
        <v>9.3405249999999995</v>
      </c>
      <c r="X46" s="24">
        <f t="array" ref="X46">IFERROR(_xll.FDS($B46,"FE_VALUATION(FFEV_SALES,MEAN,NTMA,,0,,,'')" ), "")</f>
        <v>7.8018517000000003</v>
      </c>
      <c r="Y46" s="24">
        <f t="array" ref="Y46">IFERROR(_xll.FDS($B46,"FE_VALUATION(FFEV_EBITDA,MEAN,NTMA,,0,,,'')" ), "")</f>
        <v>24.956488</v>
      </c>
      <c r="Z46" s="20">
        <f t="array" ref="Z46">IFERROR(_xll.FDS($B46,"PERCENT_CHANGE(FE_VALUATION(PE,MEAN,NTMA,,0,,,''),MAX(FE_VALUATION(PE,MEAN,NTMA,,-1AY,0,,'')))")/100,"")</f>
        <v>-0.355204075218295</v>
      </c>
      <c r="AA46" s="20">
        <f t="array" ref="AA46">IFERROR(_xll.FDS($B46,"PERCENT_CHANGE(FE_VALUATION(FFEV_EBITDA,MEAN,NTMA,,0,,,''),MAX(FE_VALUATION(FFEV_EBITDA,MEAN,NTMA,,-1AY,0,,'')))")/100,"")</f>
        <v>-0.44102175891575895</v>
      </c>
      <c r="AB46" s="20">
        <f t="array" ref="AB46">IFERROR(_xll.FDS($B46,"FG_PRICE(0,,,USD)/P_PRICE_HIGH(-1AY,0,USD,,,""PRICE"",""INTRA"")")-1, "")</f>
        <v>-0.36644157238048403</v>
      </c>
      <c r="AC46" s="20">
        <f t="array" ref="AC46">IFERROR(_xll.FDS($B46,"RTP_PRICE_TARGET(USD)/FG_PRICE(0,,,USD)")-1, "")</f>
        <v>0.47082028658149011</v>
      </c>
      <c r="AD46" s="25">
        <f t="array" ref="AD46">IFERROR(_xll.FDS($B46,"FG_PRICE(0,,,USD)/FG_PRICE_MAVG(0,,,USD,50)")-1, "")</f>
        <v>-0.20163606280966395</v>
      </c>
      <c r="AE46" s="25">
        <f t="array" ref="AE46">IFERROR(_xll.FDS($B46,"FG_PRICE(0,,,USD)/FG_PRICE_MAVG(0,,,USD,100)")-1, "")</f>
        <v>-0.26066926991938399</v>
      </c>
      <c r="AF46" s="25">
        <f t="array" ref="AF46">IFERROR(_xll.FDS($B46,"FG_PRICE(0,,,USD)/FG_PRICE_MAVG(0,,,USD,200)")-1, "")</f>
        <v>-0.26264764612999603</v>
      </c>
      <c r="AG46" s="26" t="str">
        <f t="array" ref="AG46">IFERROR(_xll.FDS($B46,"FE_RATING(MEAN,TEXTONLY,0,NOW,,,'')"), "")</f>
        <v>Overweight</v>
      </c>
      <c r="AH46" s="50">
        <f>IFERROR(IF('3 — Weights'!$E$2=1,PERCENTRANK(I$4:I$91,I46),1-PERCENTRANK(I$4:I$91,I46))*100,"")</f>
        <v>91.9</v>
      </c>
      <c r="AI46" s="51">
        <f>IFERROR(IF('3 — Weights'!$E$3=1,PERCENTRANK(J$4:J$91,J46),1-PERCENTRANK(J$4:J$91,J46))*100,"")</f>
        <v>59.699999999999996</v>
      </c>
      <c r="AJ46" s="51">
        <f>IFERROR(IF('3 — Weights'!$E$4=1,PERCENTRANK(K$4:K$91,K46),1-PERCENTRANK(K$4:K$91,K46))*100,"")</f>
        <v>73.5</v>
      </c>
      <c r="AK46" s="51">
        <f>IFERROR(IF('3 — Weights'!$E$5=1,PERCENTRANK(L$4:L$91,L46),1-PERCENTRANK(L$4:L$91,L46))*100,"")</f>
        <v>23.799999999999997</v>
      </c>
      <c r="AL46" s="51">
        <f>IFERROR(IF('3 — Weights'!$E$6=1,PERCENTRANK(M$4:M$91,M46),1-PERCENTRANK(M$4:M$91,M46))*100,"")</f>
        <v>46.300000000000004</v>
      </c>
      <c r="AM46" s="51">
        <f>IFERROR(IF('3 — Weights'!$E$7=1,PERCENTRANK(N$4:N$91,N46),1-PERCENTRANK(N$4:N$91,N46))*100,"")</f>
        <v>51.9</v>
      </c>
      <c r="AN46" s="51">
        <f>IFERROR(IF('3 — Weights'!$E$8=1,PERCENTRANK(O$4:O$91,O46),1-PERCENTRANK(O$4:O$91,O46))*100,"")</f>
        <v>56.599999999999994</v>
      </c>
      <c r="AO46" s="51">
        <f>IFERROR(IF('3 — Weights'!$E$9=1,PERCENTRANK(P$4:P$91,P46),1-PERCENTRANK(P$4:P$91,P46))*100,"")</f>
        <v>68.7</v>
      </c>
      <c r="AP46" s="51">
        <f>IFERROR(IF('3 — Weights'!$E$10=1,PERCENTRANK(Q$4:Q$91,Q46),1-PERCENTRANK(Q$4:Q$91,Q46))*100,"")</f>
        <v>34.5</v>
      </c>
      <c r="AQ46" s="51">
        <f>IFERROR(IF('3 — Weights'!$E$11=1,PERCENTRANK(R$4:R$91,R46),1-PERCENTRANK(R$4:R$91,R46))*100,"")</f>
        <v>0</v>
      </c>
      <c r="AR46" s="51">
        <f>IFERROR(IF('3 — Weights'!$E$12=1,PERCENTRANK(S$4:S$91,S46),1-PERCENTRANK(S$4:S$91,S46))*100,"")</f>
        <v>56.699999999999996</v>
      </c>
      <c r="AS46" s="51">
        <f>IFERROR(IF('3 — Weights'!$E$13=1,PERCENTRANK(T$4:T$91,T46),1-PERCENTRANK(T$4:T$91,T46))*100,"")</f>
        <v>79.100000000000009</v>
      </c>
      <c r="AT46" s="51">
        <f>IFERROR(IF('3 — Weights'!$E$14=1,PERCENTRANK(U$4:U$91,U46),1-PERCENTRANK(U$4:U$91,U46))*100,"")</f>
        <v>53.6</v>
      </c>
      <c r="AU46" s="51">
        <f>IFERROR(IF('3 — Weights'!$E$15=1,PERCENTRANK(V$4:V$91,V46),1-PERCENTRANK(V$4:V$91,V46))*100,"")</f>
        <v>24.2</v>
      </c>
      <c r="AV46" s="51">
        <f>IFERROR(IF('3 — Weights'!$E$16=1,PERCENTRANK(W$4:W$91,W46),1-PERCENTRANK(W$4:W$91,W46))*100,"")</f>
        <v>13.8</v>
      </c>
      <c r="AW46" s="51">
        <f>IFERROR(IF('3 — Weights'!$E$17=1,PERCENTRANK(X$4:X$91,X46),1-PERCENTRANK(X$4:X$91,X46))*100,"")</f>
        <v>18.400000000000006</v>
      </c>
      <c r="AX46" s="51">
        <f>IFERROR(IF('3 — Weights'!$E$18=1,PERCENTRANK(Y$4:Y$91,Y46),1-PERCENTRANK(Y$4:Y$91,Y46))*100,"")</f>
        <v>22.099999999999998</v>
      </c>
      <c r="AY46" s="51">
        <f>IFERROR(IF('3 — Weights'!$E$18=1,PERCENTRANK(Z$4:Z$91,Z46),1-PERCENTRANK(Z$4:Z$91,Z46))*100,"")</f>
        <v>15.000000000000002</v>
      </c>
      <c r="AZ46" s="51">
        <f>IFERROR(IF('3 — Weights'!$E$18=1,PERCENTRANK(AA$4:AA$91,AA46),1-PERCENTRANK(AA$4:AA$91,AA46))*100,"")</f>
        <v>31.399999999999995</v>
      </c>
      <c r="BA46" s="51">
        <f>IFERROR(IF('3 — Weights'!$E$21=1,PERCENTRANK(AB$4:AB$91,AB46),1-PERCENTRANK(AB$4:AB$91,AB46))*100,"")</f>
        <v>71.2</v>
      </c>
      <c r="BB46" s="51">
        <f>IFERROR(IF('3 — Weights'!$E$22=1,PERCENTRANK(AC$4:AC$91,AC46),1-PERCENTRANK(AC$4:AC$91,AC46))*100,"")</f>
        <v>44.800000000000004</v>
      </c>
      <c r="BC46" s="51">
        <f>IFERROR(IF('3 — Weights'!$E$23=1,PERCENTRANK(AD$4:AD$91,AD46),1-PERCENTRANK(AD$4:AD$91,AD46))*100,"")</f>
        <v>57.499999999999993</v>
      </c>
      <c r="BD46" s="51">
        <f>IFERROR(IF('3 — Weights'!$E$24=1,PERCENTRANK(AE$4:AE$91,AE46),1-PERCENTRANK(AE$4:AE$91,AE46))*100,"")</f>
        <v>51.800000000000004</v>
      </c>
      <c r="BE46" s="51">
        <f>IFERROR(IF('3 — Weights'!$E$25=1,PERCENTRANK(AF$4:AF$91,AF46),1-PERCENTRANK(AF$4:AF$91,AF46))*100,"")</f>
        <v>44.9</v>
      </c>
      <c r="BF46" s="52" cm="1">
        <f t="array" ref="BF46">IFERROR(SUMPRODUCT(TRANSPOSE(AH46:BE46), [1]!Table2[Weight
Claude]),"")</f>
        <v>49.840000000000011</v>
      </c>
      <c r="BG46" s="53" cm="1">
        <f t="array" ref="BG46">IFERROR(SUMPRODUCT(TRANSPOSE(AH46:BE46), [1]!Table2[Weight
Cape IMC]),"")</f>
        <v>49.840000000000011</v>
      </c>
    </row>
    <row r="47" spans="1:59" ht="22.5" customHeight="1" x14ac:dyDescent="0.25">
      <c r="A47" s="17">
        <f t="shared" si="0"/>
        <v>44</v>
      </c>
      <c r="B47" s="18" t="s">
        <v>165</v>
      </c>
      <c r="C47" s="18" t="s">
        <v>166</v>
      </c>
      <c r="D47" s="18" t="str">
        <f t="array" ref="D47">IFERROR(_xll.FDS($B47,"FR_RBICS_NAME_CURR(""IND"")"), "")</f>
        <v>Enterprise Resource Planning Software</v>
      </c>
      <c r="E47" s="18" t="str">
        <f t="array" ref="E47">PROPER(IFERROR(_xll.FDS($B47,"P_DCOUNTRY"), ""))</f>
        <v>United States</v>
      </c>
      <c r="F47" s="19">
        <f t="array" ref="F47">IFERROR(_xll.FDS($B47,"FCS_EV_DAILY(MV,NOW,,,USD,M)"), "")</f>
        <v>2079.9811992999998</v>
      </c>
      <c r="G47" s="19">
        <f t="array" ref="G47">IFERROR(_xll.FDS($B47,"AVG(P_VOLUME_FRQ(-1AM,NOW,D,,6))*P_PRICE_AVG(-1AM,NOW,,USD)"), "")</f>
        <v>72.239250674468806</v>
      </c>
      <c r="H47" s="20">
        <f t="array" ref="H47">IFERROR(_xll.FDS($B47,"OS_SEC_FLT_PCT(0D,,MTD,SEC)")/100, "")</f>
        <v>0.98289900000000008</v>
      </c>
      <c r="I47" s="19">
        <f t="array" ref="I47">IFERROR(_xll.FDS($B47,"FE_ACTUAL(ACTUAL,SALES,ANN_ROLL,0,,,,'CURRENCY=USD')"), "")</f>
        <v>751.505</v>
      </c>
      <c r="J47" s="19">
        <f t="array" ref="J47">IFERROR(_xll.FDS($B47,"FE_ACTUAL(ACTUAL,EPS,ANN_ROLL,0,,,,'CURRENCY=USD')"), "")</f>
        <v>4.2699999999999996</v>
      </c>
      <c r="K47" s="20">
        <f t="array" ref="K47">IFERROR(_xll.FDS($B47,"POW(FE_ESTIMATE(SALES,MEAN,STMA,,NOW,,,'CURRENCY=USD')/FE_ESTIMATE(SALES,MEAN,LTMA,,NOW,,,'CURRENCY=USD'),0.5)-1"), "")</f>
        <v>7.16772835140249E-2</v>
      </c>
      <c r="L47" s="20">
        <f t="array" ref="L47">IFERROR(_xll.FDS($B47,"POW(FE_ESTIMATE(EPS,MEAN,STMA,,NOW,,,'CURRENCY=USD')/FE_ESTIMATE(EPS,MEAN,LTMA,,NOW,,,'CURRENCY=USD'),0.5)-1"), "")</f>
        <v>9.9431443974566297E-2</v>
      </c>
      <c r="M47" s="21">
        <f t="array" ref="M47">IFERROR(_xll.FDS($B47,"FF_GROSS_MGN(LTM_R,0)"), "")</f>
        <v>64.232041037651101</v>
      </c>
      <c r="N47" s="21">
        <f t="array" ref="N47">IFERROR(_xll.FDS($B47,"FF_EBITDA_OPER_MGN(LTM_R,0)"), "")</f>
        <v>23.4943213950672</v>
      </c>
      <c r="O47" s="21">
        <f t="array" ref="O47">IFERROR(_xll.FDS($B47,"FF_NET_MGN(LTM_R,0)"), "")</f>
        <v>12.420276644866</v>
      </c>
      <c r="P47" s="22">
        <f t="array" ref="P47">IFERROR(_xll.FDS($B47,"FE_VALUATION(NETDEBT_EBITDA,MEAN,NTMA,,NOW,,,'')"), "")</f>
        <v>-1.0713839999999999</v>
      </c>
      <c r="Q47" s="23">
        <f t="array" ref="Q47">IFERROR(_xll.FDS($B47,"FE_VALUATION(MCAP_FCF,MEAN,NTMA,,NOW,,,'')"), "")</f>
        <v>9.2877469999999995</v>
      </c>
      <c r="R47" s="23">
        <f t="array" ref="R47">IFERROR(_xll.FDS($B47,"FE_VALUATION(DIV_YLD,MEAN,NTMA,,NOW,,,'')"), "")</f>
        <v>0</v>
      </c>
      <c r="S47" s="21">
        <f t="array" ref="S47">IFERROR(_xll.FDS($B47,"FE_VALUATION(ROE,MEAN,NTMA,,0,,,'')" ), "")</f>
        <v>15.323333999999999</v>
      </c>
      <c r="T47" s="21" t="str">
        <f t="array" ref="T47">IFERROR(_xll.FDS($B47,"FE_VALUATION(ROIC,MEAN,NTMA,,0,,,'')" ), "")</f>
        <v/>
      </c>
      <c r="U47" s="22">
        <f t="array" ref="U47">IFERROR(((_xll.FDS($B47,"FE_ACTUAL(ACTUAL,SALES,ANN_ROLL,0,,,,'CURRENCY=USD')")/_xll.FDS($B47,"FE_ACTUAL(ACTUAL,SALES,ANN_ROLL,-1,,,,'CURRENCY=USD')")-1)*100)+(_xll.FDS($B47,"FE_VALUATION(EBITDA_MARGIN,MEAN,ANN_ROLL,0,NOW,,,'')")  ), "")</f>
        <v>48.621310213911073</v>
      </c>
      <c r="V47" s="24">
        <f t="array" ref="V47">IFERROR(_xll.FDS($B47,"FE_VALUATION(PE,MEAN,NTMA,,0,,,'')" ), "")</f>
        <v>11.829469</v>
      </c>
      <c r="W47" s="24">
        <f t="array" ref="W47">IFERROR(_xll.FDS($B47,"FE_VALUATION(P_SALESPS,MEAN,NTMA,,0,,,'')" ), "")</f>
        <v>2.49776</v>
      </c>
      <c r="X47" s="24">
        <f t="array" ref="X47">IFERROR(_xll.FDS($B47,"FE_VALUATION(FFEV_SALES,MEAN,NTMA,,0,,,'')" ), "")</f>
        <v>2.3601367</v>
      </c>
      <c r="Y47" s="24">
        <f t="array" ref="Y47">IFERROR(_xll.FDS($B47,"FE_VALUATION(FFEV_EBITDA,MEAN,NTMA,,0,,,'')" ), "")</f>
        <v>7.1308420000000003</v>
      </c>
      <c r="Z47" s="20">
        <f t="array" ref="Z47">IFERROR(_xll.FDS($B47,"PERCENT_CHANGE(FE_VALUATION(PE,MEAN,NTMA,,0,,,''),MAX(FE_VALUATION(PE,MEAN,NTMA,,-1AY,0,,'')))")/100,"")</f>
        <v>-0.67752363124581394</v>
      </c>
      <c r="AA47" s="20">
        <f t="array" ref="AA47">IFERROR(_xll.FDS($B47,"PERCENT_CHANGE(FE_VALUATION(FFEV_EBITDA,MEAN,NTMA,,0,,,''),MAX(FE_VALUATION(FFEV_EBITDA,MEAN,NTMA,,-1AY,0,,'')))")/100,"")</f>
        <v>-0.69719477503973593</v>
      </c>
      <c r="AB47" s="20">
        <f t="array" ref="AB47">IFERROR(_xll.FDS($B47,"FG_PRICE(0,,,USD)/P_PRICE_HIGH(-1AY,0,USD,,,""PRICE"",""INTRA"")")-1, "")</f>
        <v>-0.64630995575120098</v>
      </c>
      <c r="AC47" s="20">
        <f t="array" ref="AC47">IFERROR(_xll.FDS($B47,"RTP_PRICE_TARGET(USD)/FG_PRICE(0,,,USD)")-1, "")</f>
        <v>0.51543123500092003</v>
      </c>
      <c r="AD47" s="25">
        <f t="array" ref="AD47">IFERROR(_xll.FDS($B47,"FG_PRICE(0,,,USD)/FG_PRICE_MAVG(0,,,USD,50)")-1, "")</f>
        <v>-0.35260190215767495</v>
      </c>
      <c r="AE47" s="25">
        <f t="array" ref="AE47">IFERROR(_xll.FDS($B47,"FG_PRICE(0,,,USD)/FG_PRICE_MAVG(0,,,USD,100)")-1, "")</f>
        <v>-0.38856525601360803</v>
      </c>
      <c r="AF47" s="25">
        <f t="array" ref="AF47">IFERROR(_xll.FDS($B47,"FG_PRICE(0,,,USD)/FG_PRICE_MAVG(0,,,USD,200)")-1, "")</f>
        <v>-0.49779412303237403</v>
      </c>
      <c r="AG47" s="26" t="str">
        <f t="array" ref="AG47">IFERROR(_xll.FDS($B47,"FE_RATING(MEAN,TEXTONLY,0,NOW,,,'')"), "")</f>
        <v>Overweight</v>
      </c>
      <c r="AH47" s="50">
        <f>IFERROR(IF('3 — Weights'!$E$2=1,PERCENTRANK(I$4:I$91,I47),1-PERCENTRANK(I$4:I$91,I47))*100,"")</f>
        <v>18.3</v>
      </c>
      <c r="AI47" s="51">
        <f>IFERROR(IF('3 — Weights'!$E$3=1,PERCENTRANK(J$4:J$91,J47),1-PERCENTRANK(J$4:J$91,J47))*100,"")</f>
        <v>67.800000000000011</v>
      </c>
      <c r="AJ47" s="51">
        <f>IFERROR(IF('3 — Weights'!$E$4=1,PERCENTRANK(K$4:K$91,K47),1-PERCENTRANK(K$4:K$91,K47))*100,"")</f>
        <v>16</v>
      </c>
      <c r="AK47" s="51">
        <f>IFERROR(IF('3 — Weights'!$E$5=1,PERCENTRANK(L$4:L$91,L47),1-PERCENTRANK(L$4:L$91,L47))*100,"")</f>
        <v>20.200000000000003</v>
      </c>
      <c r="AL47" s="51">
        <f>IFERROR(IF('3 — Weights'!$E$6=1,PERCENTRANK(M$4:M$91,M47),1-PERCENTRANK(M$4:M$91,M47))*100,"")</f>
        <v>28.000000000000004</v>
      </c>
      <c r="AM47" s="51">
        <f>IFERROR(IF('3 — Weights'!$E$7=1,PERCENTRANK(N$4:N$91,N47),1-PERCENTRANK(N$4:N$91,N47))*100,"")</f>
        <v>59.699999999999996</v>
      </c>
      <c r="AN47" s="51">
        <f>IFERROR(IF('3 — Weights'!$E$8=1,PERCENTRANK(O$4:O$91,O47),1-PERCENTRANK(O$4:O$91,O47))*100,"")</f>
        <v>54.2</v>
      </c>
      <c r="AO47" s="51">
        <f>IFERROR(IF('3 — Weights'!$E$9=1,PERCENTRANK(P$4:P$91,P47),1-PERCENTRANK(P$4:P$91,P47))*100,"")</f>
        <v>49.4</v>
      </c>
      <c r="AP47" s="51">
        <f>IFERROR(IF('3 — Weights'!$E$10=1,PERCENTRANK(Q$4:Q$91,Q47),1-PERCENTRANK(Q$4:Q$91,Q47))*100,"")</f>
        <v>89.2</v>
      </c>
      <c r="AQ47" s="51">
        <f>IFERROR(IF('3 — Weights'!$E$11=1,PERCENTRANK(R$4:R$91,R47),1-PERCENTRANK(R$4:R$91,R47))*100,"")</f>
        <v>0</v>
      </c>
      <c r="AR47" s="51">
        <f>IFERROR(IF('3 — Weights'!$E$12=1,PERCENTRANK(S$4:S$91,S47),1-PERCENTRANK(S$4:S$91,S47))*100,"")</f>
        <v>30.8</v>
      </c>
      <c r="AS47" s="51" t="str">
        <f>IFERROR(IF('3 — Weights'!$E$13=1,PERCENTRANK(T$4:T$91,T47),1-PERCENTRANK(T$4:T$91,T47))*100,"")</f>
        <v/>
      </c>
      <c r="AT47" s="51">
        <f>IFERROR(IF('3 — Weights'!$E$14=1,PERCENTRANK(U$4:U$91,U47),1-PERCENTRANK(U$4:U$91,U47))*100,"")</f>
        <v>54.800000000000004</v>
      </c>
      <c r="AU47" s="51">
        <f>IFERROR(IF('3 — Weights'!$E$15=1,PERCENTRANK(V$4:V$91,V47),1-PERCENTRANK(V$4:V$91,V47))*100,"")</f>
        <v>88.6</v>
      </c>
      <c r="AV47" s="51">
        <f>IFERROR(IF('3 — Weights'!$E$16=1,PERCENTRANK(W$4:W$91,W47),1-PERCENTRANK(W$4:W$91,W47))*100,"")</f>
        <v>87.4</v>
      </c>
      <c r="AW47" s="51">
        <f>IFERROR(IF('3 — Weights'!$E$17=1,PERCENTRANK(X$4:X$91,X47),1-PERCENTRANK(X$4:X$91,X47))*100,"")</f>
        <v>90.9</v>
      </c>
      <c r="AX47" s="51">
        <f>IFERROR(IF('3 — Weights'!$E$18=1,PERCENTRANK(Y$4:Y$91,Y47),1-PERCENTRANK(Y$4:Y$91,Y47))*100,"")</f>
        <v>93.100000000000009</v>
      </c>
      <c r="AY47" s="51">
        <f>IFERROR(IF('3 — Weights'!$E$18=1,PERCENTRANK(Z$4:Z$91,Z47),1-PERCENTRANK(Z$4:Z$91,Z47))*100,"")</f>
        <v>86.3</v>
      </c>
      <c r="AZ47" s="51">
        <f>IFERROR(IF('3 — Weights'!$E$18=1,PERCENTRANK(AA$4:AA$91,AA47),1-PERCENTRANK(AA$4:AA$91,AA47))*100,"")</f>
        <v>91.9</v>
      </c>
      <c r="BA47" s="51">
        <f>IFERROR(IF('3 — Weights'!$E$21=1,PERCENTRANK(AB$4:AB$91,AB47),1-PERCENTRANK(AB$4:AB$91,AB47))*100,"")</f>
        <v>4.5</v>
      </c>
      <c r="BB47" s="51">
        <f>IFERROR(IF('3 — Weights'!$E$22=1,PERCENTRANK(AC$4:AC$91,AC47),1-PERCENTRANK(AC$4:AC$91,AC47))*100,"")</f>
        <v>48.199999999999996</v>
      </c>
      <c r="BC47" s="51">
        <f>IFERROR(IF('3 — Weights'!$E$23=1,PERCENTRANK(AD$4:AD$91,AD47),1-PERCENTRANK(AD$4:AD$91,AD47))*100,"")</f>
        <v>97.8</v>
      </c>
      <c r="BD47" s="51">
        <f>IFERROR(IF('3 — Weights'!$E$24=1,PERCENTRANK(AE$4:AE$91,AE47),1-PERCENTRANK(AE$4:AE$91,AE47))*100,"")</f>
        <v>95.5</v>
      </c>
      <c r="BE47" s="51">
        <f>IFERROR(IF('3 — Weights'!$E$25=1,PERCENTRANK(AF$4:AF$91,AF47),1-PERCENTRANK(AF$4:AF$91,AF47))*100,"")</f>
        <v>97.8</v>
      </c>
      <c r="BF47" s="52" cm="1">
        <f t="array" ref="BF47">IFERROR(SUMPRODUCT(TRANSPOSE(AH47:BE47), [1]!Table2[Weight
Claude]),"")</f>
        <v>48.7</v>
      </c>
      <c r="BG47" s="53" cm="1">
        <f t="array" ref="BG47">IFERROR(SUMPRODUCT(TRANSPOSE(AH47:BE47), [1]!Table2[Weight
Cape IMC]),"")</f>
        <v>48.7</v>
      </c>
    </row>
    <row r="48" spans="1:59" ht="22.5" customHeight="1" x14ac:dyDescent="0.25">
      <c r="A48" s="17">
        <f t="shared" si="0"/>
        <v>45</v>
      </c>
      <c r="B48" s="18" t="s">
        <v>167</v>
      </c>
      <c r="C48" s="18" t="s">
        <v>168</v>
      </c>
      <c r="D48" s="18" t="str">
        <f t="array" ref="D48">IFERROR(_xll.FDS($B48,"FR_RBICS_NAME_CURR(""IND"")"), "")</f>
        <v>Enterprise Resource Planning Software</v>
      </c>
      <c r="E48" s="18" t="str">
        <f t="array" ref="E48">PROPER(IFERROR(_xll.FDS($B48,"P_DCOUNTRY"), ""))</f>
        <v>United States</v>
      </c>
      <c r="F48" s="19">
        <f t="array" ref="F48">IFERROR(_xll.FDS($B48,"FCS_EV_DAILY(MV,NOW,,,USD,M)"), "")</f>
        <v>31942.001976</v>
      </c>
      <c r="G48" s="19">
        <f t="array" ref="G48">IFERROR(_xll.FDS($B48,"AVG(P_VOLUME_FRQ(-1AM,NOW,D,,6))*P_PRICE_AVG(-1AM,NOW,,USD)"), "")</f>
        <v>396.30704111377003</v>
      </c>
      <c r="H48" s="20">
        <f t="array" ref="H48">IFERROR(_xll.FDS($B48,"OS_SEC_FLT_PCT(0D,,MTD,SEC)")/100, "")</f>
        <v>0.89678499999999994</v>
      </c>
      <c r="I48" s="19">
        <f t="array" ref="I48">IFERROR(_xll.FDS($B48,"FE_ACTUAL(ACTUAL,SALES,ANN_ROLL,0,,,,'CURRENCY=USD')"), "")</f>
        <v>5571.7</v>
      </c>
      <c r="J48" s="19">
        <f t="array" ref="J48">IFERROR(_xll.FDS($B48,"FE_ACTUAL(ACTUAL,EPS,ANN_ROLL,0,,,,'CURRENCY=USD')"), "")</f>
        <v>4.9800000000000004</v>
      </c>
      <c r="K48" s="20">
        <f t="array" ref="K48">IFERROR(_xll.FDS($B48,"POW(FE_ESTIMATE(SALES,MEAN,STMA,,NOW,,,'CURRENCY=USD')/FE_ESTIMATE(SALES,MEAN,LTMA,,NOW,,,'CURRENCY=USD'),0.5)-1"), "")</f>
        <v>6.9804327903004906E-2</v>
      </c>
      <c r="L48" s="20">
        <f t="array" ref="L48">IFERROR(_xll.FDS($B48,"POW(FE_ESTIMATE(EPS,MEAN,STMA,,NOW,,,'CURRENCY=USD')/FE_ESTIMATE(EPS,MEAN,LTMA,,NOW,,,'CURRENCY=USD'),0.5)-1"), "")</f>
        <v>7.5238578176955104E-2</v>
      </c>
      <c r="M48" s="21">
        <f t="array" ref="M48">IFERROR(_xll.FDS($B48,"FF_GROSS_MGN(LTM_R,0)"), "")</f>
        <v>73.362170403884704</v>
      </c>
      <c r="N48" s="21">
        <f t="array" ref="N48">IFERROR(_xll.FDS($B48,"FF_EBITDA_OPER_MGN(LTM_R,0)"), "")</f>
        <v>48.196025787633197</v>
      </c>
      <c r="O48" s="21">
        <f t="array" ref="O48">IFERROR(_xll.FDS($B48,"FF_NET_MGN(LTM_R,0)"), "")</f>
        <v>26.445582459106099</v>
      </c>
      <c r="P48" s="22">
        <f t="array" ref="P48">IFERROR(_xll.FDS($B48,"FE_VALUATION(NETDEBT_EBITDA,MEAN,NTMA,,NOW,,,'')"), "")</f>
        <v>0.90579180000000004</v>
      </c>
      <c r="Q48" s="23">
        <f t="array" ref="Q48">IFERROR(_xll.FDS($B48,"FE_VALUATION(MCAP_FCF,MEAN,NTMA,,NOW,,,'')"), "")</f>
        <v>7.1810745999999996</v>
      </c>
      <c r="R48" s="23">
        <f t="array" ref="R48">IFERROR(_xll.FDS($B48,"FE_VALUATION(DIV_YLD,MEAN,NTMA,,NOW,,,'')"), "")</f>
        <v>5.267754</v>
      </c>
      <c r="S48" s="21">
        <f t="array" ref="S48">IFERROR(_xll.FDS($B48,"FE_VALUATION(ROE,MEAN,NTMA,,0,,,'')" ), "")</f>
        <v>46.332011999999999</v>
      </c>
      <c r="T48" s="21">
        <f t="array" ref="T48">IFERROR(_xll.FDS($B48,"FE_VALUATION(ROIC,MEAN,NTMA,,0,,,'')" ), "")</f>
        <v>21.688606</v>
      </c>
      <c r="U48" s="22">
        <f t="array" ref="U48">IFERROR(((_xll.FDS($B48,"FE_ACTUAL(ACTUAL,SALES,ANN_ROLL,0,,,,'CURRENCY=USD')")/_xll.FDS($B48,"FE_ACTUAL(ACTUAL,SALES,ANN_ROLL,-1,,,,'CURRENCY=USD')")-1)*100)+(_xll.FDS($B48,"FE_VALUATION(EBITDA_MARGIN,MEAN,ANN_ROLL,0,NOW,,,'')")  ), "")</f>
        <v>51.138947885114504</v>
      </c>
      <c r="V48" s="24">
        <f t="array" ref="V48">IFERROR(_xll.FDS($B48,"FE_VALUATION(PE,MEAN,NTMA,,0,,,'')" ), "")</f>
        <v>15.268765999999999</v>
      </c>
      <c r="W48" s="24">
        <f t="array" ref="W48">IFERROR(_xll.FDS($B48,"FE_VALUATION(P_SALESPS,MEAN,NTMA,,0,,,'')" ), "")</f>
        <v>4.6900034000000002</v>
      </c>
      <c r="X48" s="24">
        <f t="array" ref="X48">IFERROR(_xll.FDS($B48,"FE_VALUATION(FFEV_SALES,MEAN,NTMA,,0,,,'')" ), "")</f>
        <v>5.2200790000000001</v>
      </c>
      <c r="Y48" s="24">
        <f t="array" ref="Y48">IFERROR(_xll.FDS($B48,"FE_VALUATION(FFEV_EBITDA,MEAN,NTMA,,0,,,'')" ), "")</f>
        <v>11.174915</v>
      </c>
      <c r="Z48" s="20">
        <f t="array" ref="Z48">IFERROR(_xll.FDS($B48,"PERCENT_CHANGE(FE_VALUATION(PE,MEAN,NTMA,,0,,,''),MAX(FE_VALUATION(PE,MEAN,NTMA,,-1AY,0,,'')))")/100,"")</f>
        <v>-0.49286019310667906</v>
      </c>
      <c r="AA48" s="20">
        <f t="array" ref="AA48">IFERROR(_xll.FDS($B48,"PERCENT_CHANGE(FE_VALUATION(FFEV_EBITDA,MEAN,NTMA,,0,,,''),MAX(FE_VALUATION(FFEV_EBITDA,MEAN,NTMA,,-1AY,0,,'')))")/100,"")</f>
        <v>-0.50283249714387901</v>
      </c>
      <c r="AB48" s="20">
        <f t="array" ref="AB48">IFERROR(_xll.FDS($B48,"FG_PRICE(0,,,USD)/P_PRICE_HIGH(-1AY,0,USD,,,""PRICE"",""INTRA"")")-1, "")</f>
        <v>-0.45125279087075199</v>
      </c>
      <c r="AC48" s="20">
        <f t="array" ref="AC48">IFERROR(_xll.FDS($B48,"RTP_PRICE_TARGET(USD)/FG_PRICE(0,,,USD)")-1, "")</f>
        <v>0.34332210669077989</v>
      </c>
      <c r="AD48" s="25">
        <f t="array" ref="AD48">IFERROR(_xll.FDS($B48,"FG_PRICE(0,,,USD)/FG_PRICE_MAVG(0,,,USD,50)")-1, "")</f>
        <v>-0.16409856230243203</v>
      </c>
      <c r="AE48" s="25">
        <f t="array" ref="AE48">IFERROR(_xll.FDS($B48,"FG_PRICE(0,,,USD)/FG_PRICE_MAVG(0,,,USD,100)")-1, "")</f>
        <v>-0.20872300610136396</v>
      </c>
      <c r="AF48" s="25">
        <f t="array" ref="AF48">IFERROR(_xll.FDS($B48,"FG_PRICE(0,,,USD)/FG_PRICE_MAVG(0,,,USD,200)")-1, "")</f>
        <v>-0.30844649986038797</v>
      </c>
      <c r="AG48" s="26" t="str">
        <f t="array" ref="AG48">IFERROR(_xll.FDS($B48,"FE_RATING(MEAN,TEXTONLY,0,NOW,,,'')"), "")</f>
        <v>Hold</v>
      </c>
      <c r="AH48" s="50">
        <f>IFERROR(IF('3 — Weights'!$E$2=1,PERCENTRANK(I$4:I$91,I48),1-PERCENTRANK(I$4:I$91,I48))*100,"")</f>
        <v>80.400000000000006</v>
      </c>
      <c r="AI48" s="51">
        <f>IFERROR(IF('3 — Weights'!$E$3=1,PERCENTRANK(J$4:J$91,J48),1-PERCENTRANK(J$4:J$91,J48))*100,"")</f>
        <v>70.099999999999994</v>
      </c>
      <c r="AJ48" s="51">
        <f>IFERROR(IF('3 — Weights'!$E$4=1,PERCENTRANK(K$4:K$91,K48),1-PERCENTRANK(K$4:K$91,K48))*100,"")</f>
        <v>13.700000000000001</v>
      </c>
      <c r="AK48" s="51">
        <f>IFERROR(IF('3 — Weights'!$E$5=1,PERCENTRANK(L$4:L$91,L48),1-PERCENTRANK(L$4:L$91,L48))*100,"")</f>
        <v>5.8999999999999995</v>
      </c>
      <c r="AL48" s="51">
        <f>IFERROR(IF('3 — Weights'!$E$6=1,PERCENTRANK(M$4:M$91,M48),1-PERCENTRANK(M$4:M$91,M48))*100,"")</f>
        <v>45.1</v>
      </c>
      <c r="AM48" s="51">
        <f>IFERROR(IF('3 — Weights'!$E$7=1,PERCENTRANK(N$4:N$91,N48),1-PERCENTRANK(N$4:N$91,N48))*100,"")</f>
        <v>93.5</v>
      </c>
      <c r="AN48" s="51">
        <f>IFERROR(IF('3 — Weights'!$E$8=1,PERCENTRANK(O$4:O$91,O48),1-PERCENTRANK(O$4:O$91,O48))*100,"")</f>
        <v>85.5</v>
      </c>
      <c r="AO48" s="51">
        <f>IFERROR(IF('3 — Weights'!$E$9=1,PERCENTRANK(P$4:P$91,P48),1-PERCENTRANK(P$4:P$91,P48))*100,"")</f>
        <v>16.900000000000006</v>
      </c>
      <c r="AP48" s="51">
        <f>IFERROR(IF('3 — Weights'!$E$10=1,PERCENTRANK(Q$4:Q$91,Q48),1-PERCENTRANK(Q$4:Q$91,Q48))*100,"")</f>
        <v>70.199999999999989</v>
      </c>
      <c r="AQ48" s="51">
        <f>IFERROR(IF('3 — Weights'!$E$11=1,PERCENTRANK(R$4:R$91,R48),1-PERCENTRANK(R$4:R$91,R48))*100,"")</f>
        <v>100</v>
      </c>
      <c r="AR48" s="51">
        <f>IFERROR(IF('3 — Weights'!$E$12=1,PERCENTRANK(S$4:S$91,S48),1-PERCENTRANK(S$4:S$91,S48))*100,"")</f>
        <v>87.6</v>
      </c>
      <c r="AS48" s="51">
        <f>IFERROR(IF('3 — Weights'!$E$13=1,PERCENTRANK(T$4:T$91,T48),1-PERCENTRANK(T$4:T$91,T48))*100,"")</f>
        <v>69.399999999999991</v>
      </c>
      <c r="AT48" s="51">
        <f>IFERROR(IF('3 — Weights'!$E$14=1,PERCENTRANK(U$4:U$91,U48),1-PERCENTRANK(U$4:U$91,U48))*100,"")</f>
        <v>65.8</v>
      </c>
      <c r="AU48" s="51">
        <f>IFERROR(IF('3 — Weights'!$E$15=1,PERCENTRANK(V$4:V$91,V48),1-PERCENTRANK(V$4:V$91,V48))*100,"")</f>
        <v>74.8</v>
      </c>
      <c r="AV48" s="51">
        <f>IFERROR(IF('3 — Weights'!$E$16=1,PERCENTRANK(W$4:W$91,W48),1-PERCENTRANK(W$4:W$91,W48))*100,"")</f>
        <v>48.3</v>
      </c>
      <c r="AW48" s="51">
        <f>IFERROR(IF('3 — Weights'!$E$17=1,PERCENTRANK(X$4:X$91,X48),1-PERCENTRANK(X$4:X$91,X48))*100,"")</f>
        <v>43.7</v>
      </c>
      <c r="AX48" s="51">
        <f>IFERROR(IF('3 — Weights'!$E$18=1,PERCENTRANK(Y$4:Y$91,Y48),1-PERCENTRANK(Y$4:Y$91,Y48))*100,"")</f>
        <v>74.5</v>
      </c>
      <c r="AY48" s="51">
        <f>IFERROR(IF('3 — Weights'!$E$18=1,PERCENTRANK(Z$4:Z$91,Z48),1-PERCENTRANK(Z$4:Z$91,Z48))*100,"")</f>
        <v>46</v>
      </c>
      <c r="AZ48" s="51">
        <f>IFERROR(IF('3 — Weights'!$E$18=1,PERCENTRANK(AA$4:AA$91,AA48),1-PERCENTRANK(AA$4:AA$91,AA48))*100,"")</f>
        <v>45.4</v>
      </c>
      <c r="BA48" s="51">
        <f>IFERROR(IF('3 — Weights'!$E$21=1,PERCENTRANK(AB$4:AB$91,AB48),1-PERCENTRANK(AB$4:AB$91,AB48))*100,"")</f>
        <v>47.099999999999994</v>
      </c>
      <c r="BB48" s="51">
        <f>IFERROR(IF('3 — Weights'!$E$22=1,PERCENTRANK(AC$4:AC$91,AC48),1-PERCENTRANK(AC$4:AC$91,AC48))*100,"")</f>
        <v>21.8</v>
      </c>
      <c r="BC48" s="51">
        <f>IFERROR(IF('3 — Weights'!$E$23=1,PERCENTRANK(AD$4:AD$91,AD48),1-PERCENTRANK(AD$4:AD$91,AD48))*100,"")</f>
        <v>38</v>
      </c>
      <c r="BD48" s="51">
        <f>IFERROR(IF('3 — Weights'!$E$24=1,PERCENTRANK(AE$4:AE$91,AE48),1-PERCENTRANK(AE$4:AE$91,AE48))*100,"")</f>
        <v>33.4</v>
      </c>
      <c r="BE48" s="51">
        <f>IFERROR(IF('3 — Weights'!$E$25=1,PERCENTRANK(AF$4:AF$91,AF48),1-PERCENTRANK(AF$4:AF$91,AF48))*100,"")</f>
        <v>58.699999999999996</v>
      </c>
      <c r="BF48" s="52" cm="1">
        <f t="array" ref="BF48">IFERROR(SUMPRODUCT(TRANSPOSE(AH48:BE48), [1]!Table2[Weight
Claude]),"")</f>
        <v>48.344999999999999</v>
      </c>
      <c r="BG48" s="53" cm="1">
        <f t="array" ref="BG48">IFERROR(SUMPRODUCT(TRANSPOSE(AH48:BE48), [1]!Table2[Weight
Cape IMC]),"")</f>
        <v>48.344999999999999</v>
      </c>
    </row>
    <row r="49" spans="1:59" ht="22.5" customHeight="1" x14ac:dyDescent="0.25">
      <c r="A49" s="17">
        <f t="shared" si="0"/>
        <v>47</v>
      </c>
      <c r="B49" s="18" t="s">
        <v>169</v>
      </c>
      <c r="C49" s="18" t="s">
        <v>170</v>
      </c>
      <c r="D49" s="18" t="str">
        <f t="array" ref="D49">IFERROR(_xll.FDS($B49,"FR_RBICS_NAME_CURR(""IND"")"), "")</f>
        <v>Other Real Estate Investment and Services</v>
      </c>
      <c r="E49" s="18" t="str">
        <f t="array" ref="E49">PROPER(IFERROR(_xll.FDS($B49,"P_DCOUNTRY"), ""))</f>
        <v>United States</v>
      </c>
      <c r="F49" s="19">
        <f t="array" ref="F49">IFERROR(_xll.FDS($B49,"FCS_EV_DAILY(MV,NOW,,,USD,M)"), "")</f>
        <v>6092.2942281599999</v>
      </c>
      <c r="G49" s="19">
        <f t="array" ref="G49">IFERROR(_xll.FDS($B49,"AVG(P_VOLUME_FRQ(-1AM,NOW,D,,6))*P_PRICE_AVG(-1AM,NOW,,USD)"), "")</f>
        <v>91.012158563387302</v>
      </c>
      <c r="H49" s="20">
        <f t="array" ref="H49">IFERROR(_xll.FDS($B49,"OS_SEC_FLT_PCT(0D,,MTD,SEC)")/100, "")</f>
        <v>0.93449399999999994</v>
      </c>
      <c r="I49" s="19">
        <f t="array" ref="I49">IFERROR(_xll.FDS($B49,"FE_ACTUAL(ACTUAL,SALES,ANN_ROLL,0,,,,'CURRENCY=USD')"), "")</f>
        <v>950.822</v>
      </c>
      <c r="J49" s="19">
        <f t="array" ref="J49">IFERROR(_xll.FDS($B49,"FE_ACTUAL(ACTUAL,EPS,ANN_ROLL,0,,,,'CURRENCY=USD')"), "")</f>
        <v>5.29</v>
      </c>
      <c r="K49" s="20">
        <f t="array" ref="K49">IFERROR(_xll.FDS($B49,"POW(FE_ESTIMATE(SALES,MEAN,STMA,,NOW,,,'CURRENCY=USD')/FE_ESTIMATE(SALES,MEAN,LTMA,,NOW,,,'CURRENCY=USD'),0.5)-1"), "")</f>
        <v>0.16851486939619201</v>
      </c>
      <c r="L49" s="20">
        <f t="array" ref="L49">IFERROR(_xll.FDS($B49,"POW(FE_ESTIMATE(EPS,MEAN,STMA,,NOW,,,'CURRENCY=USD')/FE_ESTIMATE(EPS,MEAN,LTMA,,NOW,,,'CURRENCY=USD'),0.5)-1"), "")</f>
        <v>0.22069369622358601</v>
      </c>
      <c r="M49" s="21">
        <f t="array" ref="M49">IFERROR(_xll.FDS($B49,"FF_GROSS_MGN(LTM_R,0)"), "")</f>
        <v>61.2974878578746</v>
      </c>
      <c r="N49" s="21">
        <f t="array" ref="N49">IFERROR(_xll.FDS($B49,"FF_EBITDA_OPER_MGN(LTM_R,0)"), "")</f>
        <v>18.698452496892202</v>
      </c>
      <c r="O49" s="21">
        <f t="array" ref="O49">IFERROR(_xll.FDS($B49,"FF_NET_MGN(LTM_R,0)"), "")</f>
        <v>14.821175782638599</v>
      </c>
      <c r="P49" s="22">
        <f t="array" ref="P49">IFERROR(_xll.FDS($B49,"FE_VALUATION(NETDEBT_EBITDA,MEAN,NTMA,,NOW,,,'')"), "")</f>
        <v>-1.4485170999999999</v>
      </c>
      <c r="Q49" s="23">
        <f t="array" ref="Q49">IFERROR(_xll.FDS($B49,"FE_VALUATION(MCAP_FCF,MEAN,NTMA,,NOW,,,'')"), "")</f>
        <v>4.6842889999999997</v>
      </c>
      <c r="R49" s="23">
        <f t="array" ref="R49">IFERROR(_xll.FDS($B49,"FE_VALUATION(DIV_YLD,MEAN,NTMA,,NOW,,,'')"), "")</f>
        <v>0</v>
      </c>
      <c r="S49" s="21">
        <f t="array" ref="S49">IFERROR(_xll.FDS($B49,"FE_VALUATION(ROE,MEAN,NTMA,,0,,,'')" ), "")</f>
        <v>30.29252</v>
      </c>
      <c r="T49" s="21">
        <f t="array" ref="T49">IFERROR(_xll.FDS($B49,"FE_VALUATION(ROIC,MEAN,NTMA,,0,,,'')" ), "")</f>
        <v>30.296679000000001</v>
      </c>
      <c r="U49" s="22">
        <f t="array" ref="U49">IFERROR(((_xll.FDS($B49,"FE_ACTUAL(ACTUAL,SALES,ANN_ROLL,0,,,,'CURRENCY=USD')")/_xll.FDS($B49,"FE_ACTUAL(ACTUAL,SALES,ANN_ROLL,-1,,,,'CURRENCY=USD')")-1)*100)+(_xll.FDS($B49,"FE_VALUATION(EBITDA_MARGIN,MEAN,ANN_ROLL,0,NOW,,,'')")  ), "")</f>
        <v>45.659558771282377</v>
      </c>
      <c r="V49" s="24">
        <f t="array" ref="V49">IFERROR(_xll.FDS($B49,"FE_VALUATION(PE,MEAN,NTMA,,0,,,'')" ), "")</f>
        <v>24.564696999999999</v>
      </c>
      <c r="W49" s="24">
        <f t="array" ref="W49">IFERROR(_xll.FDS($B49,"FE_VALUATION(P_SALESPS,MEAN,NTMA,,0,,,'')" ), "")</f>
        <v>5.2350880000000002</v>
      </c>
      <c r="X49" s="24">
        <f t="array" ref="X49">IFERROR(_xll.FDS($B49,"FE_VALUATION(FFEV_SALES,MEAN,NTMA,,0,,,'')" ), "")</f>
        <v>5.0975093999999999</v>
      </c>
      <c r="Y49" s="24">
        <f t="array" ref="Y49">IFERROR(_xll.FDS($B49,"FE_VALUATION(FFEV_EBITDA,MEAN,NTMA,,0,,,'')" ), "")</f>
        <v>17.860455000000002</v>
      </c>
      <c r="Z49" s="20">
        <f t="array" ref="Z49">IFERROR(_xll.FDS($B49,"PERCENT_CHANGE(FE_VALUATION(PE,MEAN,NTMA,,0,,,''),MAX(FE_VALUATION(PE,MEAN,NTMA,,-1AY,0,,'')))")/100,"")</f>
        <v>-0.54509724335344001</v>
      </c>
      <c r="AA49" s="20">
        <f t="array" ref="AA49">IFERROR(_xll.FDS($B49,"PERCENT_CHANGE(FE_VALUATION(FFEV_EBITDA,MEAN,NTMA,,0,,,''),MAX(FE_VALUATION(FFEV_EBITDA,MEAN,NTMA,,-1AY,0,,'')))")/100,"")</f>
        <v>-0.54024296742179301</v>
      </c>
      <c r="AB49" s="20">
        <f t="array" ref="AB49">IFERROR(_xll.FDS($B49,"FG_PRICE(0,,,USD)/P_PRICE_HIGH(-1AY,0,USD,,,""PRICE"",""INTRA"")")-1, "")</f>
        <v>-0.49006256900993705</v>
      </c>
      <c r="AC49" s="20">
        <f t="array" ref="AC49">IFERROR(_xll.FDS($B49,"RTP_PRICE_TARGET(USD)/FG_PRICE(0,,,USD)")-1, "")</f>
        <v>0.62897473836160001</v>
      </c>
      <c r="AD49" s="25">
        <f t="array" ref="AD49">IFERROR(_xll.FDS($B49,"FG_PRICE(0,,,USD)/FG_PRICE_MAVG(0,,,USD,50)")-1, "")</f>
        <v>-0.20922146888087201</v>
      </c>
      <c r="AE49" s="25">
        <f t="array" ref="AE49">IFERROR(_xll.FDS($B49,"FG_PRICE(0,,,USD)/FG_PRICE_MAVG(0,,,USD,100)")-1, "")</f>
        <v>-0.25947024908586303</v>
      </c>
      <c r="AF49" s="25">
        <f t="array" ref="AF49">IFERROR(_xll.FDS($B49,"FG_PRICE(0,,,USD)/FG_PRICE_MAVG(0,,,USD,200)")-1, "")</f>
        <v>-0.30175850520380199</v>
      </c>
      <c r="AG49" s="26" t="str">
        <f t="array" ref="AG49">IFERROR(_xll.FDS($B49,"FE_RATING(MEAN,TEXTONLY,0,NOW,,,'')"), "")</f>
        <v>Buy</v>
      </c>
      <c r="AH49" s="50">
        <f>IFERROR(IF('3 — Weights'!$E$2=1,PERCENTRANK(I$4:I$91,I49),1-PERCENTRANK(I$4:I$91,I49))*100,"")</f>
        <v>29.799999999999997</v>
      </c>
      <c r="AI49" s="51">
        <f>IFERROR(IF('3 — Weights'!$E$3=1,PERCENTRANK(J$4:J$91,J49),1-PERCENTRANK(J$4:J$91,J49))*100,"")</f>
        <v>72.399999999999991</v>
      </c>
      <c r="AJ49" s="51">
        <f>IFERROR(IF('3 — Weights'!$E$4=1,PERCENTRANK(K$4:K$91,K49),1-PERCENTRANK(K$4:K$91,K49))*100,"")</f>
        <v>67.800000000000011</v>
      </c>
      <c r="AK49" s="51">
        <f>IFERROR(IF('3 — Weights'!$E$5=1,PERCENTRANK(L$4:L$91,L49),1-PERCENTRANK(L$4:L$91,L49))*100,"")</f>
        <v>70.199999999999989</v>
      </c>
      <c r="AL49" s="51">
        <f>IFERROR(IF('3 — Weights'!$E$6=1,PERCENTRANK(M$4:M$91,M49),1-PERCENTRANK(M$4:M$91,M49))*100,"")</f>
        <v>23.1</v>
      </c>
      <c r="AM49" s="51">
        <f>IFERROR(IF('3 — Weights'!$E$7=1,PERCENTRANK(N$4:N$91,N49),1-PERCENTRANK(N$4:N$91,N49))*100,"")</f>
        <v>49.3</v>
      </c>
      <c r="AN49" s="51">
        <f>IFERROR(IF('3 — Weights'!$E$8=1,PERCENTRANK(O$4:O$91,O49),1-PERCENTRANK(O$4:O$91,O49))*100,"")</f>
        <v>63.800000000000004</v>
      </c>
      <c r="AO49" s="51">
        <f>IFERROR(IF('3 — Weights'!$E$9=1,PERCENTRANK(P$4:P$91,P49),1-PERCENTRANK(P$4:P$91,P49))*100,"")</f>
        <v>56.699999999999996</v>
      </c>
      <c r="AP49" s="51">
        <f>IFERROR(IF('3 — Weights'!$E$10=1,PERCENTRANK(Q$4:Q$91,Q49),1-PERCENTRANK(Q$4:Q$91,Q49))*100,"")</f>
        <v>41.6</v>
      </c>
      <c r="AQ49" s="51">
        <f>IFERROR(IF('3 — Weights'!$E$11=1,PERCENTRANK(R$4:R$91,R49),1-PERCENTRANK(R$4:R$91,R49))*100,"")</f>
        <v>0</v>
      </c>
      <c r="AR49" s="51">
        <f>IFERROR(IF('3 — Weights'!$E$12=1,PERCENTRANK(S$4:S$91,S49),1-PERCENTRANK(S$4:S$91,S49))*100,"")</f>
        <v>77.7</v>
      </c>
      <c r="AS49" s="51">
        <f>IFERROR(IF('3 — Weights'!$E$13=1,PERCENTRANK(T$4:T$91,T49),1-PERCENTRANK(T$4:T$91,T49))*100,"")</f>
        <v>87.5</v>
      </c>
      <c r="AT49" s="51">
        <f>IFERROR(IF('3 — Weights'!$E$14=1,PERCENTRANK(U$4:U$91,U49),1-PERCENTRANK(U$4:U$91,U49))*100,"")</f>
        <v>50</v>
      </c>
      <c r="AU49" s="51">
        <f>IFERROR(IF('3 — Weights'!$E$15=1,PERCENTRANK(V$4:V$91,V49),1-PERCENTRANK(V$4:V$91,V49))*100,"")</f>
        <v>41.400000000000006</v>
      </c>
      <c r="AV49" s="51">
        <f>IFERROR(IF('3 — Weights'!$E$16=1,PERCENTRANK(W$4:W$91,W49),1-PERCENTRANK(W$4:W$91,W49))*100,"")</f>
        <v>42.6</v>
      </c>
      <c r="AW49" s="51">
        <f>IFERROR(IF('3 — Weights'!$E$17=1,PERCENTRANK(X$4:X$91,X49),1-PERCENTRANK(X$4:X$91,X49))*100,"")</f>
        <v>47.199999999999996</v>
      </c>
      <c r="AX49" s="51">
        <f>IFERROR(IF('3 — Weights'!$E$18=1,PERCENTRANK(Y$4:Y$91,Y49),1-PERCENTRANK(Y$4:Y$91,Y49))*100,"")</f>
        <v>39.6</v>
      </c>
      <c r="AY49" s="51">
        <f>IFERROR(IF('3 — Weights'!$E$18=1,PERCENTRANK(Z$4:Z$91,Z49),1-PERCENTRANK(Z$4:Z$91,Z49))*100,"")</f>
        <v>56.400000000000006</v>
      </c>
      <c r="AZ49" s="51">
        <f>IFERROR(IF('3 — Weights'!$E$18=1,PERCENTRANK(AA$4:AA$91,AA49),1-PERCENTRANK(AA$4:AA$91,AA49))*100,"")</f>
        <v>54.699999999999996</v>
      </c>
      <c r="BA49" s="51">
        <f>IFERROR(IF('3 — Weights'!$E$21=1,PERCENTRANK(AB$4:AB$91,AB49),1-PERCENTRANK(AB$4:AB$91,AB49))*100,"")</f>
        <v>35.6</v>
      </c>
      <c r="BB49" s="51">
        <f>IFERROR(IF('3 — Weights'!$E$22=1,PERCENTRANK(AC$4:AC$91,AC49),1-PERCENTRANK(AC$4:AC$91,AC49))*100,"")</f>
        <v>66.600000000000009</v>
      </c>
      <c r="BC49" s="51">
        <f>IFERROR(IF('3 — Weights'!$E$23=1,PERCENTRANK(AD$4:AD$91,AD49),1-PERCENTRANK(AD$4:AD$91,AD49))*100,"")</f>
        <v>62.1</v>
      </c>
      <c r="BD49" s="51">
        <f>IFERROR(IF('3 — Weights'!$E$24=1,PERCENTRANK(AE$4:AE$91,AE49),1-PERCENTRANK(AE$4:AE$91,AE49))*100,"")</f>
        <v>50.6</v>
      </c>
      <c r="BE49" s="51">
        <f>IFERROR(IF('3 — Weights'!$E$25=1,PERCENTRANK(AF$4:AF$91,AF49),1-PERCENTRANK(AF$4:AF$91,AF49))*100,"")</f>
        <v>54.099999999999994</v>
      </c>
      <c r="BF49" s="52" cm="1">
        <f t="array" ref="BF49">IFERROR(SUMPRODUCT(TRANSPOSE(AH49:BE49), [1]!Table2[Weight
Claude]),"")</f>
        <v>47.63</v>
      </c>
      <c r="BG49" s="53" cm="1">
        <f t="array" ref="BG49">IFERROR(SUMPRODUCT(TRANSPOSE(AH49:BE49), [1]!Table2[Weight
Cape IMC]),"")</f>
        <v>47.63</v>
      </c>
    </row>
    <row r="50" spans="1:59" ht="22.5" customHeight="1" x14ac:dyDescent="0.25">
      <c r="A50" s="17">
        <f t="shared" si="0"/>
        <v>49</v>
      </c>
      <c r="B50" s="18" t="s">
        <v>171</v>
      </c>
      <c r="C50" s="18" t="s">
        <v>172</v>
      </c>
      <c r="D50" s="18" t="str">
        <f t="array" ref="D50">IFERROR(_xll.FDS($B50,"FR_RBICS_NAME_CURR(""IND"")"), "")</f>
        <v>Finance Industry Software</v>
      </c>
      <c r="E50" s="18" t="str">
        <f t="array" ref="E50">PROPER(IFERROR(_xll.FDS($B50,"P_DCOUNTRY"), ""))</f>
        <v>United States</v>
      </c>
      <c r="F50" s="19">
        <f t="array" ref="F50">IFERROR(_xll.FDS($B50,"FCS_EV_DAILY(MV,NOW,,,USD,M)"), "")</f>
        <v>3116.2834956000002</v>
      </c>
      <c r="G50" s="19">
        <f t="array" ref="G50">IFERROR(_xll.FDS($B50,"AVG(P_VOLUME_FRQ(-1AM,NOW,D,,6))*P_PRICE_AVG(-1AM,NOW,,USD)"), "")</f>
        <v>64.344314669442596</v>
      </c>
      <c r="H50" s="20">
        <f t="array" ref="H50">IFERROR(_xll.FDS($B50,"OS_SEC_FLT_PCT(0D,,MTD,SEC)")/100, "")</f>
        <v>0.9710160000000001</v>
      </c>
      <c r="I50" s="19">
        <f t="array" ref="I50">IFERROR(_xll.FDS($B50,"FE_ACTUAL(ACTUAL,SALES,ANN_ROLL,0,,,,'CURRENCY=USD')"), "")</f>
        <v>794.80899999999997</v>
      </c>
      <c r="J50" s="19">
        <f t="array" ref="J50">IFERROR(_xll.FDS($B50,"FE_ACTUAL(ACTUAL,EPS,ANN_ROLL,0,,,,'CURRENCY=USD')"), "")</f>
        <v>2.554138</v>
      </c>
      <c r="K50" s="20">
        <f t="array" ref="K50">IFERROR(_xll.FDS($B50,"POW(FE_ESTIMATE(SALES,MEAN,STMA,,NOW,,,'CURRENCY=USD')/FE_ESTIMATE(SALES,MEAN,LTMA,,NOW,,,'CURRENCY=USD'),0.5)-1"), "")</f>
        <v>0.10228072649393601</v>
      </c>
      <c r="L50" s="20">
        <f t="array" ref="L50">IFERROR(_xll.FDS($B50,"POW(FE_ESTIMATE(EPS,MEAN,STMA,,NOW,,,'CURRENCY=USD')/FE_ESTIMATE(EPS,MEAN,LTMA,,NOW,,,'CURRENCY=USD'),0.5)-1"), "")</f>
        <v>0.158606102176232</v>
      </c>
      <c r="M50" s="21">
        <f t="array" ref="M50">IFERROR(_xll.FDS($B50,"FF_GROSS_MGN(LTM_R,0)"), "")</f>
        <v>54.049463456000097</v>
      </c>
      <c r="N50" s="21">
        <f t="array" ref="N50">IFERROR(_xll.FDS($B50,"FF_EBITDA_OPER_MGN(LTM_R,0)"), "")</f>
        <v>14.4768114100369</v>
      </c>
      <c r="O50" s="21">
        <f t="array" ref="O50">IFERROR(_xll.FDS($B50,"FF_NET_MGN(LTM_R,0)"), "")</f>
        <v>6.5434588687344997</v>
      </c>
      <c r="P50" s="22">
        <f t="array" ref="P50">IFERROR(_xll.FDS($B50,"FE_VALUATION(NETDEBT_EBITDA,MEAN,NTMA,,NOW,,,'')"), "")</f>
        <v>-1.3096962999999999</v>
      </c>
      <c r="Q50" s="23">
        <f t="array" ref="Q50">IFERROR(_xll.FDS($B50,"FE_VALUATION(MCAP_FCF,MEAN,NTMA,,NOW,,,'')"), "")</f>
        <v>7.4088554000000002</v>
      </c>
      <c r="R50" s="23" t="str">
        <f t="array" ref="R50">IFERROR(_xll.FDS($B50,"FE_VALUATION(DIV_YLD,MEAN,NTMA,,NOW,,,'')"), "")</f>
        <v/>
      </c>
      <c r="S50" s="21">
        <f t="array" ref="S50">IFERROR(_xll.FDS($B50,"FE_VALUATION(ROE,MEAN,NTMA,,0,,,'')" ), "")</f>
        <v>22.646723000000001</v>
      </c>
      <c r="T50" s="21">
        <f t="array" ref="T50">IFERROR(_xll.FDS($B50,"FE_VALUATION(ROIC,MEAN,NTMA,,0,,,'')" ), "")</f>
        <v>20.495633999999999</v>
      </c>
      <c r="U50" s="22">
        <f t="array" ref="U50">IFERROR(((_xll.FDS($B50,"FE_ACTUAL(ACTUAL,SALES,ANN_ROLL,0,,,,'CURRENCY=USD')")/_xll.FDS($B50,"FE_ACTUAL(ACTUAL,SALES,ANN_ROLL,-1,,,,'CURRENCY=USD')")-1)*100)+(_xll.FDS($B50,"FE_VALUATION(EBITDA_MARGIN,MEAN,ANN_ROLL,0,NOW,,,'')")  ), "")</f>
        <v>37.587132992303971</v>
      </c>
      <c r="V50" s="24">
        <f t="array" ref="V50">IFERROR(_xll.FDS($B50,"FE_VALUATION(PE,MEAN,NTMA,,0,,,'')" ), "")</f>
        <v>15.813653</v>
      </c>
      <c r="W50" s="24">
        <f t="array" ref="W50">IFERROR(_xll.FDS($B50,"FE_VALUATION(P_SALESPS,MEAN,NTMA,,0,,,'')" ), "")</f>
        <v>3.3167377</v>
      </c>
      <c r="X50" s="24">
        <f t="array" ref="X50">IFERROR(_xll.FDS($B50,"FE_VALUATION(FFEV_SALES,MEAN,NTMA,,0,,,'')" ), "")</f>
        <v>3.3617997000000002</v>
      </c>
      <c r="Y50" s="24">
        <f t="array" ref="Y50">IFERROR(_xll.FDS($B50,"FE_VALUATION(FFEV_EBITDA,MEAN,NTMA,,0,,,'')" ), "")</f>
        <v>12.767232</v>
      </c>
      <c r="Z50" s="20">
        <f t="array" ref="Z50">IFERROR(_xll.FDS($B50,"PERCENT_CHANGE(FE_VALUATION(PE,MEAN,NTMA,,0,,,''),MAX(FE_VALUATION(PE,MEAN,NTMA,,-1AY,0,,'')))")/100,"")</f>
        <v>-0.60738536401617604</v>
      </c>
      <c r="AA50" s="20">
        <f t="array" ref="AA50">IFERROR(_xll.FDS($B50,"PERCENT_CHANGE(FE_VALUATION(FFEV_EBITDA,MEAN,NTMA,,0,,,''),MAX(FE_VALUATION(FFEV_EBITDA,MEAN,NTMA,,-1AY,0,,'')))")/100,"")</f>
        <v>-0.63610278206581095</v>
      </c>
      <c r="AB50" s="20">
        <f t="array" ref="AB50">IFERROR(_xll.FDS($B50,"FG_PRICE(0,,,USD)/P_PRICE_HIGH(-1AY,0,USD,,,""PRICE"",""INTRA"")")-1, "")</f>
        <v>-0.51073841262025998</v>
      </c>
      <c r="AC50" s="20">
        <f t="array" ref="AC50">IFERROR(_xll.FDS($B50,"RTP_PRICE_TARGET(USD)/FG_PRICE(0,,,USD)")-1, "")</f>
        <v>0.60827547568710005</v>
      </c>
      <c r="AD50" s="25">
        <f t="array" ref="AD50">IFERROR(_xll.FDS($B50,"FG_PRICE(0,,,USD)/FG_PRICE_MAVG(0,,,USD,50)")-1, "")</f>
        <v>-0.27278653440503797</v>
      </c>
      <c r="AE50" s="25">
        <f t="array" ref="AE50">IFERROR(_xll.FDS($B50,"FG_PRICE(0,,,USD)/FG_PRICE_MAVG(0,,,USD,100)")-1, "")</f>
        <v>-0.28421613343542995</v>
      </c>
      <c r="AF50" s="25">
        <f t="array" ref="AF50">IFERROR(_xll.FDS($B50,"FG_PRICE(0,,,USD)/FG_PRICE_MAVG(0,,,USD,200)")-1, "")</f>
        <v>-0.37362940048520499</v>
      </c>
      <c r="AG50" s="26" t="str">
        <f t="array" ref="AG50">IFERROR(_xll.FDS($B50,"FE_RATING(MEAN,TEXTONLY,0,NOW,,,'')"), "")</f>
        <v>Overweight</v>
      </c>
      <c r="AH50" s="50">
        <f>IFERROR(IF('3 — Weights'!$E$2=1,PERCENTRANK(I$4:I$91,I50),1-PERCENTRANK(I$4:I$91,I50))*100,"")</f>
        <v>21.8</v>
      </c>
      <c r="AI50" s="51">
        <f>IFERROR(IF('3 — Weights'!$E$3=1,PERCENTRANK(J$4:J$91,J50),1-PERCENTRANK(J$4:J$91,J50))*100,"")</f>
        <v>51.7</v>
      </c>
      <c r="AJ50" s="51">
        <f>IFERROR(IF('3 — Weights'!$E$4=1,PERCENTRANK(K$4:K$91,K50),1-PERCENTRANK(K$4:K$91,K50))*100,"")</f>
        <v>35.6</v>
      </c>
      <c r="AK50" s="51">
        <f>IFERROR(IF('3 — Weights'!$E$5=1,PERCENTRANK(L$4:L$91,L50),1-PERCENTRANK(L$4:L$91,L50))*100,"")</f>
        <v>47.599999999999994</v>
      </c>
      <c r="AL50" s="51">
        <f>IFERROR(IF('3 — Weights'!$E$6=1,PERCENTRANK(M$4:M$91,M50),1-PERCENTRANK(M$4:M$91,M50))*100,"")</f>
        <v>13.4</v>
      </c>
      <c r="AM50" s="51">
        <f>IFERROR(IF('3 — Weights'!$E$7=1,PERCENTRANK(N$4:N$91,N50),1-PERCENTRANK(N$4:N$91,N50))*100,"")</f>
        <v>42.8</v>
      </c>
      <c r="AN50" s="51">
        <f>IFERROR(IF('3 — Weights'!$E$8=1,PERCENTRANK(O$4:O$91,O50),1-PERCENTRANK(O$4:O$91,O50))*100,"")</f>
        <v>38.5</v>
      </c>
      <c r="AO50" s="51">
        <f>IFERROR(IF('3 — Weights'!$E$9=1,PERCENTRANK(P$4:P$91,P50),1-PERCENTRANK(P$4:P$91,P50))*100,"")</f>
        <v>53.1</v>
      </c>
      <c r="AP50" s="51">
        <f>IFERROR(IF('3 — Weights'!$E$10=1,PERCENTRANK(Q$4:Q$91,Q50),1-PERCENTRANK(Q$4:Q$91,Q50))*100,"")</f>
        <v>71.399999999999991</v>
      </c>
      <c r="AQ50" s="51" t="str">
        <f>IFERROR(IF('3 — Weights'!$E$11=1,PERCENTRANK(R$4:R$91,R50),1-PERCENTRANK(R$4:R$91,R50))*100,"")</f>
        <v/>
      </c>
      <c r="AR50" s="51">
        <f>IFERROR(IF('3 — Weights'!$E$12=1,PERCENTRANK(S$4:S$91,S50),1-PERCENTRANK(S$4:S$91,S50))*100,"")</f>
        <v>53</v>
      </c>
      <c r="AS50" s="51">
        <f>IFERROR(IF('3 — Weights'!$E$13=1,PERCENTRANK(T$4:T$91,T50),1-PERCENTRANK(T$4:T$91,T50))*100,"")</f>
        <v>65.2</v>
      </c>
      <c r="AT50" s="51">
        <f>IFERROR(IF('3 — Weights'!$E$14=1,PERCENTRANK(U$4:U$91,U50),1-PERCENTRANK(U$4:U$91,U50))*100,"")</f>
        <v>34.1</v>
      </c>
      <c r="AU50" s="51">
        <f>IFERROR(IF('3 — Weights'!$E$15=1,PERCENTRANK(V$4:V$91,V50),1-PERCENTRANK(V$4:V$91,V50))*100,"")</f>
        <v>70.199999999999989</v>
      </c>
      <c r="AV50" s="51">
        <f>IFERROR(IF('3 — Weights'!$E$16=1,PERCENTRANK(W$4:W$91,W50),1-PERCENTRANK(W$4:W$91,W50))*100,"")</f>
        <v>69</v>
      </c>
      <c r="AW50" s="51">
        <f>IFERROR(IF('3 — Weights'!$E$17=1,PERCENTRANK(X$4:X$91,X50),1-PERCENTRANK(X$4:X$91,X50))*100,"")</f>
        <v>69</v>
      </c>
      <c r="AX50" s="51">
        <f>IFERROR(IF('3 — Weights'!$E$18=1,PERCENTRANK(Y$4:Y$91,Y50),1-PERCENTRANK(Y$4:Y$91,Y50))*100,"")</f>
        <v>64</v>
      </c>
      <c r="AY50" s="51">
        <f>IFERROR(IF('3 — Weights'!$E$18=1,PERCENTRANK(Z$4:Z$91,Z50),1-PERCENTRANK(Z$4:Z$91,Z50))*100,"")</f>
        <v>78.2</v>
      </c>
      <c r="AZ50" s="51">
        <f>IFERROR(IF('3 — Weights'!$E$18=1,PERCENTRANK(AA$4:AA$91,AA50),1-PERCENTRANK(AA$4:AA$91,AA50))*100,"")</f>
        <v>81.400000000000006</v>
      </c>
      <c r="BA50" s="51">
        <f>IFERROR(IF('3 — Weights'!$E$21=1,PERCENTRANK(AB$4:AB$91,AB50),1-PERCENTRANK(AB$4:AB$91,AB50))*100,"")</f>
        <v>25.2</v>
      </c>
      <c r="BB50" s="51">
        <f>IFERROR(IF('3 — Weights'!$E$22=1,PERCENTRANK(AC$4:AC$91,AC50),1-PERCENTRANK(AC$4:AC$91,AC50))*100,"")</f>
        <v>63.2</v>
      </c>
      <c r="BC50" s="51">
        <f>IFERROR(IF('3 — Weights'!$E$23=1,PERCENTRANK(AD$4:AD$91,AD50),1-PERCENTRANK(AD$4:AD$91,AD50))*100,"")</f>
        <v>84</v>
      </c>
      <c r="BD50" s="51">
        <f>IFERROR(IF('3 — Weights'!$E$24=1,PERCENTRANK(AE$4:AE$91,AE50),1-PERCENTRANK(AE$4:AE$91,AE50))*100,"")</f>
        <v>67.900000000000006</v>
      </c>
      <c r="BE50" s="51">
        <f>IFERROR(IF('3 — Weights'!$E$25=1,PERCENTRANK(AF$4:AF$91,AF50),1-PERCENTRANK(AF$4:AF$91,AF50))*100,"")</f>
        <v>78.2</v>
      </c>
      <c r="BF50" s="52" cm="1">
        <f t="array" ref="BF50">IFERROR(SUMPRODUCT(TRANSPOSE(AH50:BE50), [1]!Table2[Weight
Claude]),"")</f>
        <v>46.665000000000006</v>
      </c>
      <c r="BG50" s="53" cm="1">
        <f t="array" ref="BG50">IFERROR(SUMPRODUCT(TRANSPOSE(AH50:BE50), [1]!Table2[Weight
Cape IMC]),"")</f>
        <v>46.665000000000006</v>
      </c>
    </row>
    <row r="51" spans="1:59" ht="22.5" customHeight="1" x14ac:dyDescent="0.25">
      <c r="A51" s="17">
        <f t="shared" si="0"/>
        <v>52</v>
      </c>
      <c r="B51" s="18" t="s">
        <v>173</v>
      </c>
      <c r="C51" s="18" t="s">
        <v>174</v>
      </c>
      <c r="D51" s="18" t="str">
        <f t="array" ref="D51">IFERROR(_xll.FDS($B51,"FR_RBICS_NAME_CURR(""IND"")"), "")</f>
        <v>Enterprise Resource Planning Software</v>
      </c>
      <c r="E51" s="18" t="str">
        <f t="array" ref="E51">PROPER(IFERROR(_xll.FDS($B51,"P_DCOUNTRY"), ""))</f>
        <v>United States</v>
      </c>
      <c r="F51" s="19">
        <f t="array" ref="F51">IFERROR(_xll.FDS($B51,"FCS_EV_DAILY(MV,NOW,,,USD,M)"), "")</f>
        <v>2186.1226614900002</v>
      </c>
      <c r="G51" s="19">
        <f t="array" ref="G51">IFERROR(_xll.FDS($B51,"AVG(P_VOLUME_FRQ(-1AM,NOW,D,,6))*P_PRICE_AVG(-1AM,NOW,,USD)"), "")</f>
        <v>48.415160459129098</v>
      </c>
      <c r="H51" s="20">
        <f t="array" ref="H51">IFERROR(_xll.FDS($B51,"OS_SEC_FLT_PCT(0D,,MTD,SEC)")/100, "")</f>
        <v>0.93389999999999995</v>
      </c>
      <c r="I51" s="19">
        <f t="array" ref="I51">IFERROR(_xll.FDS($B51,"FE_ACTUAL(ACTUAL,SALES,ANN_ROLL,0,,,,'CURRENCY=USD')"), "")</f>
        <v>748.44399999999996</v>
      </c>
      <c r="J51" s="19">
        <f t="array" ref="J51">IFERROR(_xll.FDS($B51,"FE_ACTUAL(ACTUAL,EPS,ANN_ROLL,0,,,,'CURRENCY=USD')"), "")</f>
        <v>0.64</v>
      </c>
      <c r="K51" s="20">
        <f t="array" ref="K51">IFERROR(_xll.FDS($B51,"POW(FE_ESTIMATE(SALES,MEAN,STMA,,NOW,,,'CURRENCY=USD')/FE_ESTIMATE(SALES,MEAN,LTMA,,NOW,,,'CURRENCY=USD'),0.5)-1"), "")</f>
        <v>0.112883057648017</v>
      </c>
      <c r="L51" s="20">
        <f t="array" ref="L51">IFERROR(_xll.FDS($B51,"POW(FE_ESTIMATE(EPS,MEAN,STMA,,NOW,,,'CURRENCY=USD')/FE_ESTIMATE(EPS,MEAN,LTMA,,NOW,,,'CURRENCY=USD'),0.5)-1"), "")</f>
        <v>0.179674065155287</v>
      </c>
      <c r="M51" s="21">
        <f t="array" ref="M51">IFERROR(_xll.FDS($B51,"FF_GROSS_MGN(LTM_R,0)"), "")</f>
        <v>60.340787019469701</v>
      </c>
      <c r="N51" s="21">
        <f t="array" ref="N51">IFERROR(_xll.FDS($B51,"FF_EBITDA_OPER_MGN(LTM_R,0)"), "")</f>
        <v>13.4151653296706</v>
      </c>
      <c r="O51" s="21">
        <f t="array" ref="O51">IFERROR(_xll.FDS($B51,"FF_NET_MGN(LTM_R,0)"), "")</f>
        <v>0.96346553649972499</v>
      </c>
      <c r="P51" s="22">
        <f t="array" ref="P51">IFERROR(_xll.FDS($B51,"FE_VALUATION(NETDEBT_EBITDA,MEAN,NTMA,,NOW,,,'')"), "")</f>
        <v>-7.4394799999999997E-2</v>
      </c>
      <c r="Q51" s="23">
        <f t="array" ref="Q51">IFERROR(_xll.FDS($B51,"FE_VALUATION(MCAP_FCF,MEAN,NTMA,,NOW,,,'')"), "")</f>
        <v>4.7252264000000004</v>
      </c>
      <c r="R51" s="23">
        <f t="array" ref="R51">IFERROR(_xll.FDS($B51,"FE_VALUATION(DIV_YLD,MEAN,NTMA,,NOW,,,'')"), "")</f>
        <v>0</v>
      </c>
      <c r="S51" s="21">
        <f t="array" ref="S51">IFERROR(_xll.FDS($B51,"FE_VALUATION(ROE,MEAN,NTMA,,0,,,'')" ), "")</f>
        <v>35.872287999999998</v>
      </c>
      <c r="T51" s="21">
        <f t="array" ref="T51">IFERROR(_xll.FDS($B51,"FE_VALUATION(ROIC,MEAN,NTMA,,0,,,'')" ), "")</f>
        <v>19.440926000000001</v>
      </c>
      <c r="U51" s="22">
        <f t="array" ref="U51">IFERROR(((_xll.FDS($B51,"FE_ACTUAL(ACTUAL,SALES,ANN_ROLL,0,,,,'CURRENCY=USD')")/_xll.FDS($B51,"FE_ACTUAL(ACTUAL,SALES,ANN_ROLL,-1,,,,'CURRENCY=USD')")-1)*100)+(_xll.FDS($B51,"FE_VALUATION(EBITDA_MARGIN,MEAN,ANN_ROLL,0,NOW,,,'')")  ), "")</f>
        <v>33.831636296627352</v>
      </c>
      <c r="V51" s="24">
        <f t="array" ref="V51">IFERROR(_xll.FDS($B51,"FE_VALUATION(PE,MEAN,NTMA,,0,,,'')" ), "")</f>
        <v>17.475591999999999</v>
      </c>
      <c r="W51" s="24">
        <f t="array" ref="W51">IFERROR(_xll.FDS($B51,"FE_VALUATION(P_SALESPS,MEAN,NTMA,,0,,,'')" ), "")</f>
        <v>2.5131096999999998</v>
      </c>
      <c r="X51" s="24">
        <f t="array" ref="X51">IFERROR(_xll.FDS($B51,"FE_VALUATION(FFEV_SALES,MEAN,NTMA,,0,,,'')" ), "")</f>
        <v>2.5600573999999998</v>
      </c>
      <c r="Y51" s="24">
        <f t="array" ref="Y51">IFERROR(_xll.FDS($B51,"FE_VALUATION(FFEV_EBITDA,MEAN,NTMA,,0,,,'')" ), "")</f>
        <v>11.046927999999999</v>
      </c>
      <c r="Z51" s="20">
        <f t="array" ref="Z51">IFERROR(_xll.FDS($B51,"PERCENT_CHANGE(FE_VALUATION(PE,MEAN,NTMA,,0,,,''),MAX(FE_VALUATION(PE,MEAN,NTMA,,-1AY,0,,'')))")/100,"")</f>
        <v>-0.70832680324621411</v>
      </c>
      <c r="AA51" s="20">
        <f t="array" ref="AA51">IFERROR(_xll.FDS($B51,"PERCENT_CHANGE(FE_VALUATION(FFEV_EBITDA,MEAN,NTMA,,0,,,''),MAX(FE_VALUATION(FFEV_EBITDA,MEAN,NTMA,,-1AY,0,,'')))")/100,"")</f>
        <v>-0.709240577340852</v>
      </c>
      <c r="AB51" s="20">
        <f t="array" ref="AB51">IFERROR(_xll.FDS($B51,"FG_PRICE(0,,,USD)/P_PRICE_HIGH(-1AY,0,USD,,,""PRICE"",""INTRA"")")-1, "")</f>
        <v>-0.70259322558505699</v>
      </c>
      <c r="AC51" s="20">
        <f t="array" ref="AC51">IFERROR(_xll.FDS($B51,"RTP_PRICE_TARGET(USD)/FG_PRICE(0,,,USD)")-1, "")</f>
        <v>0.41547737556561004</v>
      </c>
      <c r="AD51" s="25">
        <f t="array" ref="AD51">IFERROR(_xll.FDS($B51,"FG_PRICE(0,,,USD)/FG_PRICE_MAVG(0,,,USD,50)")-1, "")</f>
        <v>-0.25881208706442604</v>
      </c>
      <c r="AE51" s="25">
        <f t="array" ref="AE51">IFERROR(_xll.FDS($B51,"FG_PRICE(0,,,USD)/FG_PRICE_MAVG(0,,,USD,100)")-1, "")</f>
        <v>-0.33617519768312099</v>
      </c>
      <c r="AF51" s="25">
        <f t="array" ref="AF51">IFERROR(_xll.FDS($B51,"FG_PRICE(0,,,USD)/FG_PRICE_MAVG(0,,,USD,200)")-1, "")</f>
        <v>-0.49139767830327796</v>
      </c>
      <c r="AG51" s="26" t="str">
        <f t="array" ref="AG51">IFERROR(_xll.FDS($B51,"FE_RATING(MEAN,TEXTONLY,0,NOW,,,'')"), "")</f>
        <v>Overweight</v>
      </c>
      <c r="AH51" s="50">
        <f>IFERROR(IF('3 — Weights'!$E$2=1,PERCENTRANK(I$4:I$91,I51),1-PERCENTRANK(I$4:I$91,I51))*100,"")</f>
        <v>17.2</v>
      </c>
      <c r="AI51" s="51">
        <f>IFERROR(IF('3 — Weights'!$E$3=1,PERCENTRANK(J$4:J$91,J51),1-PERCENTRANK(J$4:J$91,J51))*100,"")</f>
        <v>25.2</v>
      </c>
      <c r="AJ51" s="51">
        <f>IFERROR(IF('3 — Weights'!$E$4=1,PERCENTRANK(K$4:K$91,K51),1-PERCENTRANK(K$4:K$91,K51))*100,"")</f>
        <v>41.3</v>
      </c>
      <c r="AK51" s="51">
        <f>IFERROR(IF('3 — Weights'!$E$5=1,PERCENTRANK(L$4:L$91,L51),1-PERCENTRANK(L$4:L$91,L51))*100,"")</f>
        <v>57.099999999999994</v>
      </c>
      <c r="AL51" s="51">
        <f>IFERROR(IF('3 — Weights'!$E$6=1,PERCENTRANK(M$4:M$91,M51),1-PERCENTRANK(M$4:M$91,M51))*100,"")</f>
        <v>21.9</v>
      </c>
      <c r="AM51" s="51">
        <f>IFERROR(IF('3 — Weights'!$E$7=1,PERCENTRANK(N$4:N$91,N51),1-PERCENTRANK(N$4:N$91,N51))*100,"")</f>
        <v>40.200000000000003</v>
      </c>
      <c r="AN51" s="51">
        <f>IFERROR(IF('3 — Weights'!$E$8=1,PERCENTRANK(O$4:O$91,O51),1-PERCENTRANK(O$4:O$91,O51))*100,"")</f>
        <v>30.099999999999998</v>
      </c>
      <c r="AO51" s="51">
        <f>IFERROR(IF('3 — Weights'!$E$9=1,PERCENTRANK(P$4:P$91,P51),1-PERCENTRANK(P$4:P$91,P51))*100,"")</f>
        <v>27.800000000000004</v>
      </c>
      <c r="AP51" s="51">
        <f>IFERROR(IF('3 — Weights'!$E$10=1,PERCENTRANK(Q$4:Q$91,Q51),1-PERCENTRANK(Q$4:Q$91,Q51))*100,"")</f>
        <v>44</v>
      </c>
      <c r="AQ51" s="51">
        <f>IFERROR(IF('3 — Weights'!$E$11=1,PERCENTRANK(R$4:R$91,R51),1-PERCENTRANK(R$4:R$91,R51))*100,"")</f>
        <v>0</v>
      </c>
      <c r="AR51" s="51">
        <f>IFERROR(IF('3 — Weights'!$E$12=1,PERCENTRANK(S$4:S$91,S51),1-PERCENTRANK(S$4:S$91,S51))*100,"")</f>
        <v>82.699999999999989</v>
      </c>
      <c r="AS51" s="51">
        <f>IFERROR(IF('3 — Weights'!$E$13=1,PERCENTRANK(T$4:T$91,T51),1-PERCENTRANK(T$4:T$91,T51))*100,"")</f>
        <v>61.1</v>
      </c>
      <c r="AT51" s="51">
        <f>IFERROR(IF('3 — Weights'!$E$14=1,PERCENTRANK(U$4:U$91,U51),1-PERCENTRANK(U$4:U$91,U51))*100,"")</f>
        <v>18.2</v>
      </c>
      <c r="AU51" s="51">
        <f>IFERROR(IF('3 — Weights'!$E$15=1,PERCENTRANK(V$4:V$91,V51),1-PERCENTRANK(V$4:V$91,V51))*100,"")</f>
        <v>66.7</v>
      </c>
      <c r="AV51" s="51">
        <f>IFERROR(IF('3 — Weights'!$E$16=1,PERCENTRANK(W$4:W$91,W51),1-PERCENTRANK(W$4:W$91,W51))*100,"")</f>
        <v>86.3</v>
      </c>
      <c r="AW51" s="51">
        <f>IFERROR(IF('3 — Weights'!$E$17=1,PERCENTRANK(X$4:X$91,X51),1-PERCENTRANK(X$4:X$91,X51))*100,"")</f>
        <v>86.3</v>
      </c>
      <c r="AX51" s="51">
        <f>IFERROR(IF('3 — Weights'!$E$18=1,PERCENTRANK(Y$4:Y$91,Y51),1-PERCENTRANK(Y$4:Y$91,Y51))*100,"")</f>
        <v>75.599999999999994</v>
      </c>
      <c r="AY51" s="51">
        <f>IFERROR(IF('3 — Weights'!$E$18=1,PERCENTRANK(Z$4:Z$91,Z51),1-PERCENTRANK(Z$4:Z$91,Z51))*100,"")</f>
        <v>87.4</v>
      </c>
      <c r="AZ51" s="51">
        <f>IFERROR(IF('3 — Weights'!$E$18=1,PERCENTRANK(AA$4:AA$91,AA51),1-PERCENTRANK(AA$4:AA$91,AA51))*100,"")</f>
        <v>93.100000000000009</v>
      </c>
      <c r="BA51" s="51">
        <f>IFERROR(IF('3 — Weights'!$E$21=1,PERCENTRANK(AB$4:AB$91,AB51),1-PERCENTRANK(AB$4:AB$91,AB51))*100,"")</f>
        <v>0</v>
      </c>
      <c r="BB51" s="51">
        <f>IFERROR(IF('3 — Weights'!$E$22=1,PERCENTRANK(AC$4:AC$91,AC51),1-PERCENTRANK(AC$4:AC$91,AC51))*100,"")</f>
        <v>32.1</v>
      </c>
      <c r="BC51" s="51">
        <f>IFERROR(IF('3 — Weights'!$E$23=1,PERCENTRANK(AD$4:AD$91,AD51),1-PERCENTRANK(AD$4:AD$91,AD51))*100,"")</f>
        <v>77.100000000000009</v>
      </c>
      <c r="BD51" s="51">
        <f>IFERROR(IF('3 — Weights'!$E$24=1,PERCENTRANK(AE$4:AE$91,AE51),1-PERCENTRANK(AE$4:AE$91,AE51))*100,"")</f>
        <v>84</v>
      </c>
      <c r="BE51" s="51">
        <f>IFERROR(IF('3 — Weights'!$E$25=1,PERCENTRANK(AF$4:AF$91,AF51),1-PERCENTRANK(AF$4:AF$91,AF51))*100,"")</f>
        <v>96.6</v>
      </c>
      <c r="BF51" s="52" cm="1">
        <f t="array" ref="BF51">IFERROR(SUMPRODUCT(TRANSPOSE(AH51:BE51), [1]!Table2[Weight
Claude]),"")</f>
        <v>45.924999999999997</v>
      </c>
      <c r="BG51" s="53" cm="1">
        <f t="array" ref="BG51">IFERROR(SUMPRODUCT(TRANSPOSE(AH51:BE51), [1]!Table2[Weight
Cape IMC]),"")</f>
        <v>45.924999999999997</v>
      </c>
    </row>
    <row r="52" spans="1:59" ht="22.5" customHeight="1" x14ac:dyDescent="0.25">
      <c r="A52" s="17">
        <f t="shared" si="0"/>
        <v>48</v>
      </c>
      <c r="B52" s="18" t="s">
        <v>175</v>
      </c>
      <c r="C52" s="18" t="s">
        <v>176</v>
      </c>
      <c r="D52" s="18" t="str">
        <f t="array" ref="D52">IFERROR(_xll.FDS($B52,"FR_RBICS_NAME_CURR(""IND"")"), "")</f>
        <v>General and Mixed-Type Software</v>
      </c>
      <c r="E52" s="18" t="str">
        <f t="array" ref="E52">PROPER(IFERROR(_xll.FDS($B52,"P_DCOUNTRY"), ""))</f>
        <v>United States</v>
      </c>
      <c r="F52" s="19">
        <f t="array" ref="F52">IFERROR(_xll.FDS($B52,"FCS_EV_DAILY(MV,NOW,,,USD,M)"), "")</f>
        <v>2920467.7105640001</v>
      </c>
      <c r="G52" s="19">
        <f t="array" ref="G52">IFERROR(_xll.FDS($B52,"AVG(P_VOLUME_FRQ(-1AM,NOW,D,,6))*P_PRICE_AVG(-1AM,NOW,,USD)"), "")</f>
        <v>17995.572880249401</v>
      </c>
      <c r="H52" s="20">
        <f t="array" ref="H52">IFERROR(_xll.FDS($B52,"OS_SEC_FLT_PCT(0D,,MTD,SEC)")/100, "")</f>
        <v>0.98507</v>
      </c>
      <c r="I52" s="19">
        <f t="array" ref="I52">IFERROR(_xll.FDS($B52,"FE_ACTUAL(ACTUAL,SALES,ANN_ROLL,0,,,,'CURRENCY=USD')"), "")</f>
        <v>281724</v>
      </c>
      <c r="J52" s="19">
        <f t="array" ref="J52">IFERROR(_xll.FDS($B52,"FE_ACTUAL(ACTUAL,EPS,ANN_ROLL,0,,,,'CURRENCY=USD')"), "")</f>
        <v>13.64</v>
      </c>
      <c r="K52" s="20">
        <f t="array" ref="K52">IFERROR(_xll.FDS($B52,"POW(FE_ESTIMATE(SALES,MEAN,STMA,,NOW,,,'CURRENCY=USD')/FE_ESTIMATE(SALES,MEAN,LTMA,,NOW,,,'CURRENCY=USD'),0.5)-1"), "")</f>
        <v>0.15930047873707001</v>
      </c>
      <c r="L52" s="20">
        <f t="array" ref="L52">IFERROR(_xll.FDS($B52,"POW(FE_ESTIMATE(EPS,MEAN,STMA,,NOW,,,'CURRENCY=USD')/FE_ESTIMATE(EPS,MEAN,LTMA,,NOW,,,'CURRENCY=USD'),0.5)-1"), "")</f>
        <v>0.17301807317705101</v>
      </c>
      <c r="M52" s="21">
        <f t="array" ref="M52">IFERROR(_xll.FDS($B52,"FF_GROSS_MGN(LTM_R,0)"), "")</f>
        <v>68.586329157022504</v>
      </c>
      <c r="N52" s="21">
        <f t="array" ref="N52">IFERROR(_xll.FDS($B52,"FF_EBITDA_OPER_MGN(LTM_R,0)"), "")</f>
        <v>60.4875381809968</v>
      </c>
      <c r="O52" s="21">
        <f t="array" ref="O52">IFERROR(_xll.FDS($B52,"FF_NET_MGN(LTM_R,0)"), "")</f>
        <v>39.044304688446303</v>
      </c>
      <c r="P52" s="22">
        <f t="array" ref="P52">IFERROR(_xll.FDS($B52,"FE_VALUATION(NETDEBT_EBITDA,MEAN,NTMA,,NOW,,,'')"), "")</f>
        <v>-0.31569079999999999</v>
      </c>
      <c r="Q52" s="23">
        <f t="array" ref="Q52">IFERROR(_xll.FDS($B52,"FE_VALUATION(MCAP_FCF,MEAN,NTMA,,NOW,,,'')"), "")</f>
        <v>2.5916516999999999</v>
      </c>
      <c r="R52" s="23">
        <f t="array" ref="R52">IFERROR(_xll.FDS($B52,"FE_VALUATION(DIV_YLD,MEAN,NTMA,,NOW,,,'')"), "")</f>
        <v>0.99877864000000005</v>
      </c>
      <c r="S52" s="21">
        <f t="array" ref="S52">IFERROR(_xll.FDS($B52,"FE_VALUATION(ROE,MEAN,NTMA,,0,,,'')" ), "")</f>
        <v>25.727743</v>
      </c>
      <c r="T52" s="21">
        <f t="array" ref="T52">IFERROR(_xll.FDS($B52,"FE_VALUATION(ROIC,MEAN,NTMA,,0,,,'')" ), "")</f>
        <v>24.821207000000001</v>
      </c>
      <c r="U52" s="22">
        <f t="array" ref="U52">IFERROR(((_xll.FDS($B52,"FE_ACTUAL(ACTUAL,SALES,ANN_ROLL,0,,,,'CURRENCY=USD')")/_xll.FDS($B52,"FE_ACTUAL(ACTUAL,SALES,ANN_ROLL,-1,,,,'CURRENCY=USD')")-1)*100)+(_xll.FDS($B52,"FE_VALUATION(EBITDA_MARGIN,MEAN,ANN_ROLL,0,NOW,,,'')")  ), "")</f>
        <v>72.487356232406711</v>
      </c>
      <c r="V52" s="24">
        <f t="array" ref="V52">IFERROR(_xll.FDS($B52,"FE_VALUATION(PE,MEAN,NTMA,,0,,,'')" ), "")</f>
        <v>21.464441000000001</v>
      </c>
      <c r="W52" s="24">
        <f t="array" ref="W52">IFERROR(_xll.FDS($B52,"FE_VALUATION(P_SALESPS,MEAN,NTMA,,0,,,'')" ), "")</f>
        <v>8.0085359999999994</v>
      </c>
      <c r="X52" s="24">
        <f t="array" ref="X52">IFERROR(_xll.FDS($B52,"FE_VALUATION(FFEV_SALES,MEAN,NTMA,,0,,,'')" ), "")</f>
        <v>8.1393590000000007</v>
      </c>
      <c r="Y52" s="24">
        <f t="array" ref="Y52">IFERROR(_xll.FDS($B52,"FE_VALUATION(FFEV_EBITDA,MEAN,NTMA,,0,,,'')" ), "")</f>
        <v>13.355886999999999</v>
      </c>
      <c r="Z52" s="20">
        <f t="array" ref="Z52">IFERROR(_xll.FDS($B52,"PERCENT_CHANGE(FE_VALUATION(PE,MEAN,NTMA,,0,,,''),MAX(FE_VALUATION(PE,MEAN,NTMA,,-1AY,0,,'')))")/100,"")</f>
        <v>-0.36890213926724102</v>
      </c>
      <c r="AA52" s="20">
        <f t="array" ref="AA52">IFERROR(_xll.FDS($B52,"PERCENT_CHANGE(FE_VALUATION(FFEV_EBITDA,MEAN,NTMA,,0,,,''),MAX(FE_VALUATION(FFEV_EBITDA,MEAN,NTMA,,-1AY,0,,'')))")/100,"")</f>
        <v>-0.36593854375227203</v>
      </c>
      <c r="AB52" s="20">
        <f t="array" ref="AB52">IFERROR(_xll.FDS($B52,"FG_PRICE(0,,,USD)/P_PRICE_HIGH(-1AY,0,USD,,,""PRICE"",""INTRA"")")-1, "")</f>
        <v>-0.29966693671797695</v>
      </c>
      <c r="AC52" s="20">
        <f t="array" ref="AC52">IFERROR(_xll.FDS($B52,"RTP_PRICE_TARGET(USD)/FG_PRICE(0,,,USD)")-1, "")</f>
        <v>0.52934370179948997</v>
      </c>
      <c r="AD52" s="25">
        <f t="array" ref="AD52">IFERROR(_xll.FDS($B52,"FG_PRICE(0,,,USD)/FG_PRICE_MAVG(0,,,USD,50)")-1, "")</f>
        <v>-0.13591808592306198</v>
      </c>
      <c r="AE52" s="25">
        <f t="array" ref="AE52">IFERROR(_xll.FDS($B52,"FG_PRICE(0,,,USD)/FG_PRICE_MAVG(0,,,USD,100)")-1, "")</f>
        <v>-0.18647090661020604</v>
      </c>
      <c r="AF52" s="25">
        <f t="array" ref="AF52">IFERROR(_xll.FDS($B52,"FG_PRICE(0,,,USD)/FG_PRICE_MAVG(0,,,USD,200)")-1, "")</f>
        <v>-0.20027268851052904</v>
      </c>
      <c r="AG52" s="26" t="str">
        <f t="array" ref="AG52">IFERROR(_xll.FDS($B52,"FE_RATING(MEAN,TEXTONLY,0,NOW,,,'')"), "")</f>
        <v>Buy</v>
      </c>
      <c r="AH52" s="50">
        <f>IFERROR(IF('3 — Weights'!$E$2=1,PERCENTRANK(I$4:I$91,I52),1-PERCENTRANK(I$4:I$91,I52))*100,"")</f>
        <v>100</v>
      </c>
      <c r="AI52" s="51">
        <f>IFERROR(IF('3 — Weights'!$E$3=1,PERCENTRANK(J$4:J$91,J52),1-PERCENTRANK(J$4:J$91,J52))*100,"")</f>
        <v>95.399999999999991</v>
      </c>
      <c r="AJ52" s="51">
        <f>IFERROR(IF('3 — Weights'!$E$4=1,PERCENTRANK(K$4:K$91,K52),1-PERCENTRANK(K$4:K$91,K52))*100,"")</f>
        <v>62</v>
      </c>
      <c r="AK52" s="51">
        <f>IFERROR(IF('3 — Weights'!$E$5=1,PERCENTRANK(L$4:L$91,L52),1-PERCENTRANK(L$4:L$91,L52))*100,"")</f>
        <v>54.7</v>
      </c>
      <c r="AL52" s="51">
        <f>IFERROR(IF('3 — Weights'!$E$6=1,PERCENTRANK(M$4:M$91,M52),1-PERCENTRANK(M$4:M$91,M52))*100,"")</f>
        <v>40.200000000000003</v>
      </c>
      <c r="AM52" s="51">
        <f>IFERROR(IF('3 — Weights'!$E$7=1,PERCENTRANK(N$4:N$91,N52),1-PERCENTRANK(N$4:N$91,N52))*100,"")</f>
        <v>97.399999999999991</v>
      </c>
      <c r="AN52" s="51">
        <f>IFERROR(IF('3 — Weights'!$E$8=1,PERCENTRANK(O$4:O$91,O52),1-PERCENTRANK(O$4:O$91,O52))*100,"")</f>
        <v>95.1</v>
      </c>
      <c r="AO52" s="51">
        <f>IFERROR(IF('3 — Weights'!$E$9=1,PERCENTRANK(P$4:P$91,P52),1-PERCENTRANK(P$4:P$91,P52))*100,"")</f>
        <v>30.200000000000003</v>
      </c>
      <c r="AP52" s="51">
        <f>IFERROR(IF('3 — Weights'!$E$10=1,PERCENTRANK(Q$4:Q$91,Q52),1-PERCENTRANK(Q$4:Q$91,Q52))*100,"")</f>
        <v>17.8</v>
      </c>
      <c r="AQ52" s="51">
        <f>IFERROR(IF('3 — Weights'!$E$11=1,PERCENTRANK(R$4:R$91,R52),1-PERCENTRANK(R$4:R$91,R52))*100,"")</f>
        <v>80.7</v>
      </c>
      <c r="AR52" s="51">
        <f>IFERROR(IF('3 — Weights'!$E$12=1,PERCENTRANK(S$4:S$91,S52),1-PERCENTRANK(S$4:S$91,S52))*100,"")</f>
        <v>65.400000000000006</v>
      </c>
      <c r="AS52" s="51">
        <f>IFERROR(IF('3 — Weights'!$E$13=1,PERCENTRANK(T$4:T$91,T52),1-PERCENTRANK(T$4:T$91,T52))*100,"")</f>
        <v>77.7</v>
      </c>
      <c r="AT52" s="51">
        <f>IFERROR(IF('3 — Weights'!$E$14=1,PERCENTRANK(U$4:U$91,U52),1-PERCENTRANK(U$4:U$91,U52))*100,"")</f>
        <v>93.899999999999991</v>
      </c>
      <c r="AU52" s="51">
        <f>IFERROR(IF('3 — Weights'!$E$15=1,PERCENTRANK(V$4:V$91,V52),1-PERCENTRANK(V$4:V$91,V52))*100,"")</f>
        <v>47.199999999999996</v>
      </c>
      <c r="AV52" s="51">
        <f>IFERROR(IF('3 — Weights'!$E$16=1,PERCENTRANK(W$4:W$91,W52),1-PERCENTRANK(W$4:W$91,W52))*100,"")</f>
        <v>20.699999999999996</v>
      </c>
      <c r="AW52" s="51">
        <f>IFERROR(IF('3 — Weights'!$E$17=1,PERCENTRANK(X$4:X$91,X52),1-PERCENTRANK(X$4:X$91,X52))*100,"")</f>
        <v>16.100000000000001</v>
      </c>
      <c r="AX52" s="51">
        <f>IFERROR(IF('3 — Weights'!$E$18=1,PERCENTRANK(Y$4:Y$91,Y52),1-PERCENTRANK(Y$4:Y$91,Y52))*100,"")</f>
        <v>60.5</v>
      </c>
      <c r="AY52" s="51">
        <f>IFERROR(IF('3 — Weights'!$E$18=1,PERCENTRANK(Z$4:Z$91,Z52),1-PERCENTRANK(Z$4:Z$91,Z52))*100,"")</f>
        <v>16.100000000000001</v>
      </c>
      <c r="AZ52" s="51">
        <f>IFERROR(IF('3 — Weights'!$E$18=1,PERCENTRANK(AA$4:AA$91,AA52),1-PERCENTRANK(AA$4:AA$91,AA52))*100,"")</f>
        <v>17.500000000000004</v>
      </c>
      <c r="BA52" s="51">
        <f>IFERROR(IF('3 — Weights'!$E$21=1,PERCENTRANK(AB$4:AB$91,AB52),1-PERCENTRANK(AB$4:AB$91,AB52))*100,"")</f>
        <v>79.3</v>
      </c>
      <c r="BB52" s="51">
        <f>IFERROR(IF('3 — Weights'!$E$22=1,PERCENTRANK(AC$4:AC$91,AC52),1-PERCENTRANK(AC$4:AC$91,AC52))*100,"")</f>
        <v>50.5</v>
      </c>
      <c r="BC52" s="51">
        <f>IFERROR(IF('3 — Weights'!$E$23=1,PERCENTRANK(AD$4:AD$91,AD52),1-PERCENTRANK(AD$4:AD$91,AD52))*100,"")</f>
        <v>29.900000000000006</v>
      </c>
      <c r="BD52" s="51">
        <f>IFERROR(IF('3 — Weights'!$E$24=1,PERCENTRANK(AE$4:AE$91,AE52),1-PERCENTRANK(AE$4:AE$91,AE52))*100,"")</f>
        <v>29.900000000000006</v>
      </c>
      <c r="BE52" s="51">
        <f>IFERROR(IF('3 — Weights'!$E$25=1,PERCENTRANK(AF$4:AF$91,AF52),1-PERCENTRANK(AF$4:AF$91,AF52))*100,"")</f>
        <v>28.800000000000004</v>
      </c>
      <c r="BF52" s="52" cm="1">
        <f t="array" ref="BF52">IFERROR(SUMPRODUCT(TRANSPOSE(AH52:BE52), [1]!Table2[Weight
Claude]),"")</f>
        <v>46.914999999999999</v>
      </c>
      <c r="BG52" s="53" cm="1">
        <f t="array" ref="BG52">IFERROR(SUMPRODUCT(TRANSPOSE(AH52:BE52), [1]!Table2[Weight
Cape IMC]),"")</f>
        <v>46.914999999999999</v>
      </c>
    </row>
    <row r="53" spans="1:59" ht="22.5" customHeight="1" x14ac:dyDescent="0.25">
      <c r="A53" s="17">
        <f t="shared" si="0"/>
        <v>50</v>
      </c>
      <c r="B53" s="18" t="s">
        <v>177</v>
      </c>
      <c r="C53" s="18" t="s">
        <v>178</v>
      </c>
      <c r="D53" s="18" t="str">
        <f t="array" ref="D53">IFERROR(_xll.FDS($B53,"FR_RBICS_NAME_CURR(""IND"")"), "")</f>
        <v>Network Infrastructure Software</v>
      </c>
      <c r="E53" s="18" t="str">
        <f t="array" ref="E53">PROPER(IFERROR(_xll.FDS($B53,"P_DCOUNTRY"), ""))</f>
        <v>United States</v>
      </c>
      <c r="F53" s="19">
        <f t="array" ref="F53">IFERROR(_xll.FDS($B53,"FCS_EV_DAILY(MV,NOW,,,USD,M)"), "")</f>
        <v>11544.44432384</v>
      </c>
      <c r="G53" s="19">
        <f t="array" ref="G53">IFERROR(_xll.FDS($B53,"AVG(P_VOLUME_FRQ(-1AM,NOW,D,,6))*P_PRICE_AVG(-1AM,NOW,,USD)"), "")</f>
        <v>243.72831209021601</v>
      </c>
      <c r="H53" s="20">
        <f t="array" ref="H53">IFERROR(_xll.FDS($B53,"OS_SEC_FLT_PCT(0D,,MTD,SEC)")/100, "")</f>
        <v>0.89777399999999996</v>
      </c>
      <c r="I53" s="19">
        <f t="array" ref="I53">IFERROR(_xll.FDS($B53,"FE_ACTUAL(ACTUAL,SALES,ANN_ROLL,0,,,,'CURRENCY=USD')"), "")</f>
        <v>886.54399999999998</v>
      </c>
      <c r="J53" s="19">
        <f t="array" ref="J53">IFERROR(_xll.FDS($B53,"FE_ACTUAL(ACTUAL,EPS,ANN_ROLL,0,,,,'CURRENCY=USD')"), "")</f>
        <v>-1.57</v>
      </c>
      <c r="K53" s="20">
        <f t="array" ref="K53">IFERROR(_xll.FDS($B53,"POW(FE_ESTIMATE(SALES,MEAN,STMA,,NOW,,,'CURRENCY=USD')/FE_ESTIMATE(SALES,MEAN,LTMA,,NOW,,,'CURRENCY=USD'),0.5)-1"), "")</f>
        <v>0.23059619697120801</v>
      </c>
      <c r="L53" s="20" t="str">
        <f t="array" ref="L53">IFERROR(_xll.FDS($B53,"POW(FE_ESTIMATE(EPS,MEAN,STMA,,NOW,,,'CURRENCY=USD')/FE_ESTIMATE(EPS,MEAN,LTMA,,NOW,,,'CURRENCY=USD'),0.5)-1"), "")</f>
        <v/>
      </c>
      <c r="M53" s="21">
        <f t="array" ref="M53">IFERROR(_xll.FDS($B53,"FF_GROSS_MGN(LTM_R,0)"), "")</f>
        <v>79.054610243797697</v>
      </c>
      <c r="N53" s="21">
        <f t="array" ref="N53">IFERROR(_xll.FDS($B53,"FF_EBITDA_OPER_MGN(LTM_R,0)"), "")</f>
        <v>-28.865199685443901</v>
      </c>
      <c r="O53" s="21">
        <f t="array" ref="O53">IFERROR(_xll.FDS($B53,"FF_NET_MGN(LTM_R,0)"), "")</f>
        <v>-31.4849403354652</v>
      </c>
      <c r="P53" s="22" t="str">
        <f t="array" ref="P53">IFERROR(_xll.FDS($B53,"FE_VALUATION(NETDEBT_EBITDA,MEAN,NTMA,,NOW,,,'')"), "")</f>
        <v/>
      </c>
      <c r="Q53" s="23">
        <f t="array" ref="Q53">IFERROR(_xll.FDS($B53,"FE_VALUATION(MCAP_FCF,MEAN,NTMA,,NOW,,,'')"), "")</f>
        <v>2.5383784999999999</v>
      </c>
      <c r="R53" s="23">
        <f t="array" ref="R53">IFERROR(_xll.FDS($B53,"FE_VALUATION(DIV_YLD,MEAN,NTMA,,NOW,,,'')"), "")</f>
        <v>0</v>
      </c>
      <c r="S53" s="21" t="str">
        <f t="array" ref="S53">IFERROR(_xll.FDS($B53,"FE_VALUATION(ROE,MEAN,NTMA,,0,,,'')" ), "")</f>
        <v/>
      </c>
      <c r="T53" s="21" t="str">
        <f t="array" ref="T53">IFERROR(_xll.FDS($B53,"FE_VALUATION(ROIC,MEAN,NTMA,,0,,,'')" ), "")</f>
        <v/>
      </c>
      <c r="U53" s="22">
        <f t="array" ref="U53">IFERROR(((_xll.FDS($B53,"FE_ACTUAL(ACTUAL,SALES,ANN_ROLL,0,,,,'CURRENCY=USD')")/_xll.FDS($B53,"FE_ACTUAL(ACTUAL,SALES,ANN_ROLL,-1,,,,'CURRENCY=USD')")-1)*100)+(_xll.FDS($B53,"FE_VALUATION(EBITDA_MARGIN,MEAN,ANN_ROLL,0,NOW,,,'')")  ), "")</f>
        <v>19.933622539735641</v>
      </c>
      <c r="V53" s="24">
        <f t="array" ref="V53">IFERROR(_xll.FDS($B53,"FE_VALUATION(PE,MEAN,NTMA,,0,,,'')" ), "")</f>
        <v>465.73626999999999</v>
      </c>
      <c r="W53" s="24">
        <f t="array" ref="W53">IFERROR(_xll.FDS($B53,"FE_VALUATION(P_SALESPS,MEAN,NTMA,,0,,,'')" ), "")</f>
        <v>6.3840985000000003</v>
      </c>
      <c r="X53" s="24">
        <f t="array" ref="X53">IFERROR(_xll.FDS($B53,"FE_VALUATION(FFEV_SALES,MEAN,NTMA,,0,,,'')" ), "")</f>
        <v>6.0547899999999997</v>
      </c>
      <c r="Y53" s="24" t="str">
        <f t="array" ref="Y53">IFERROR(_xll.FDS($B53,"FE_VALUATION(FFEV_EBITDA,MEAN,NTMA,,0,,,'')" ), "")</f>
        <v/>
      </c>
      <c r="Z53" s="20">
        <f t="array" ref="Z53">IFERROR(_xll.FDS($B53,"PERCENT_CHANGE(FE_VALUATION(PE,MEAN,NTMA,,0,,,''),MAX(FE_VALUATION(PE,MEAN,NTMA,,-1AY,0,,'')))")/100,"")</f>
        <v>-0.91885594185234398</v>
      </c>
      <c r="AA53" s="20" t="str">
        <f t="array" ref="AA53">IFERROR(_xll.FDS($B53,"PERCENT_CHANGE(FE_VALUATION(FFEV_EBITDA,MEAN,NTMA,,0,,,''),MAX(FE_VALUATION(FFEV_EBITDA,MEAN,NTMA,,-1AY,0,,'')))")/100,"")</f>
        <v/>
      </c>
      <c r="AB53" s="20">
        <f t="array" ref="AB53">IFERROR(_xll.FDS($B53,"FG_PRICE(0,,,USD)/P_PRICE_HIGH(-1AY,0,USD,,,""PRICE"",""INTRA"")")-1, "")</f>
        <v>-0.50446601941747593</v>
      </c>
      <c r="AC53" s="20">
        <f t="array" ref="AC53">IFERROR(_xll.FDS($B53,"RTP_PRICE_TARGET(USD)/FG_PRICE(0,,,USD)")-1, "")</f>
        <v>1.0461360501567398</v>
      </c>
      <c r="AD53" s="25">
        <f t="array" ref="AD53">IFERROR(_xll.FDS($B53,"FG_PRICE(0,,,USD)/FG_PRICE_MAVG(0,,,USD,50)")-1, "")</f>
        <v>-0.22678382063323699</v>
      </c>
      <c r="AE53" s="25">
        <f t="array" ref="AE53">IFERROR(_xll.FDS($B53,"FG_PRICE(0,,,USD)/FG_PRICE_MAVG(0,,,USD,100)")-1, "")</f>
        <v>-0.28193382648797605</v>
      </c>
      <c r="AF53" s="25">
        <f t="array" ref="AF53">IFERROR(_xll.FDS($B53,"FG_PRICE(0,,,USD)/FG_PRICE_MAVG(0,,,USD,200)")-1, "")</f>
        <v>-0.35562145790645106</v>
      </c>
      <c r="AG53" s="26" t="str">
        <f t="array" ref="AG53">IFERROR(_xll.FDS($B53,"FE_RATING(MEAN,TEXTONLY,0,NOW,,,'')"), "")</f>
        <v>Buy</v>
      </c>
      <c r="AH53" s="50">
        <f>IFERROR(IF('3 — Weights'!$E$2=1,PERCENTRANK(I$4:I$91,I53),1-PERCENTRANK(I$4:I$91,I53))*100,"")</f>
        <v>28.7</v>
      </c>
      <c r="AI53" s="51">
        <f>IFERROR(IF('3 — Weights'!$E$3=1,PERCENTRANK(J$4:J$91,J53),1-PERCENTRANK(J$4:J$91,J53))*100,"")</f>
        <v>0</v>
      </c>
      <c r="AJ53" s="51">
        <f>IFERROR(IF('3 — Weights'!$E$4=1,PERCENTRANK(K$4:K$91,K53),1-PERCENTRANK(K$4:K$91,K53))*100,"")</f>
        <v>90.8</v>
      </c>
      <c r="AK53" s="51" t="str">
        <f>IFERROR(IF('3 — Weights'!$E$5=1,PERCENTRANK(L$4:L$91,L53),1-PERCENTRANK(L$4:L$91,L53))*100,"")</f>
        <v/>
      </c>
      <c r="AL53" s="51">
        <f>IFERROR(IF('3 — Weights'!$E$6=1,PERCENTRANK(M$4:M$91,M53),1-PERCENTRANK(M$4:M$91,M53))*100,"")</f>
        <v>79.2</v>
      </c>
      <c r="AM53" s="51">
        <f>IFERROR(IF('3 — Weights'!$E$7=1,PERCENTRANK(N$4:N$91,N53),1-PERCENTRANK(N$4:N$91,N53))*100,"")</f>
        <v>0</v>
      </c>
      <c r="AN53" s="51">
        <f>IFERROR(IF('3 — Weights'!$E$8=1,PERCENTRANK(O$4:O$91,O53),1-PERCENTRANK(O$4:O$91,O53))*100,"")</f>
        <v>2.4</v>
      </c>
      <c r="AO53" s="51" t="str">
        <f>IFERROR(IF('3 — Weights'!$E$9=1,PERCENTRANK(P$4:P$91,P53),1-PERCENTRANK(P$4:P$91,P53))*100,"")</f>
        <v/>
      </c>
      <c r="AP53" s="51">
        <f>IFERROR(IF('3 — Weights'!$E$10=1,PERCENTRANK(Q$4:Q$91,Q53),1-PERCENTRANK(Q$4:Q$91,Q53))*100,"")</f>
        <v>15.4</v>
      </c>
      <c r="AQ53" s="51">
        <f>IFERROR(IF('3 — Weights'!$E$11=1,PERCENTRANK(R$4:R$91,R53),1-PERCENTRANK(R$4:R$91,R53))*100,"")</f>
        <v>0</v>
      </c>
      <c r="AR53" s="51" t="str">
        <f>IFERROR(IF('3 — Weights'!$E$12=1,PERCENTRANK(S$4:S$91,S53),1-PERCENTRANK(S$4:S$91,S53))*100,"")</f>
        <v/>
      </c>
      <c r="AS53" s="51" t="str">
        <f>IFERROR(IF('3 — Weights'!$E$13=1,PERCENTRANK(T$4:T$91,T53),1-PERCENTRANK(T$4:T$91,T53))*100,"")</f>
        <v/>
      </c>
      <c r="AT53" s="51">
        <f>IFERROR(IF('3 — Weights'!$E$14=1,PERCENTRANK(U$4:U$91,U53),1-PERCENTRANK(U$4:U$91,U53))*100,"")</f>
        <v>4.8</v>
      </c>
      <c r="AU53" s="51">
        <f>IFERROR(IF('3 — Weights'!$E$15=1,PERCENTRANK(V$4:V$91,V53),1-PERCENTRANK(V$4:V$91,V53))*100,"")</f>
        <v>2.300000000000002</v>
      </c>
      <c r="AV53" s="51">
        <f>IFERROR(IF('3 — Weights'!$E$16=1,PERCENTRANK(W$4:W$91,W53),1-PERCENTRANK(W$4:W$91,W53))*100,"")</f>
        <v>32.199999999999996</v>
      </c>
      <c r="AW53" s="51">
        <f>IFERROR(IF('3 — Weights'!$E$17=1,PERCENTRANK(X$4:X$91,X53),1-PERCENTRANK(X$4:X$91,X53))*100,"")</f>
        <v>35.699999999999996</v>
      </c>
      <c r="AX53" s="51" t="str">
        <f>IFERROR(IF('3 — Weights'!$E$18=1,PERCENTRANK(Y$4:Y$91,Y53),1-PERCENTRANK(Y$4:Y$91,Y53))*100,"")</f>
        <v/>
      </c>
      <c r="AY53" s="51">
        <f>IFERROR(IF('3 — Weights'!$E$18=1,PERCENTRANK(Z$4:Z$91,Z53),1-PERCENTRANK(Z$4:Z$91,Z53))*100,"")</f>
        <v>98.9</v>
      </c>
      <c r="AZ53" s="51" t="str">
        <f>IFERROR(IF('3 — Weights'!$E$18=1,PERCENTRANK(AA$4:AA$91,AA53),1-PERCENTRANK(AA$4:AA$91,AA53))*100,"")</f>
        <v/>
      </c>
      <c r="BA53" s="51">
        <f>IFERROR(IF('3 — Weights'!$E$21=1,PERCENTRANK(AB$4:AB$91,AB53),1-PERCENTRANK(AB$4:AB$91,AB53))*100,"")</f>
        <v>32.1</v>
      </c>
      <c r="BB53" s="51">
        <f>IFERROR(IF('3 — Weights'!$E$22=1,PERCENTRANK(AC$4:AC$91,AC53),1-PERCENTRANK(AC$4:AC$91,AC53))*100,"")</f>
        <v>94.199999999999989</v>
      </c>
      <c r="BC53" s="51">
        <f>IFERROR(IF('3 — Weights'!$E$23=1,PERCENTRANK(AD$4:AD$91,AD53),1-PERCENTRANK(AD$4:AD$91,AD53))*100,"")</f>
        <v>72.5</v>
      </c>
      <c r="BD53" s="51">
        <f>IFERROR(IF('3 — Weights'!$E$24=1,PERCENTRANK(AE$4:AE$91,AE53),1-PERCENTRANK(AE$4:AE$91,AE53))*100,"")</f>
        <v>66.7</v>
      </c>
      <c r="BE53" s="51">
        <f>IFERROR(IF('3 — Weights'!$E$25=1,PERCENTRANK(AF$4:AF$91,AF53),1-PERCENTRANK(AF$4:AF$91,AF53))*100,"")</f>
        <v>72.5</v>
      </c>
      <c r="BF53" s="52" cm="1">
        <f t="array" ref="BF53">IFERROR(SUMPRODUCT(TRANSPOSE(AH53:BE53), [1]!Table2[Weight
Claude]),"")</f>
        <v>46.35</v>
      </c>
      <c r="BG53" s="53" cm="1">
        <f t="array" ref="BG53">IFERROR(SUMPRODUCT(TRANSPOSE(AH53:BE53), [1]!Table2[Weight
Cape IMC]),"")</f>
        <v>46.35</v>
      </c>
    </row>
    <row r="54" spans="1:59" ht="22.5" customHeight="1" x14ac:dyDescent="0.25">
      <c r="A54" s="17">
        <f t="shared" si="0"/>
        <v>46</v>
      </c>
      <c r="B54" s="18" t="s">
        <v>179</v>
      </c>
      <c r="C54" s="18" t="s">
        <v>180</v>
      </c>
      <c r="D54" s="18" t="str">
        <f t="array" ref="D54">IFERROR(_xll.FDS($B54,"FR_RBICS_NAME_CURR(""IND"")"), "")</f>
        <v>Finance Industry Software</v>
      </c>
      <c r="E54" s="18" t="str">
        <f t="array" ref="E54">PROPER(IFERROR(_xll.FDS($B54,"P_DCOUNTRY"), ""))</f>
        <v>China</v>
      </c>
      <c r="F54" s="19">
        <f t="array" ref="F54">IFERROR(_xll.FDS($B54,"FCS_EV_DAILY(MV,NOW,,,USD,M)"), "")</f>
        <v>25700.5433203352</v>
      </c>
      <c r="G54" s="19">
        <f t="array" ref="G54">IFERROR(_xll.FDS($B54,"AVG(P_VOLUME_FRQ(-1AM,NOW,D,,6))*P_PRICE_AVG(-1AM,NOW,,USD)"), "")</f>
        <v>444.156843472265</v>
      </c>
      <c r="H54" s="20">
        <f t="array" ref="H54">IFERROR(_xll.FDS($B54,"OS_SEC_FLT_PCT(0D,,MTD,SEC)")/100, "")</f>
        <v>0.66355599999999992</v>
      </c>
      <c r="I54" s="19">
        <f t="array" ref="I54">IFERROR(_xll.FDS($B54,"FE_ACTUAL(ACTUAL,SALES,ANN_ROLL,0,,,,'CURRENCY=USD')"), "")</f>
        <v>576.40814</v>
      </c>
      <c r="J54" s="19">
        <f t="array" ref="J54">IFERROR(_xll.FDS($B54,"FE_ACTUAL(ACTUAL,EPS,ANN_ROLL,0,,,,'CURRENCY=USD')"), "")</f>
        <v>0.46668825000000003</v>
      </c>
      <c r="K54" s="20">
        <f t="array" ref="K54">IFERROR(_xll.FDS($B54,"POW(FE_ESTIMATE(SALES,MEAN,STMA,,NOW,,,'CURRENCY=USD')/FE_ESTIMATE(SALES,MEAN,LTMA,,NOW,,,'CURRENCY=USD'),0.5)-1"), "")</f>
        <v>0.158193593489448</v>
      </c>
      <c r="L54" s="20">
        <f t="array" ref="L54">IFERROR(_xll.FDS($B54,"POW(FE_ESTIMATE(EPS,MEAN,STMA,,NOW,,,'CURRENCY=USD')/FE_ESTIMATE(EPS,MEAN,LTMA,,NOW,,,'CURRENCY=USD'),0.5)-1"), "")</f>
        <v>0.17871281489597801</v>
      </c>
      <c r="M54" s="21">
        <f t="array" ref="M54">IFERROR(_xll.FDS($B54,"FF_GROSS_MGN(LTM_R,0)"), "")</f>
        <v>90.875946613770395</v>
      </c>
      <c r="N54" s="21" t="str">
        <f t="array" ref="N54">IFERROR(_xll.FDS($B54,"FF_EBITDA_OPER_MGN(LTM_R,0)"), "")</f>
        <v/>
      </c>
      <c r="O54" s="21">
        <f t="array" ref="O54">IFERROR(_xll.FDS($B54,"FF_NET_MGN(LTM_R,0)"), "")</f>
        <v>46.519329924944302</v>
      </c>
      <c r="P54" s="22">
        <f t="array" ref="P54">IFERROR(_xll.FDS($B54,"FE_VALUATION(NETDEBT_EBITDA,MEAN,NTMA,,NOW,,,'')"), "")</f>
        <v>-2.8413167000000001</v>
      </c>
      <c r="Q54" s="23" t="str">
        <f t="array" ref="Q54">IFERROR(_xll.FDS($B54,"FE_VALUATION(MCAP_FCF,MEAN,NTMA,,NOW,,,'')"), "")</f>
        <v/>
      </c>
      <c r="R54" s="23">
        <f t="array" ref="R54">IFERROR(_xll.FDS($B54,"FE_VALUATION(DIV_YLD,MEAN,NTMA,,NOW,,,'')"), "")</f>
        <v>2.0138384999999999</v>
      </c>
      <c r="S54" s="21">
        <f t="array" ref="S54">IFERROR(_xll.FDS($B54,"FE_VALUATION(ROE,MEAN,NTMA,,0,,,'')" ), "")</f>
        <v>30.327235999999999</v>
      </c>
      <c r="T54" s="21" t="str">
        <f t="array" ref="T54">IFERROR(_xll.FDS($B54,"FE_VALUATION(ROIC,MEAN,NTMA,,0,,,'')" ), "")</f>
        <v/>
      </c>
      <c r="U54" s="22">
        <f t="array" ref="U54">IFERROR(((_xll.FDS($B54,"FE_ACTUAL(ACTUAL,SALES,ANN_ROLL,0,,,,'CURRENCY=USD')")/_xll.FDS($B54,"FE_ACTUAL(ACTUAL,SALES,ANN_ROLL,-1,,,,'CURRENCY=USD')")-1)*100)+(_xll.FDS($B54,"FE_VALUATION(EBITDA_MARGIN,MEAN,ANN_ROLL,0,NOW,,,'')")  ), "")</f>
        <v>59.476335879933742</v>
      </c>
      <c r="V54" s="24">
        <f t="array" ref="V54">IFERROR(_xll.FDS($B54,"FE_VALUATION(PE,MEAN,NTMA,,0,,,'')" ), "")</f>
        <v>48.633335000000002</v>
      </c>
      <c r="W54" s="24">
        <f t="array" ref="W54">IFERROR(_xll.FDS($B54,"FE_VALUATION(P_SALESPS,MEAN,NTMA,,0,,,'')" ), "")</f>
        <v>24.891254</v>
      </c>
      <c r="X54" s="24">
        <f t="array" ref="X54">IFERROR(_xll.FDS($B54,"FE_VALUATION(FFEV_SALES,MEAN,NTMA,,0,,,'')" ), "")</f>
        <v>23.52065</v>
      </c>
      <c r="Y54" s="24">
        <f t="array" ref="Y54">IFERROR(_xll.FDS($B54,"FE_VALUATION(FFEV_EBITDA,MEAN,NTMA,,0,,,'')" ), "")</f>
        <v>46.287050000000001</v>
      </c>
      <c r="Z54" s="20">
        <f t="array" ref="Z54">IFERROR(_xll.FDS($B54,"PERCENT_CHANGE(FE_VALUATION(PE,MEAN,NTMA,,0,,,''),MAX(FE_VALUATION(PE,MEAN,NTMA,,-1AY,0,,'')))")/100,"")</f>
        <v>-0.48779809781069</v>
      </c>
      <c r="AA54" s="20">
        <f t="array" ref="AA54">IFERROR(_xll.FDS($B54,"PERCENT_CHANGE(FE_VALUATION(FFEV_EBITDA,MEAN,NTMA,,0,,,''),MAX(FE_VALUATION(FFEV_EBITDA,MEAN,NTMA,,-1AY,0,,'')))")/100,"")</f>
        <v>-0.57141648148931801</v>
      </c>
      <c r="AB54" s="20">
        <f t="array" ref="AB54">IFERROR(_xll.FDS($B54,"FG_PRICE(0,,,USD)/P_PRICE_HIGH(-1AY,0,USD,,,""PRICE"",""INTRA"")")-1, "")</f>
        <v>-0.233624695312318</v>
      </c>
      <c r="AC54" s="20">
        <f t="array" ref="AC54">IFERROR(_xll.FDS($B54,"RTP_PRICE_TARGET(USD)/FG_PRICE(0,,,USD)")-1, "")</f>
        <v>0.1545592850447699</v>
      </c>
      <c r="AD54" s="25">
        <f t="array" ref="AD54">IFERROR(_xll.FDS($B54,"FG_PRICE(0,,,USD)/FG_PRICE_MAVG(0,,,USD,50)")-1, "")</f>
        <v>-2.7864218415648012E-2</v>
      </c>
      <c r="AE54" s="25">
        <f t="array" ref="AE54">IFERROR(_xll.FDS($B54,"FG_PRICE(0,,,USD)/FG_PRICE_MAVG(0,,,USD,100)")-1, "")</f>
        <v>-2.5798193839098982E-2</v>
      </c>
      <c r="AF54" s="25">
        <f t="array" ref="AF54">IFERROR(_xll.FDS($B54,"FG_PRICE(0,,,USD)/FG_PRICE_MAVG(0,,,USD,200)")-1, "")</f>
        <v>5.7928528253750056E-2</v>
      </c>
      <c r="AG54" s="26" t="str">
        <f t="array" ref="AG54">IFERROR(_xll.FDS($B54,"FE_RATING(MEAN,TEXTONLY,0,NOW,,,'')"), "")</f>
        <v>Buy</v>
      </c>
      <c r="AH54" s="50">
        <f>IFERROR(IF('3 — Weights'!$E$2=1,PERCENTRANK(I$4:I$91,I54),1-PERCENTRANK(I$4:I$91,I54))*100,"")</f>
        <v>9.1</v>
      </c>
      <c r="AI54" s="51">
        <f>IFERROR(IF('3 — Weights'!$E$3=1,PERCENTRANK(J$4:J$91,J54),1-PERCENTRANK(J$4:J$91,J54))*100,"")</f>
        <v>19.5</v>
      </c>
      <c r="AJ54" s="51">
        <f>IFERROR(IF('3 — Weights'!$E$4=1,PERCENTRANK(K$4:K$91,K54),1-PERCENTRANK(K$4:K$91,K54))*100,"")</f>
        <v>60.9</v>
      </c>
      <c r="AK54" s="51">
        <f>IFERROR(IF('3 — Weights'!$E$5=1,PERCENTRANK(L$4:L$91,L54),1-PERCENTRANK(L$4:L$91,L54))*100,"")</f>
        <v>55.900000000000006</v>
      </c>
      <c r="AL54" s="51">
        <f>IFERROR(IF('3 — Weights'!$E$6=1,PERCENTRANK(M$4:M$91,M54),1-PERCENTRANK(M$4:M$91,M54))*100,"")</f>
        <v>98.7</v>
      </c>
      <c r="AM54" s="51" t="str">
        <f>IFERROR(IF('3 — Weights'!$E$7=1,PERCENTRANK(N$4:N$91,N54),1-PERCENTRANK(N$4:N$91,N54))*100,"")</f>
        <v/>
      </c>
      <c r="AN54" s="51">
        <f>IFERROR(IF('3 — Weights'!$E$8=1,PERCENTRANK(O$4:O$91,O54),1-PERCENTRANK(O$4:O$91,O54))*100,"")</f>
        <v>96.3</v>
      </c>
      <c r="AO54" s="51">
        <f>IFERROR(IF('3 — Weights'!$E$9=1,PERCENTRANK(P$4:P$91,P54),1-PERCENTRANK(P$4:P$91,P54))*100,"")</f>
        <v>79.600000000000009</v>
      </c>
      <c r="AP54" s="51" t="str">
        <f>IFERROR(IF('3 — Weights'!$E$10=1,PERCENTRANK(Q$4:Q$91,Q54),1-PERCENTRANK(Q$4:Q$91,Q54))*100,"")</f>
        <v/>
      </c>
      <c r="AQ54" s="51">
        <f>IFERROR(IF('3 — Weights'!$E$11=1,PERCENTRANK(R$4:R$91,R54),1-PERCENTRANK(R$4:R$91,R54))*100,"")</f>
        <v>93.5</v>
      </c>
      <c r="AR54" s="51">
        <f>IFERROR(IF('3 — Weights'!$E$12=1,PERCENTRANK(S$4:S$91,S54),1-PERCENTRANK(S$4:S$91,S54))*100,"")</f>
        <v>79</v>
      </c>
      <c r="AS54" s="51" t="str">
        <f>IFERROR(IF('3 — Weights'!$E$13=1,PERCENTRANK(T$4:T$91,T54),1-PERCENTRANK(T$4:T$91,T54))*100,"")</f>
        <v/>
      </c>
      <c r="AT54" s="51">
        <f>IFERROR(IF('3 — Weights'!$E$14=1,PERCENTRANK(U$4:U$91,U54),1-PERCENTRANK(U$4:U$91,U54))*100,"")</f>
        <v>82.899999999999991</v>
      </c>
      <c r="AU54" s="51">
        <f>IFERROR(IF('3 — Weights'!$E$15=1,PERCENTRANK(V$4:V$91,V54),1-PERCENTRANK(V$4:V$91,V54))*100,"")</f>
        <v>16.100000000000001</v>
      </c>
      <c r="AV54" s="51">
        <f>IFERROR(IF('3 — Weights'!$E$16=1,PERCENTRANK(W$4:W$91,W54),1-PERCENTRANK(W$4:W$91,W54))*100,"")</f>
        <v>3.5000000000000031</v>
      </c>
      <c r="AW54" s="51">
        <f>IFERROR(IF('3 — Weights'!$E$17=1,PERCENTRANK(X$4:X$91,X54),1-PERCENTRANK(X$4:X$91,X54))*100,"")</f>
        <v>3.5000000000000031</v>
      </c>
      <c r="AX54" s="51">
        <f>IFERROR(IF('3 — Weights'!$E$18=1,PERCENTRANK(Y$4:Y$91,Y54),1-PERCENTRANK(Y$4:Y$91,Y54))*100,"")</f>
        <v>9.3999999999999968</v>
      </c>
      <c r="AY54" s="51">
        <f>IFERROR(IF('3 — Weights'!$E$18=1,PERCENTRANK(Z$4:Z$91,Z54),1-PERCENTRANK(Z$4:Z$91,Z54))*100,"")</f>
        <v>43.7</v>
      </c>
      <c r="AZ54" s="51">
        <f>IFERROR(IF('3 — Weights'!$E$18=1,PERCENTRANK(AA$4:AA$91,AA54),1-PERCENTRANK(AA$4:AA$91,AA54))*100,"")</f>
        <v>67.5</v>
      </c>
      <c r="BA54" s="51">
        <f>IFERROR(IF('3 — Weights'!$E$21=1,PERCENTRANK(AB$4:AB$91,AB54),1-PERCENTRANK(AB$4:AB$91,AB54))*100,"")</f>
        <v>90.8</v>
      </c>
      <c r="BB54" s="51">
        <f>IFERROR(IF('3 — Weights'!$E$22=1,PERCENTRANK(AC$4:AC$91,AC54),1-PERCENTRANK(AC$4:AC$91,AC54))*100,"")</f>
        <v>5.7</v>
      </c>
      <c r="BC54" s="51">
        <f>IFERROR(IF('3 — Weights'!$E$23=1,PERCENTRANK(AD$4:AD$91,AD54),1-PERCENTRANK(AD$4:AD$91,AD54))*100,"")</f>
        <v>10.399999999999999</v>
      </c>
      <c r="BD54" s="51">
        <f>IFERROR(IF('3 — Weights'!$E$24=1,PERCENTRANK(AE$4:AE$91,AE54),1-PERCENTRANK(AE$4:AE$91,AE54))*100,"")</f>
        <v>9.1999999999999975</v>
      </c>
      <c r="BE54" s="51">
        <f>IFERROR(IF('3 — Weights'!$E$25=1,PERCENTRANK(AF$4:AF$91,AF54),1-PERCENTRANK(AF$4:AF$91,AF54))*100,"")</f>
        <v>5.8000000000000052</v>
      </c>
      <c r="BF54" s="52" cm="1">
        <f t="array" ref="BF54">IFERROR(SUMPRODUCT(TRANSPOSE(AH54:BE54), [1]!Table2[Weight
Claude]),"")</f>
        <v>48.135000000000005</v>
      </c>
      <c r="BG54" s="53" cm="1">
        <f t="array" ref="BG54">IFERROR(SUMPRODUCT(TRANSPOSE(AH54:BE54), [1]!Table2[Weight
Cape IMC]),"")</f>
        <v>48.135000000000005</v>
      </c>
    </row>
    <row r="55" spans="1:59" ht="22.5" customHeight="1" x14ac:dyDescent="0.25">
      <c r="A55" s="17">
        <f t="shared" si="0"/>
        <v>51</v>
      </c>
      <c r="B55" s="18" t="s">
        <v>181</v>
      </c>
      <c r="C55" s="18" t="s">
        <v>182</v>
      </c>
      <c r="D55" s="18" t="str">
        <f t="array" ref="D55">IFERROR(_xll.FDS($B55,"FR_RBICS_NAME_CURR(""IND"")"), "")</f>
        <v>Finance Industry Software</v>
      </c>
      <c r="E55" s="18" t="str">
        <f t="array" ref="E55">PROPER(IFERROR(_xll.FDS($B55,"P_DCOUNTRY"), ""))</f>
        <v>United States</v>
      </c>
      <c r="F55" s="19">
        <f t="array" ref="F55">IFERROR(_xll.FDS($B55,"FCS_EV_DAILY(MV,NOW,,,USD,M)"), "")</f>
        <v>1748.3377313399999</v>
      </c>
      <c r="G55" s="19">
        <f t="array" ref="G55">IFERROR(_xll.FDS($B55,"AVG(P_VOLUME_FRQ(-1AM,NOW,D,,6))*P_PRICE_AVG(-1AM,NOW,,USD)"), "")</f>
        <v>39.263249129041398</v>
      </c>
      <c r="H55" s="20">
        <f t="array" ref="H55">IFERROR(_xll.FDS($B55,"OS_SEC_FLT_PCT(0D,,MTD,SEC)")/100, "")</f>
        <v>0.634073</v>
      </c>
      <c r="I55" s="19">
        <f t="array" ref="I55">IFERROR(_xll.FDS($B55,"FE_ACTUAL(ACTUAL,SALES,ANN_ROLL,0,,,,'CURRENCY=USD')"), "")</f>
        <v>333.84899999999999</v>
      </c>
      <c r="J55" s="19">
        <f t="array" ref="J55">IFERROR(_xll.FDS($B55,"FE_ACTUAL(ACTUAL,EPS,ANN_ROLL,0,,,,'CURRENCY=USD')"), "")</f>
        <v>0.20963100000000001</v>
      </c>
      <c r="K55" s="20">
        <f t="array" ref="K55">IFERROR(_xll.FDS($B55,"POW(FE_ESTIMATE(SALES,MEAN,STMA,,NOW,,,'CURRENCY=USD')/FE_ESTIMATE(SALES,MEAN,LTMA,,NOW,,,'CURRENCY=USD'),0.5)-1"), "")</f>
        <v>0.19515250072950899</v>
      </c>
      <c r="L55" s="20">
        <f t="array" ref="L55">IFERROR(_xll.FDS($B55,"POW(FE_ESTIMATE(EPS,MEAN,STMA,,NOW,,,'CURRENCY=USD')/FE_ESTIMATE(EPS,MEAN,LTMA,,NOW,,,'CURRENCY=USD'),0.5)-1"), "")</f>
        <v>0.51482157365149805</v>
      </c>
      <c r="M55" s="21">
        <f t="array" ref="M55">IFERROR(_xll.FDS($B55,"FF_GROSS_MGN(LTM_R,0)"), "")</f>
        <v>57.306110971045101</v>
      </c>
      <c r="N55" s="21">
        <f t="array" ref="N55">IFERROR(_xll.FDS($B55,"FF_EBITDA_OPER_MGN(LTM_R,0)"), "")</f>
        <v>-6.3560595776040998</v>
      </c>
      <c r="O55" s="21">
        <f t="array" ref="O55">IFERROR(_xll.FDS($B55,"FF_NET_MGN(LTM_R,0)"), "")</f>
        <v>-10.6311696371429</v>
      </c>
      <c r="P55" s="22">
        <f t="array" ref="P55">IFERROR(_xll.FDS($B55,"FE_VALUATION(NETDEBT_EBITDA,MEAN,NTMA,,NOW,,,'')"), "")</f>
        <v>1.5264726</v>
      </c>
      <c r="Q55" s="23">
        <f t="array" ref="Q55">IFERROR(_xll.FDS($B55,"FE_VALUATION(MCAP_FCF,MEAN,NTMA,,NOW,,,'')"), "")</f>
        <v>4.7525579999999996</v>
      </c>
      <c r="R55" s="23">
        <f t="array" ref="R55">IFERROR(_xll.FDS($B55,"FE_VALUATION(DIV_YLD,MEAN,NTMA,,NOW,,,'')"), "")</f>
        <v>0</v>
      </c>
      <c r="S55" s="21">
        <f t="array" ref="S55">IFERROR(_xll.FDS($B55,"FE_VALUATION(ROE,MEAN,NTMA,,0,,,'')" ), "")</f>
        <v>23.886769999999999</v>
      </c>
      <c r="T55" s="21">
        <f t="array" ref="T55">IFERROR(_xll.FDS($B55,"FE_VALUATION(ROIC,MEAN,NTMA,,0,,,'')" ), "")</f>
        <v>13.126903</v>
      </c>
      <c r="U55" s="22">
        <f t="array" ref="U55">IFERROR(((_xll.FDS($B55,"FE_ACTUAL(ACTUAL,SALES,ANN_ROLL,0,,,,'CURRENCY=USD')")/_xll.FDS($B55,"FE_ACTUAL(ACTUAL,SALES,ANN_ROLL,-1,,,,'CURRENCY=USD')")-1)*100)+(_xll.FDS($B55,"FE_VALUATION(EBITDA_MARGIN,MEAN,ANN_ROLL,0,NOW,,,'')")  ), "")</f>
        <v>34.104006430508505</v>
      </c>
      <c r="V55" s="24">
        <f t="array" ref="V55">IFERROR(_xll.FDS($B55,"FE_VALUATION(PE,MEAN,NTMA,,0,,,'')" ), "")</f>
        <v>15.938423</v>
      </c>
      <c r="W55" s="24">
        <f t="array" ref="W55">IFERROR(_xll.FDS($B55,"FE_VALUATION(P_SALESPS,MEAN,NTMA,,0,,,'')" ), "")</f>
        <v>2.9051914000000001</v>
      </c>
      <c r="X55" s="24">
        <f t="array" ref="X55">IFERROR(_xll.FDS($B55,"FE_VALUATION(FFEV_SALES,MEAN,NTMA,,0,,,'')" ), "")</f>
        <v>3.3969187999999999</v>
      </c>
      <c r="Y55" s="24">
        <f t="array" ref="Y55">IFERROR(_xll.FDS($B55,"FE_VALUATION(FFEV_EBITDA,MEAN,NTMA,,0,,,'')" ), "")</f>
        <v>17.149117</v>
      </c>
      <c r="Z55" s="20">
        <f t="array" ref="Z55">IFERROR(_xll.FDS($B55,"PERCENT_CHANGE(FE_VALUATION(PE,MEAN,NTMA,,0,,,''),MAX(FE_VALUATION(PE,MEAN,NTMA,,-1AY,0,,'')))")/100,"")</f>
        <v>-0.75609573843628697</v>
      </c>
      <c r="AA55" s="20">
        <f t="array" ref="AA55">IFERROR(_xll.FDS($B55,"PERCENT_CHANGE(FE_VALUATION(FFEV_EBITDA,MEAN,NTMA,,0,,,''),MAX(FE_VALUATION(FFEV_EBITDA,MEAN,NTMA,,-1AY,0,,'')))")/100,"")</f>
        <v>-0.65699920655731303</v>
      </c>
      <c r="AB55" s="20">
        <f t="array" ref="AB55">IFERROR(_xll.FDS($B55,"FG_PRICE(0,,,USD)/P_PRICE_HIGH(-1AY,0,USD,,,""PRICE"",""INTRA"")")-1, "")</f>
        <v>-0.50726468730259</v>
      </c>
      <c r="AC55" s="20">
        <f t="array" ref="AC55">IFERROR(_xll.FDS($B55,"RTP_PRICE_TARGET(USD)/FG_PRICE(0,,,USD)")-1, "")</f>
        <v>0.93019935897436001</v>
      </c>
      <c r="AD55" s="25">
        <f t="array" ref="AD55">IFERROR(_xll.FDS($B55,"FG_PRICE(0,,,USD)/FG_PRICE_MAVG(0,,,USD,50)")-1, "")</f>
        <v>-0.23612913334932895</v>
      </c>
      <c r="AE55" s="25">
        <f t="array" ref="AE55">IFERROR(_xll.FDS($B55,"FG_PRICE(0,,,USD)/FG_PRICE_MAVG(0,,,USD,100)")-1, "")</f>
        <v>-0.26235380065111502</v>
      </c>
      <c r="AF55" s="25">
        <f t="array" ref="AF55">IFERROR(_xll.FDS($B55,"FG_PRICE(0,,,USD)/FG_PRICE_MAVG(0,,,USD,200)")-1, "")</f>
        <v>-0.35113281396229101</v>
      </c>
      <c r="AG55" s="26" t="str">
        <f t="array" ref="AG55">IFERROR(_xll.FDS($B55,"FE_RATING(MEAN,TEXTONLY,0,NOW,,,'')"), "")</f>
        <v>Buy</v>
      </c>
      <c r="AH55" s="50">
        <f>IFERROR(IF('3 — Weights'!$E$2=1,PERCENTRANK(I$4:I$91,I55),1-PERCENTRANK(I$4:I$91,I55))*100,"")</f>
        <v>3.4000000000000004</v>
      </c>
      <c r="AI55" s="51">
        <f>IFERROR(IF('3 — Weights'!$E$3=1,PERCENTRANK(J$4:J$91,J55),1-PERCENTRANK(J$4:J$91,J55))*100,"")</f>
        <v>12.6</v>
      </c>
      <c r="AJ55" s="51">
        <f>IFERROR(IF('3 — Weights'!$E$4=1,PERCENTRANK(K$4:K$91,K55),1-PERCENTRANK(K$4:K$91,K55))*100,"")</f>
        <v>82.699999999999989</v>
      </c>
      <c r="AK55" s="51">
        <f>IFERROR(IF('3 — Weights'!$E$5=1,PERCENTRANK(L$4:L$91,L55),1-PERCENTRANK(L$4:L$91,L55))*100,"")</f>
        <v>94</v>
      </c>
      <c r="AL55" s="51">
        <f>IFERROR(IF('3 — Weights'!$E$6=1,PERCENTRANK(M$4:M$91,M55),1-PERCENTRANK(M$4:M$91,M55))*100,"")</f>
        <v>18.2</v>
      </c>
      <c r="AM55" s="51">
        <f>IFERROR(IF('3 — Weights'!$E$7=1,PERCENTRANK(N$4:N$91,N55),1-PERCENTRANK(N$4:N$91,N55))*100,"")</f>
        <v>10.299999999999999</v>
      </c>
      <c r="AN55" s="51">
        <f>IFERROR(IF('3 — Weights'!$E$8=1,PERCENTRANK(O$4:O$91,O55),1-PERCENTRANK(O$4:O$91,O55))*100,"")</f>
        <v>12</v>
      </c>
      <c r="AO55" s="51">
        <f>IFERROR(IF('3 — Weights'!$E$9=1,PERCENTRANK(P$4:P$91,P55),1-PERCENTRANK(P$4:P$91,P55))*100,"")</f>
        <v>12.1</v>
      </c>
      <c r="AP55" s="51">
        <f>IFERROR(IF('3 — Weights'!$E$10=1,PERCENTRANK(Q$4:Q$91,Q55),1-PERCENTRANK(Q$4:Q$91,Q55))*100,"")</f>
        <v>45.2</v>
      </c>
      <c r="AQ55" s="51">
        <f>IFERROR(IF('3 — Weights'!$E$11=1,PERCENTRANK(R$4:R$91,R55),1-PERCENTRANK(R$4:R$91,R55))*100,"")</f>
        <v>0</v>
      </c>
      <c r="AR55" s="51">
        <f>IFERROR(IF('3 — Weights'!$E$12=1,PERCENTRANK(S$4:S$91,S55),1-PERCENTRANK(S$4:S$91,S55))*100,"")</f>
        <v>57.999999999999993</v>
      </c>
      <c r="AS55" s="51">
        <f>IFERROR(IF('3 — Weights'!$E$13=1,PERCENTRANK(T$4:T$91,T55),1-PERCENTRANK(T$4:T$91,T55))*100,"")</f>
        <v>33.300000000000004</v>
      </c>
      <c r="AT55" s="51">
        <f>IFERROR(IF('3 — Weights'!$E$14=1,PERCENTRANK(U$4:U$91,U55),1-PERCENTRANK(U$4:U$91,U55))*100,"")</f>
        <v>19.5</v>
      </c>
      <c r="AU55" s="51">
        <f>IFERROR(IF('3 — Weights'!$E$15=1,PERCENTRANK(V$4:V$91,V55),1-PERCENTRANK(V$4:V$91,V55))*100,"")</f>
        <v>69</v>
      </c>
      <c r="AV55" s="51">
        <f>IFERROR(IF('3 — Weights'!$E$16=1,PERCENTRANK(W$4:W$91,W55),1-PERCENTRANK(W$4:W$91,W55))*100,"")</f>
        <v>79.400000000000006</v>
      </c>
      <c r="AW55" s="51">
        <f>IFERROR(IF('3 — Weights'!$E$17=1,PERCENTRANK(X$4:X$91,X55),1-PERCENTRANK(X$4:X$91,X55))*100,"")</f>
        <v>66.7</v>
      </c>
      <c r="AX55" s="51">
        <f>IFERROR(IF('3 — Weights'!$E$18=1,PERCENTRANK(Y$4:Y$91,Y55),1-PERCENTRANK(Y$4:Y$91,Y55))*100,"")</f>
        <v>43.100000000000009</v>
      </c>
      <c r="AY55" s="51">
        <f>IFERROR(IF('3 — Weights'!$E$18=1,PERCENTRANK(Z$4:Z$91,Z55),1-PERCENTRANK(Z$4:Z$91,Z55))*100,"")</f>
        <v>94.3</v>
      </c>
      <c r="AZ55" s="51">
        <f>IFERROR(IF('3 — Weights'!$E$18=1,PERCENTRANK(AA$4:AA$91,AA55),1-PERCENTRANK(AA$4:AA$91,AA55))*100,"")</f>
        <v>87.3</v>
      </c>
      <c r="BA55" s="51">
        <f>IFERROR(IF('3 — Weights'!$E$21=1,PERCENTRANK(AB$4:AB$91,AB55),1-PERCENTRANK(AB$4:AB$91,AB55))*100,"")</f>
        <v>29.799999999999997</v>
      </c>
      <c r="BB55" s="51">
        <f>IFERROR(IF('3 — Weights'!$E$22=1,PERCENTRANK(AC$4:AC$91,AC55),1-PERCENTRANK(AC$4:AC$91,AC55))*100,"")</f>
        <v>87.3</v>
      </c>
      <c r="BC55" s="51">
        <f>IFERROR(IF('3 — Weights'!$E$23=1,PERCENTRANK(AD$4:AD$91,AD55),1-PERCENTRANK(AD$4:AD$91,AD55))*100,"")</f>
        <v>73.599999999999994</v>
      </c>
      <c r="BD55" s="51">
        <f>IFERROR(IF('3 — Weights'!$E$24=1,PERCENTRANK(AE$4:AE$91,AE55),1-PERCENTRANK(AE$4:AE$91,AE55))*100,"")</f>
        <v>52.900000000000006</v>
      </c>
      <c r="BE55" s="51">
        <f>IFERROR(IF('3 — Weights'!$E$25=1,PERCENTRANK(AF$4:AF$91,AF55),1-PERCENTRANK(AF$4:AF$91,AF55))*100,"")</f>
        <v>70.199999999999989</v>
      </c>
      <c r="BF55" s="52" cm="1">
        <f t="array" ref="BF55">IFERROR(SUMPRODUCT(TRANSPOSE(AH55:BE55), [1]!Table2[Weight
Claude]),"")</f>
        <v>46.104999999999997</v>
      </c>
      <c r="BG55" s="53" cm="1">
        <f t="array" ref="BG55">IFERROR(SUMPRODUCT(TRANSPOSE(AH55:BE55), [1]!Table2[Weight
Cape IMC]),"")</f>
        <v>46.104999999999997</v>
      </c>
    </row>
    <row r="56" spans="1:59" ht="22.5" customHeight="1" x14ac:dyDescent="0.25">
      <c r="A56" s="17">
        <f t="shared" si="0"/>
        <v>54</v>
      </c>
      <c r="B56" s="18" t="s">
        <v>183</v>
      </c>
      <c r="C56" s="18" t="s">
        <v>184</v>
      </c>
      <c r="D56" s="18" t="str">
        <f t="array" ref="D56">IFERROR(_xll.FDS($B56,"FR_RBICS_NAME_CURR(""IND"")"), "")</f>
        <v>Government and Not-For-Profit Industry Software</v>
      </c>
      <c r="E56" s="18" t="str">
        <f t="array" ref="E56">PROPER(IFERROR(_xll.FDS($B56,"P_DCOUNTRY"), ""))</f>
        <v>United States</v>
      </c>
      <c r="F56" s="19">
        <f t="array" ref="F56">IFERROR(_xll.FDS($B56,"FCS_EV_DAILY(MV,NOW,,,USD,M)"), "")</f>
        <v>2241.5137099799999</v>
      </c>
      <c r="G56" s="19">
        <f t="array" ref="G56">IFERROR(_xll.FDS($B56,"AVG(P_VOLUME_FRQ(-1AM,NOW,D,,6))*P_PRICE_AVG(-1AM,NOW,,USD)"), "")</f>
        <v>27.824638568565199</v>
      </c>
      <c r="H56" s="20">
        <f t="array" ref="H56">IFERROR(_xll.FDS($B56,"OS_SEC_FLT_PCT(0D,,MTD,SEC)")/100, "")</f>
        <v>0.77121099999999998</v>
      </c>
      <c r="I56" s="19">
        <f t="array" ref="I56">IFERROR(_xll.FDS($B56,"FE_ACTUAL(ACTUAL,SALES,ANN_ROLL,0,,,,'CURRENCY=USD')"), "")</f>
        <v>1128.365</v>
      </c>
      <c r="J56" s="19">
        <f t="array" ref="J56">IFERROR(_xll.FDS($B56,"FE_ACTUAL(ACTUAL,EPS,ANN_ROLL,0,,,,'CURRENCY=USD')"), "")</f>
        <v>4.45</v>
      </c>
      <c r="K56" s="20">
        <f t="array" ref="K56">IFERROR(_xll.FDS($B56,"POW(FE_ESTIMATE(SALES,MEAN,STMA,,NOW,,,'CURRENCY=USD')/FE_ESTIMATE(SALES,MEAN,LTMA,,NOW,,,'CURRENCY=USD'),0.5)-1"), "")</f>
        <v>3.9493674824431002E-2</v>
      </c>
      <c r="L56" s="20">
        <f t="array" ref="L56">IFERROR(_xll.FDS($B56,"POW(FE_ESTIMATE(EPS,MEAN,STMA,,NOW,,,'CURRENCY=USD')/FE_ESTIMATE(EPS,MEAN,LTMA,,NOW,,,'CURRENCY=USD'),0.5)-1"), "")</f>
        <v>0.140138237232661</v>
      </c>
      <c r="M56" s="21">
        <f t="array" ref="M56">IFERROR(_xll.FDS($B56,"FF_GROSS_MGN(LTM_R,0)"), "")</f>
        <v>58.562596764153497</v>
      </c>
      <c r="N56" s="21">
        <f t="array" ref="N56">IFERROR(_xll.FDS($B56,"FF_EBITDA_OPER_MGN(LTM_R,0)"), "")</f>
        <v>25.384972804063299</v>
      </c>
      <c r="O56" s="21">
        <f t="array" ref="O56">IFERROR(_xll.FDS($B56,"FF_NET_MGN(LTM_R,0)"), "")</f>
        <v>10.1998506750658</v>
      </c>
      <c r="P56" s="22">
        <f t="array" ref="P56">IFERROR(_xll.FDS($B56,"FE_VALUATION(NETDEBT_EBITDA,MEAN,NTMA,,NOW,,,'')"), "")</f>
        <v>2.2711532000000001</v>
      </c>
      <c r="Q56" s="23">
        <f t="array" ref="Q56">IFERROR(_xll.FDS($B56,"FE_VALUATION(MCAP_FCF,MEAN,NTMA,,NOW,,,'')"), "")</f>
        <v>13.2561035</v>
      </c>
      <c r="R56" s="23">
        <f t="array" ref="R56">IFERROR(_xll.FDS($B56,"FE_VALUATION(DIV_YLD,MEAN,NTMA,,NOW,,,'')"), "")</f>
        <v>0</v>
      </c>
      <c r="S56" s="21" t="str">
        <f t="array" ref="S56">IFERROR(_xll.FDS($B56,"FE_VALUATION(ROE,MEAN,NTMA,,0,,,'')" ), "")</f>
        <v/>
      </c>
      <c r="T56" s="21">
        <f t="array" ref="T56">IFERROR(_xll.FDS($B56,"FE_VALUATION(ROIC,MEAN,NTMA,,0,,,'')" ), "")</f>
        <v>19.790465999999999</v>
      </c>
      <c r="U56" s="22">
        <f t="array" ref="U56">IFERROR(((_xll.FDS($B56,"FE_ACTUAL(ACTUAL,SALES,ANN_ROLL,0,,,,'CURRENCY=USD')")/_xll.FDS($B56,"FE_ACTUAL(ACTUAL,SALES,ANN_ROLL,-1,,,,'CURRENCY=USD')")-1)*100)+(_xll.FDS($B56,"FE_VALUATION(EBITDA_MARGIN,MEAN,ANN_ROLL,0,NOW,,,'')")  ), "")</f>
        <v>33.57078549886846</v>
      </c>
      <c r="V56" s="24">
        <f t="array" ref="V56">IFERROR(_xll.FDS($B56,"FE_VALUATION(PE,MEAN,NTMA,,0,,,'')" ), "")</f>
        <v>8.8838270000000001</v>
      </c>
      <c r="W56" s="24">
        <f t="array" ref="W56">IFERROR(_xll.FDS($B56,"FE_VALUATION(P_SALESPS,MEAN,NTMA,,0,,,'')" ), "")</f>
        <v>1.8386855</v>
      </c>
      <c r="X56" s="24">
        <f t="array" ref="X56">IFERROR(_xll.FDS($B56,"FE_VALUATION(FFEV_SALES,MEAN,NTMA,,0,,,'')" ), "")</f>
        <v>2.2428233999999998</v>
      </c>
      <c r="Y56" s="24">
        <f t="array" ref="Y56">IFERROR(_xll.FDS($B56,"FE_VALUATION(FFEV_EBITDA,MEAN,NTMA,,0,,,'')" ), "")</f>
        <v>6.0195746000000003</v>
      </c>
      <c r="Z56" s="20">
        <f t="array" ref="Z56">IFERROR(_xll.FDS($B56,"PERCENT_CHANGE(FE_VALUATION(PE,MEAN,NTMA,,0,,,''),MAX(FE_VALUATION(PE,MEAN,NTMA,,-1AY,0,,'')))")/100,"")</f>
        <v>-0.453501677451565</v>
      </c>
      <c r="AA56" s="20">
        <f t="array" ref="AA56">IFERROR(_xll.FDS($B56,"PERCENT_CHANGE(FE_VALUATION(FFEV_EBITDA,MEAN,NTMA,,0,,,''),MAX(FE_VALUATION(FFEV_EBITDA,MEAN,NTMA,,-1AY,0,,'')))")/100,"")</f>
        <v>-0.44233311333888897</v>
      </c>
      <c r="AB56" s="20">
        <f t="array" ref="AB56">IFERROR(_xll.FDS($B56,"FG_PRICE(0,,,USD)/P_PRICE_HIGH(-1AY,0,USD,,,""PRICE"",""INTRA"")")-1, "")</f>
        <v>-0.36952457264957295</v>
      </c>
      <c r="AC56" s="20">
        <f t="array" ref="AC56">IFERROR(_xll.FDS($B56,"RTP_PRICE_TARGET(USD)/FG_PRICE(0,,,USD)")-1, "")</f>
        <v>0.22855327261173009</v>
      </c>
      <c r="AD56" s="25">
        <f t="array" ref="AD56">IFERROR(_xll.FDS($B56,"FG_PRICE(0,,,USD)/FG_PRICE_MAVG(0,,,USD,50)")-1, "")</f>
        <v>-0.162039929569465</v>
      </c>
      <c r="AE56" s="25">
        <f t="array" ref="AE56">IFERROR(_xll.FDS($B56,"FG_PRICE(0,,,USD)/FG_PRICE_MAVG(0,,,USD,100)")-1, "")</f>
        <v>-0.19834540937703204</v>
      </c>
      <c r="AF56" s="25">
        <f t="array" ref="AF56">IFERROR(_xll.FDS($B56,"FG_PRICE(0,,,USD)/FG_PRICE_MAVG(0,,,USD,200)")-1, "")</f>
        <v>-0.23514725966920602</v>
      </c>
      <c r="AG56" s="26" t="str">
        <f t="array" ref="AG56">IFERROR(_xll.FDS($B56,"FE_RATING(MEAN,TEXTONLY,0,NOW,,,'')"), "")</f>
        <v>Hold</v>
      </c>
      <c r="AH56" s="50">
        <f>IFERROR(IF('3 — Weights'!$E$2=1,PERCENTRANK(I$4:I$91,I56),1-PERCENTRANK(I$4:I$91,I56))*100,"")</f>
        <v>36.700000000000003</v>
      </c>
      <c r="AI56" s="51">
        <f>IFERROR(IF('3 — Weights'!$E$3=1,PERCENTRANK(J$4:J$91,J56),1-PERCENTRANK(J$4:J$91,J56))*100,"")</f>
        <v>68.899999999999991</v>
      </c>
      <c r="AJ56" s="51">
        <f>IFERROR(IF('3 — Weights'!$E$4=1,PERCENTRANK(K$4:K$91,K56),1-PERCENTRANK(K$4:K$91,K56))*100,"")</f>
        <v>5.7</v>
      </c>
      <c r="AK56" s="51">
        <f>IFERROR(IF('3 — Weights'!$E$5=1,PERCENTRANK(L$4:L$91,L56),1-PERCENTRANK(L$4:L$91,L56))*100,"")</f>
        <v>32.1</v>
      </c>
      <c r="AL56" s="51">
        <f>IFERROR(IF('3 — Weights'!$E$6=1,PERCENTRANK(M$4:M$91,M56),1-PERCENTRANK(M$4:M$91,M56))*100,"")</f>
        <v>19.5</v>
      </c>
      <c r="AM56" s="51">
        <f>IFERROR(IF('3 — Weights'!$E$7=1,PERCENTRANK(N$4:N$91,N56),1-PERCENTRANK(N$4:N$91,N56))*100,"")</f>
        <v>62.3</v>
      </c>
      <c r="AN56" s="51">
        <f>IFERROR(IF('3 — Weights'!$E$8=1,PERCENTRANK(O$4:O$91,O56),1-PERCENTRANK(O$4:O$91,O56))*100,"")</f>
        <v>49.3</v>
      </c>
      <c r="AO56" s="51">
        <f>IFERROR(IF('3 — Weights'!$E$9=1,PERCENTRANK(P$4:P$91,P56),1-PERCENTRANK(P$4:P$91,P56))*100,"")</f>
        <v>4.9000000000000039</v>
      </c>
      <c r="AP56" s="51">
        <f>IFERROR(IF('3 — Weights'!$E$10=1,PERCENTRANK(Q$4:Q$91,Q56),1-PERCENTRANK(Q$4:Q$91,Q56))*100,"")</f>
        <v>98.8</v>
      </c>
      <c r="AQ56" s="51">
        <f>IFERROR(IF('3 — Weights'!$E$11=1,PERCENTRANK(R$4:R$91,R56),1-PERCENTRANK(R$4:R$91,R56))*100,"")</f>
        <v>0</v>
      </c>
      <c r="AR56" s="51" t="str">
        <f>IFERROR(IF('3 — Weights'!$E$12=1,PERCENTRANK(S$4:S$91,S56),1-PERCENTRANK(S$4:S$91,S56))*100,"")</f>
        <v/>
      </c>
      <c r="AS56" s="51">
        <f>IFERROR(IF('3 — Weights'!$E$13=1,PERCENTRANK(T$4:T$91,T56),1-PERCENTRANK(T$4:T$91,T56))*100,"")</f>
        <v>63.800000000000004</v>
      </c>
      <c r="AT56" s="51">
        <f>IFERROR(IF('3 — Weights'!$E$14=1,PERCENTRANK(U$4:U$91,U56),1-PERCENTRANK(U$4:U$91,U56))*100,"")</f>
        <v>15.8</v>
      </c>
      <c r="AU56" s="51">
        <f>IFERROR(IF('3 — Weights'!$E$15=1,PERCENTRANK(V$4:V$91,V56),1-PERCENTRANK(V$4:V$91,V56))*100,"")</f>
        <v>96.6</v>
      </c>
      <c r="AV56" s="51">
        <f>IFERROR(IF('3 — Weights'!$E$16=1,PERCENTRANK(W$4:W$91,W56),1-PERCENTRANK(W$4:W$91,W56))*100,"")</f>
        <v>96.6</v>
      </c>
      <c r="AW56" s="51">
        <f>IFERROR(IF('3 — Weights'!$E$17=1,PERCENTRANK(X$4:X$91,X56),1-PERCENTRANK(X$4:X$91,X56))*100,"")</f>
        <v>93.199999999999989</v>
      </c>
      <c r="AX56" s="51">
        <f>IFERROR(IF('3 — Weights'!$E$18=1,PERCENTRANK(Y$4:Y$91,Y56),1-PERCENTRANK(Y$4:Y$91,Y56))*100,"")</f>
        <v>98.9</v>
      </c>
      <c r="AY56" s="51">
        <f>IFERROR(IF('3 — Weights'!$E$18=1,PERCENTRANK(Z$4:Z$91,Z56),1-PERCENTRANK(Z$4:Z$91,Z56))*100,"")</f>
        <v>31.100000000000005</v>
      </c>
      <c r="AZ56" s="51">
        <f>IFERROR(IF('3 — Weights'!$E$18=1,PERCENTRANK(AA$4:AA$91,AA56),1-PERCENTRANK(AA$4:AA$91,AA56))*100,"")</f>
        <v>32.599999999999994</v>
      </c>
      <c r="BA56" s="51">
        <f>IFERROR(IF('3 — Weights'!$E$21=1,PERCENTRANK(AB$4:AB$91,AB56),1-PERCENTRANK(AB$4:AB$91,AB56))*100,"")</f>
        <v>68.899999999999991</v>
      </c>
      <c r="BB56" s="51">
        <f>IFERROR(IF('3 — Weights'!$E$22=1,PERCENTRANK(AC$4:AC$91,AC56),1-PERCENTRANK(AC$4:AC$91,AC56))*100,"")</f>
        <v>10.299999999999999</v>
      </c>
      <c r="BC56" s="51">
        <f>IFERROR(IF('3 — Weights'!$E$23=1,PERCENTRANK(AD$4:AD$91,AD56),1-PERCENTRANK(AD$4:AD$91,AD56))*100,"")</f>
        <v>35.699999999999996</v>
      </c>
      <c r="BD56" s="51">
        <f>IFERROR(IF('3 — Weights'!$E$24=1,PERCENTRANK(AE$4:AE$91,AE56),1-PERCENTRANK(AE$4:AE$91,AE56))*100,"")</f>
        <v>32.199999999999996</v>
      </c>
      <c r="BE56" s="51">
        <f>IFERROR(IF('3 — Weights'!$E$25=1,PERCENTRANK(AF$4:AF$91,AF56),1-PERCENTRANK(AF$4:AF$91,AF56))*100,"")</f>
        <v>33.4</v>
      </c>
      <c r="BF56" s="52" cm="1">
        <f t="array" ref="BF56">IFERROR(SUMPRODUCT(TRANSPOSE(AH56:BE56), [1]!Table2[Weight
Claude]),"")</f>
        <v>45.365000000000009</v>
      </c>
      <c r="BG56" s="53" cm="1">
        <f t="array" ref="BG56">IFERROR(SUMPRODUCT(TRANSPOSE(AH56:BE56), [1]!Table2[Weight
Cape IMC]),"")</f>
        <v>45.365000000000009</v>
      </c>
    </row>
    <row r="57" spans="1:59" ht="22.5" customHeight="1" x14ac:dyDescent="0.25">
      <c r="A57" s="17">
        <f t="shared" si="0"/>
        <v>53</v>
      </c>
      <c r="B57" s="18" t="s">
        <v>185</v>
      </c>
      <c r="C57" s="18" t="s">
        <v>186</v>
      </c>
      <c r="D57" s="18" t="str">
        <f t="array" ref="D57">IFERROR(_xll.FDS($B57,"FR_RBICS_NAME_CURR(""IND"")"), "")</f>
        <v>Network Infrastructure Software</v>
      </c>
      <c r="E57" s="18" t="str">
        <f t="array" ref="E57">PROPER(IFERROR(_xll.FDS($B57,"P_DCOUNTRY"), ""))</f>
        <v>United States</v>
      </c>
      <c r="F57" s="19">
        <f t="array" ref="F57">IFERROR(_xll.FDS($B57,"FCS_EV_DAILY(MV,NOW,,,USD,M)"), "")</f>
        <v>91612.0821</v>
      </c>
      <c r="G57" s="19">
        <f t="array" ref="G57">IFERROR(_xll.FDS($B57,"AVG(P_VOLUME_FRQ(-1AM,NOW,D,,6))*P_PRICE_AVG(-1AM,NOW,,USD)"), "")</f>
        <v>1694.4157689235601</v>
      </c>
      <c r="H57" s="20">
        <f t="array" ref="H57">IFERROR(_xll.FDS($B57,"OS_SEC_FLT_PCT(0D,,MTD,SEC)")/100, "")</f>
        <v>0.96673900000000001</v>
      </c>
      <c r="I57" s="19">
        <f t="array" ref="I57">IFERROR(_xll.FDS($B57,"FE_ACTUAL(ACTUAL,SALES,ANN_ROLL,0,,,,'CURRENCY=USD')"), "")</f>
        <v>3953.6239999999998</v>
      </c>
      <c r="J57" s="19">
        <f t="array" ref="J57">IFERROR(_xll.FDS($B57,"FE_ACTUAL(ACTUAL,EPS,ANN_ROLL,0,,,,'CURRENCY=USD')"), "")</f>
        <v>3.93</v>
      </c>
      <c r="K57" s="20">
        <f t="array" ref="K57">IFERROR(_xll.FDS($B57,"POW(FE_ESTIMATE(SALES,MEAN,STMA,,NOW,,,'CURRENCY=USD')/FE_ESTIMATE(SALES,MEAN,LTMA,,NOW,,,'CURRENCY=USD'),0.5)-1"), "")</f>
        <v>0.21601977779968701</v>
      </c>
      <c r="L57" s="20">
        <f t="array" ref="L57">IFERROR(_xll.FDS($B57,"POW(FE_ESTIMATE(EPS,MEAN,STMA,,NOW,,,'CURRENCY=USD')/FE_ESTIMATE(EPS,MEAN,LTMA,,NOW,,,'CURRENCY=USD'),0.5)-1"), "")</f>
        <v>0.27896989800385802</v>
      </c>
      <c r="M57" s="21">
        <f t="array" ref="M57">IFERROR(_xll.FDS($B57,"FF_GROSS_MGN(LTM_R,0)"), "")</f>
        <v>74.098193100451098</v>
      </c>
      <c r="N57" s="21">
        <f t="array" ref="N57">IFERROR(_xll.FDS($B57,"FF_EBITDA_OPER_MGN(LTM_R,0)"), "")</f>
        <v>4.2035692881401097E-2</v>
      </c>
      <c r="O57" s="21">
        <f t="array" ref="O57">IFERROR(_xll.FDS($B57,"FF_NET_MGN(LTM_R,0)"), "")</f>
        <v>-6.8816963581625004</v>
      </c>
      <c r="P57" s="22">
        <f t="array" ref="P57">IFERROR(_xll.FDS($B57,"FE_VALUATION(NETDEBT_EBITDA,MEAN,NTMA,,NOW,,,'')"), "")</f>
        <v>-3.7040472000000002</v>
      </c>
      <c r="Q57" s="23">
        <f t="array" ref="Q57">IFERROR(_xll.FDS($B57,"FE_VALUATION(MCAP_FCF,MEAN,NTMA,,NOW,,,'')"), "")</f>
        <v>2.0751436000000001</v>
      </c>
      <c r="R57" s="23">
        <f t="array" ref="R57">IFERROR(_xll.FDS($B57,"FE_VALUATION(DIV_YLD,MEAN,NTMA,,NOW,,,'')"), "")</f>
        <v>0</v>
      </c>
      <c r="S57" s="21">
        <f t="array" ref="S57">IFERROR(_xll.FDS($B57,"FE_VALUATION(ROE,MEAN,NTMA,,0,,,'')" ), "")</f>
        <v>21.459892</v>
      </c>
      <c r="T57" s="21">
        <f t="array" ref="T57">IFERROR(_xll.FDS($B57,"FE_VALUATION(ROIC,MEAN,NTMA,,0,,,'')" ), "")</f>
        <v>19.056512999999999</v>
      </c>
      <c r="U57" s="22">
        <f t="array" ref="U57">IFERROR(((_xll.FDS($B57,"FE_ACTUAL(ACTUAL,SALES,ANN_ROLL,0,,,,'CURRENCY=USD')")/_xll.FDS($B57,"FE_ACTUAL(ACTUAL,SALES,ANN_ROLL,-1,,,,'CURRENCY=USD')")-1)*100)+(_xll.FDS($B57,"FE_VALUATION(EBITDA_MARGIN,MEAN,ANN_ROLL,0,NOW,,,'')")  ), "")</f>
        <v>54.704701434791701</v>
      </c>
      <c r="V57" s="24">
        <f t="array" ref="V57">IFERROR(_xll.FDS($B57,"FE_VALUATION(PE,MEAN,NTMA,,0,,,'')" ), "")</f>
        <v>71.588049999999996</v>
      </c>
      <c r="W57" s="24">
        <f t="array" ref="W57">IFERROR(_xll.FDS($B57,"FE_VALUATION(P_SALESPS,MEAN,NTMA,,0,,,'')" ), "")</f>
        <v>14.854559999999999</v>
      </c>
      <c r="X57" s="24">
        <f t="array" ref="X57">IFERROR(_xll.FDS($B57,"FE_VALUATION(FFEV_SALES,MEAN,NTMA,,0,,,'')" ), "")</f>
        <v>14.146121000000001</v>
      </c>
      <c r="Y57" s="24">
        <f t="array" ref="Y57">IFERROR(_xll.FDS($B57,"FE_VALUATION(FFEV_EBITDA,MEAN,NTMA,,0,,,'')" ), "")</f>
        <v>50.806609999999999</v>
      </c>
      <c r="Z57" s="20">
        <f t="array" ref="Z57">IFERROR(_xll.FDS($B57,"PERCENT_CHANGE(FE_VALUATION(PE,MEAN,NTMA,,0,,,''),MAX(FE_VALUATION(PE,MEAN,NTMA,,-1AY,0,,'')))")/100,"")</f>
        <v>-0.44113366691877098</v>
      </c>
      <c r="AA57" s="20">
        <f t="array" ref="AA57">IFERROR(_xll.FDS($B57,"PERCENT_CHANGE(FE_VALUATION(FFEV_EBITDA,MEAN,NTMA,,0,,,''),MAX(FE_VALUATION(FFEV_EBITDA,MEAN,NTMA,,-1AY,0,,'')))")/100,"")</f>
        <v>-0.424994912772438</v>
      </c>
      <c r="AB57" s="20">
        <f t="array" ref="AB57">IFERROR(_xll.FDS($B57,"FG_PRICE(0,,,USD)/P_PRICE_HIGH(-1AY,0,USD,,,""PRICE"",""INTRA"")")-1, "")</f>
        <v>-0.38216616687246396</v>
      </c>
      <c r="AC57" s="20">
        <f t="array" ref="AC57">IFERROR(_xll.FDS($B57,"RTP_PRICE_TARGET(USD)/FG_PRICE(0,,,USD)")-1, "")</f>
        <v>0.53103340471091998</v>
      </c>
      <c r="AD57" s="25">
        <f t="array" ref="AD57">IFERROR(_xll.FDS($B57,"FG_PRICE(0,,,USD)/FG_PRICE_MAVG(0,,,USD,50)")-1, "")</f>
        <v>-0.21880088109892903</v>
      </c>
      <c r="AE57" s="25">
        <f t="array" ref="AE57">IFERROR(_xll.FDS($B57,"FG_PRICE(0,,,USD)/FG_PRICE_MAVG(0,,,USD,100)")-1, "")</f>
        <v>-0.27394293657899305</v>
      </c>
      <c r="AF57" s="25">
        <f t="array" ref="AF57">IFERROR(_xll.FDS($B57,"FG_PRICE(0,,,USD)/FG_PRICE_MAVG(0,,,USD,200)")-1, "")</f>
        <v>-0.25559752405679304</v>
      </c>
      <c r="AG57" s="26" t="str">
        <f t="array" ref="AG57">IFERROR(_xll.FDS($B57,"FE_RATING(MEAN,TEXTONLY,0,NOW,,,'')"), "")</f>
        <v>Overweight</v>
      </c>
      <c r="AH57" s="50">
        <f>IFERROR(IF('3 — Weights'!$E$2=1,PERCENTRANK(I$4:I$91,I57),1-PERCENTRANK(I$4:I$91,I57))*100,"")</f>
        <v>73.5</v>
      </c>
      <c r="AI57" s="51">
        <f>IFERROR(IF('3 — Weights'!$E$3=1,PERCENTRANK(J$4:J$91,J57),1-PERCENTRANK(J$4:J$91,J57))*100,"")</f>
        <v>66.600000000000009</v>
      </c>
      <c r="AJ57" s="51">
        <f>IFERROR(IF('3 — Weights'!$E$4=1,PERCENTRANK(K$4:K$91,K57),1-PERCENTRANK(K$4:K$91,K57))*100,"")</f>
        <v>88.5</v>
      </c>
      <c r="AK57" s="51">
        <f>IFERROR(IF('3 — Weights'!$E$5=1,PERCENTRANK(L$4:L$91,L57),1-PERCENTRANK(L$4:L$91,L57))*100,"")</f>
        <v>79.7</v>
      </c>
      <c r="AL57" s="51">
        <f>IFERROR(IF('3 — Weights'!$E$6=1,PERCENTRANK(M$4:M$91,M57),1-PERCENTRANK(M$4:M$91,M57))*100,"")</f>
        <v>50</v>
      </c>
      <c r="AM57" s="51">
        <f>IFERROR(IF('3 — Weights'!$E$7=1,PERCENTRANK(N$4:N$91,N57),1-PERCENTRANK(N$4:N$91,N57))*100,"")</f>
        <v>18.099999999999998</v>
      </c>
      <c r="AN57" s="51">
        <f>IFERROR(IF('3 — Weights'!$E$8=1,PERCENTRANK(O$4:O$91,O57),1-PERCENTRANK(O$4:O$91,O57))*100,"")</f>
        <v>14.399999999999999</v>
      </c>
      <c r="AO57" s="51">
        <f>IFERROR(IF('3 — Weights'!$E$9=1,PERCENTRANK(P$4:P$91,P57),1-PERCENTRANK(P$4:P$91,P57))*100,"")</f>
        <v>85.6</v>
      </c>
      <c r="AP57" s="51">
        <f>IFERROR(IF('3 — Weights'!$E$10=1,PERCENTRANK(Q$4:Q$91,Q57),1-PERCENTRANK(Q$4:Q$91,Q57))*100,"")</f>
        <v>10.7</v>
      </c>
      <c r="AQ57" s="51">
        <f>IFERROR(IF('3 — Weights'!$E$11=1,PERCENTRANK(R$4:R$91,R57),1-PERCENTRANK(R$4:R$91,R57))*100,"")</f>
        <v>0</v>
      </c>
      <c r="AR57" s="51">
        <f>IFERROR(IF('3 — Weights'!$E$12=1,PERCENTRANK(S$4:S$91,S57),1-PERCENTRANK(S$4:S$91,S57))*100,"")</f>
        <v>48.1</v>
      </c>
      <c r="AS57" s="51">
        <f>IFERROR(IF('3 — Weights'!$E$13=1,PERCENTRANK(T$4:T$91,T57),1-PERCENTRANK(T$4:T$91,T57))*100,"")</f>
        <v>56.899999999999991</v>
      </c>
      <c r="AT57" s="51">
        <f>IFERROR(IF('3 — Weights'!$E$14=1,PERCENTRANK(U$4:U$91,U57),1-PERCENTRANK(U$4:U$91,U57))*100,"")</f>
        <v>75.599999999999994</v>
      </c>
      <c r="AU57" s="51">
        <f>IFERROR(IF('3 — Weights'!$E$15=1,PERCENTRANK(V$4:V$91,V57),1-PERCENTRANK(V$4:V$91,V57))*100,"")</f>
        <v>10.399999999999999</v>
      </c>
      <c r="AV57" s="51">
        <f>IFERROR(IF('3 — Weights'!$E$16=1,PERCENTRANK(W$4:W$91,W57),1-PERCENTRANK(W$4:W$91,W57))*100,"")</f>
        <v>5.8000000000000052</v>
      </c>
      <c r="AW57" s="51">
        <f>IFERROR(IF('3 — Weights'!$E$17=1,PERCENTRANK(X$4:X$91,X57),1-PERCENTRANK(X$4:X$91,X57))*100,"")</f>
        <v>5.8000000000000052</v>
      </c>
      <c r="AX57" s="51">
        <f>IFERROR(IF('3 — Weights'!$E$18=1,PERCENTRANK(Y$4:Y$91,Y57),1-PERCENTRANK(Y$4:Y$91,Y57))*100,"")</f>
        <v>8.1999999999999957</v>
      </c>
      <c r="AY57" s="51">
        <f>IFERROR(IF('3 — Weights'!$E$18=1,PERCENTRANK(Z$4:Z$91,Z57),1-PERCENTRANK(Z$4:Z$91,Z57))*100,"")</f>
        <v>28.800000000000004</v>
      </c>
      <c r="AZ57" s="51">
        <f>IFERROR(IF('3 — Weights'!$E$18=1,PERCENTRANK(AA$4:AA$91,AA57),1-PERCENTRANK(AA$4:AA$91,AA57))*100,"")</f>
        <v>28.000000000000004</v>
      </c>
      <c r="BA57" s="51">
        <f>IFERROR(IF('3 — Weights'!$E$21=1,PERCENTRANK(AB$4:AB$91,AB57),1-PERCENTRANK(AB$4:AB$91,AB57))*100,"")</f>
        <v>65.5</v>
      </c>
      <c r="BB57" s="51">
        <f>IFERROR(IF('3 — Weights'!$E$22=1,PERCENTRANK(AC$4:AC$91,AC57),1-PERCENTRANK(AC$4:AC$91,AC57))*100,"")</f>
        <v>51.7</v>
      </c>
      <c r="BC57" s="51">
        <f>IFERROR(IF('3 — Weights'!$E$23=1,PERCENTRANK(AD$4:AD$91,AD57),1-PERCENTRANK(AD$4:AD$91,AD57))*100,"")</f>
        <v>67.900000000000006</v>
      </c>
      <c r="BD57" s="51">
        <f>IFERROR(IF('3 — Weights'!$E$24=1,PERCENTRANK(AE$4:AE$91,AE57),1-PERCENTRANK(AE$4:AE$91,AE57))*100,"")</f>
        <v>62.1</v>
      </c>
      <c r="BE57" s="51">
        <f>IFERROR(IF('3 — Weights'!$E$25=1,PERCENTRANK(AF$4:AF$91,AF57),1-PERCENTRANK(AF$4:AF$91,AF57))*100,"")</f>
        <v>42.6</v>
      </c>
      <c r="BF57" s="52" cm="1">
        <f t="array" ref="BF57">IFERROR(SUMPRODUCT(TRANSPOSE(AH57:BE57), [1]!Table2[Weight
Claude]),"")</f>
        <v>45.38</v>
      </c>
      <c r="BG57" s="53" cm="1">
        <f t="array" ref="BG57">IFERROR(SUMPRODUCT(TRANSPOSE(AH57:BE57), [1]!Table2[Weight
Cape IMC]),"")</f>
        <v>45.38</v>
      </c>
    </row>
    <row r="58" spans="1:59" ht="22.5" customHeight="1" x14ac:dyDescent="0.25">
      <c r="A58" s="17">
        <f t="shared" si="0"/>
        <v>56</v>
      </c>
      <c r="B58" s="18" t="s">
        <v>187</v>
      </c>
      <c r="C58" s="18" t="s">
        <v>188</v>
      </c>
      <c r="D58" s="18" t="str">
        <f t="array" ref="D58">IFERROR(_xll.FDS($B58,"FR_RBICS_NAME_CURR(""IND"")"), "")</f>
        <v>Diversified Hosting Services</v>
      </c>
      <c r="E58" s="18" t="str">
        <f t="array" ref="E58">PROPER(IFERROR(_xll.FDS($B58,"P_DCOUNTRY"), ""))</f>
        <v>United States</v>
      </c>
      <c r="F58" s="19">
        <f t="array" ref="F58">IFERROR(_xll.FDS($B58,"FCS_EV_DAILY(MV,NOW,,,USD,M)"), "")</f>
        <v>442556.11874000001</v>
      </c>
      <c r="G58" s="19">
        <f t="array" ref="G58">IFERROR(_xll.FDS($B58,"AVG(P_VOLUME_FRQ(-1AM,NOW,D,,6))*P_PRICE_AVG(-1AM,NOW,,USD)"), "")</f>
        <v>4560.8614900846997</v>
      </c>
      <c r="H58" s="20">
        <f t="array" ref="H58">IFERROR(_xll.FDS($B58,"OS_SEC_FLT_PCT(0D,,MTD,SEC)")/100, "")</f>
        <v>0.59442600000000001</v>
      </c>
      <c r="I58" s="19">
        <f t="array" ref="I58">IFERROR(_xll.FDS($B58,"FE_ACTUAL(ACTUAL,SALES,ANN_ROLL,0,,,,'CURRENCY=USD')"), "")</f>
        <v>57399</v>
      </c>
      <c r="J58" s="19">
        <f t="array" ref="J58">IFERROR(_xll.FDS($B58,"FE_ACTUAL(ACTUAL,EPS,ANN_ROLL,0,,,,'CURRENCY=USD')"), "")</f>
        <v>6.03</v>
      </c>
      <c r="K58" s="20">
        <f t="array" ref="K58">IFERROR(_xll.FDS($B58,"POW(FE_ESTIMATE(SALES,MEAN,STMA,,NOW,,,'CURRENCY=USD')/FE_ESTIMATE(SALES,MEAN,LTMA,,NOW,,,'CURRENCY=USD'),0.5)-1"), "")</f>
        <v>0.34777123429757201</v>
      </c>
      <c r="L58" s="20">
        <f t="array" ref="L58">IFERROR(_xll.FDS($B58,"POW(FE_ESTIMATE(EPS,MEAN,STMA,,NOW,,,'CURRENCY=USD')/FE_ESTIMATE(EPS,MEAN,LTMA,,NOW,,,'CURRENCY=USD'),0.5)-1"), "")</f>
        <v>0.185451981313457</v>
      </c>
      <c r="M58" s="21">
        <f t="array" ref="M58">IFERROR(_xll.FDS($B58,"FF_GROSS_MGN(LTM_R,0)"), "")</f>
        <v>65.399806611272297</v>
      </c>
      <c r="N58" s="21">
        <f t="array" ref="N58">IFERROR(_xll.FDS($B58,"FF_EBITDA_OPER_MGN(LTM_R,0)"), "")</f>
        <v>43.627185866234001</v>
      </c>
      <c r="O58" s="21">
        <f t="array" ref="O58">IFERROR(_xll.FDS($B58,"FF_NET_MGN(LTM_R,0)"), "")</f>
        <v>25.2798400445777</v>
      </c>
      <c r="P58" s="22">
        <f t="array" ref="P58">IFERROR(_xll.FDS($B58,"FE_VALUATION(NETDEBT_EBITDA,MEAN,NTMA,,NOW,,,'')"), "")</f>
        <v>3.0681796000000001</v>
      </c>
      <c r="Q58" s="23">
        <f t="array" ref="Q58">IFERROR(_xll.FDS($B58,"FE_VALUATION(MCAP_FCF,MEAN,NTMA,,NOW,,,'')"), "")</f>
        <v>-6.1927567000000003</v>
      </c>
      <c r="R58" s="23">
        <f t="array" ref="R58">IFERROR(_xll.FDS($B58,"FE_VALUATION(DIV_YLD,MEAN,NTMA,,NOW,,,'')"), "")</f>
        <v>1.2614917000000001</v>
      </c>
      <c r="S58" s="21">
        <f t="array" ref="S58">IFERROR(_xll.FDS($B58,"FE_VALUATION(ROE,MEAN,NTMA,,0,,,'')" ), "")</f>
        <v>46.341025999999999</v>
      </c>
      <c r="T58" s="21">
        <f t="array" ref="T58">IFERROR(_xll.FDS($B58,"FE_VALUATION(ROIC,MEAN,NTMA,,0,,,'')" ), "")</f>
        <v>12.478415999999999</v>
      </c>
      <c r="U58" s="22">
        <f t="array" ref="U58">IFERROR(((_xll.FDS($B58,"FE_ACTUAL(ACTUAL,SALES,ANN_ROLL,0,,,,'CURRENCY=USD')")/_xll.FDS($B58,"FE_ACTUAL(ACTUAL,SALES,ANN_ROLL,-1,,,,'CURRENCY=USD')")-1)*100)+(_xll.FDS($B58,"FE_VALUATION(EBITDA_MARGIN,MEAN,ANN_ROLL,0,NOW,,,'')")  ), "")</f>
        <v>62.749601137629583</v>
      </c>
      <c r="V58" s="24">
        <f t="array" ref="V58">IFERROR(_xll.FDS($B58,"FE_VALUATION(PE,MEAN,NTMA,,0,,,'')" ), "")</f>
        <v>18.834102999999999</v>
      </c>
      <c r="W58" s="24">
        <f t="array" ref="W58">IFERROR(_xll.FDS($B58,"FE_VALUATION(P_SALESPS,MEAN,NTMA,,0,,,'')" ), "")</f>
        <v>5.1556572999999997</v>
      </c>
      <c r="X58" s="24">
        <f t="array" ref="X58">IFERROR(_xll.FDS($B58,"FE_VALUATION(FFEV_SALES,MEAN,NTMA,,0,,,'')" ), "")</f>
        <v>6.6221446999999998</v>
      </c>
      <c r="Y58" s="24">
        <f t="array" ref="Y58">IFERROR(_xll.FDS($B58,"FE_VALUATION(FFEV_EBITDA,MEAN,NTMA,,0,,,'')" ), "")</f>
        <v>11.864435</v>
      </c>
      <c r="Z58" s="20">
        <f t="array" ref="Z58">IFERROR(_xll.FDS($B58,"PERCENT_CHANGE(FE_VALUATION(PE,MEAN,NTMA,,0,,,''),MAX(FE_VALUATION(PE,MEAN,NTMA,,-1AY,0,,'')))")/100,"")</f>
        <v>-0.58808337449597403</v>
      </c>
      <c r="AA58" s="20">
        <f t="array" ref="AA58">IFERROR(_xll.FDS($B58,"PERCENT_CHANGE(FE_VALUATION(FFEV_EBITDA,MEAN,NTMA,,0,,,''),MAX(FE_VALUATION(FFEV_EBITDA,MEAN,NTMA,,-1AY,0,,'')))")/100,"")</f>
        <v>-0.56655798133900293</v>
      </c>
      <c r="AB58" s="20">
        <f t="array" ref="AB58">IFERROR(_xll.FDS($B58,"FG_PRICE(0,,,USD)/P_PRICE_HIGH(-1AY,0,USD,,,""PRICE"",""INTRA"")")-1, "")</f>
        <v>-0.57728797871109605</v>
      </c>
      <c r="AC58" s="20">
        <f t="array" ref="AC58">IFERROR(_xll.FDS($B58,"RTP_PRICE_TARGET(USD)/FG_PRICE(0,,,USD)")-1, "")</f>
        <v>0.87491446558094998</v>
      </c>
      <c r="AD58" s="25">
        <f t="array" ref="AD58">IFERROR(_xll.FDS($B58,"FG_PRICE(0,,,USD)/FG_PRICE_MAVG(0,,,USD,50)")-1, "")</f>
        <v>-0.17343218512766201</v>
      </c>
      <c r="AE58" s="25">
        <f t="array" ref="AE58">IFERROR(_xll.FDS($B58,"FG_PRICE(0,,,USD)/FG_PRICE_MAVG(0,,,USD,100)")-1, "")</f>
        <v>-0.31674936520901198</v>
      </c>
      <c r="AF58" s="25">
        <f t="array" ref="AF58">IFERROR(_xll.FDS($B58,"FG_PRICE(0,,,USD)/FG_PRICE_MAVG(0,,,USD,200)")-1, "")</f>
        <v>-0.33782696322932404</v>
      </c>
      <c r="AG58" s="26" t="str">
        <f t="array" ref="AG58">IFERROR(_xll.FDS($B58,"FE_RATING(MEAN,TEXTONLY,0,NOW,,,'')"), "")</f>
        <v>Overweight</v>
      </c>
      <c r="AH58" s="50">
        <f>IFERROR(IF('3 — Weights'!$E$2=1,PERCENTRANK(I$4:I$91,I58),1-PERCENTRANK(I$4:I$91,I58))*100,"")</f>
        <v>98.8</v>
      </c>
      <c r="AI58" s="51">
        <f>IFERROR(IF('3 — Weights'!$E$3=1,PERCENTRANK(J$4:J$91,J58),1-PERCENTRANK(J$4:J$91,J58))*100,"")</f>
        <v>73.5</v>
      </c>
      <c r="AJ58" s="51">
        <f>IFERROR(IF('3 — Weights'!$E$4=1,PERCENTRANK(K$4:K$91,K58),1-PERCENTRANK(K$4:K$91,K58))*100,"")</f>
        <v>96.5</v>
      </c>
      <c r="AK58" s="51">
        <f>IFERROR(IF('3 — Weights'!$E$5=1,PERCENTRANK(L$4:L$91,L58),1-PERCENTRANK(L$4:L$91,L58))*100,"")</f>
        <v>60.699999999999996</v>
      </c>
      <c r="AL58" s="51">
        <f>IFERROR(IF('3 — Weights'!$E$6=1,PERCENTRANK(M$4:M$91,M58),1-PERCENTRANK(M$4:M$91,M58))*100,"")</f>
        <v>29.2</v>
      </c>
      <c r="AM58" s="51">
        <f>IFERROR(IF('3 — Weights'!$E$7=1,PERCENTRANK(N$4:N$91,N58),1-PERCENTRANK(N$4:N$91,N58))*100,"")</f>
        <v>90.9</v>
      </c>
      <c r="AN58" s="51">
        <f>IFERROR(IF('3 — Weights'!$E$8=1,PERCENTRANK(O$4:O$91,O58),1-PERCENTRANK(O$4:O$91,O58))*100,"")</f>
        <v>84.3</v>
      </c>
      <c r="AO58" s="51">
        <f>IFERROR(IF('3 — Weights'!$E$9=1,PERCENTRANK(P$4:P$91,P58),1-PERCENTRANK(P$4:P$91,P58))*100,"")</f>
        <v>1.3000000000000012</v>
      </c>
      <c r="AP58" s="51">
        <f>IFERROR(IF('3 — Weights'!$E$10=1,PERCENTRANK(Q$4:Q$91,Q58),1-PERCENTRANK(Q$4:Q$91,Q58))*100,"")</f>
        <v>1.0999999999999999</v>
      </c>
      <c r="AQ58" s="51">
        <f>IFERROR(IF('3 — Weights'!$E$11=1,PERCENTRANK(R$4:R$91,R58),1-PERCENTRANK(R$4:R$91,R58))*100,"")</f>
        <v>83.3</v>
      </c>
      <c r="AR58" s="51">
        <f>IFERROR(IF('3 — Weights'!$E$12=1,PERCENTRANK(S$4:S$91,S58),1-PERCENTRANK(S$4:S$91,S58))*100,"")</f>
        <v>88.8</v>
      </c>
      <c r="AS58" s="51">
        <f>IFERROR(IF('3 — Weights'!$E$13=1,PERCENTRANK(T$4:T$91,T58),1-PERCENTRANK(T$4:T$91,T58))*100,"")</f>
        <v>30.5</v>
      </c>
      <c r="AT58" s="51">
        <f>IFERROR(IF('3 — Weights'!$E$14=1,PERCENTRANK(U$4:U$91,U58),1-PERCENTRANK(U$4:U$91,U58))*100,"")</f>
        <v>86.5</v>
      </c>
      <c r="AU58" s="51">
        <f>IFERROR(IF('3 — Weights'!$E$15=1,PERCENTRANK(V$4:V$91,V58),1-PERCENTRANK(V$4:V$91,V58))*100,"")</f>
        <v>59.8</v>
      </c>
      <c r="AV58" s="51">
        <f>IFERROR(IF('3 — Weights'!$E$16=1,PERCENTRANK(W$4:W$91,W58),1-PERCENTRANK(W$4:W$91,W58))*100,"")</f>
        <v>46</v>
      </c>
      <c r="AW58" s="51">
        <f>IFERROR(IF('3 — Weights'!$E$17=1,PERCENTRANK(X$4:X$91,X58),1-PERCENTRANK(X$4:X$91,X58))*100,"")</f>
        <v>28.800000000000004</v>
      </c>
      <c r="AX58" s="51">
        <f>IFERROR(IF('3 — Weights'!$E$18=1,PERCENTRANK(Y$4:Y$91,Y58),1-PERCENTRANK(Y$4:Y$91,Y58))*100,"")</f>
        <v>69.8</v>
      </c>
      <c r="AY58" s="51">
        <f>IFERROR(IF('3 — Weights'!$E$18=1,PERCENTRANK(Z$4:Z$91,Z58),1-PERCENTRANK(Z$4:Z$91,Z58))*100,"")</f>
        <v>65.600000000000009</v>
      </c>
      <c r="AZ58" s="51">
        <f>IFERROR(IF('3 — Weights'!$E$18=1,PERCENTRANK(AA$4:AA$91,AA58),1-PERCENTRANK(AA$4:AA$91,AA58))*100,"")</f>
        <v>64</v>
      </c>
      <c r="BA58" s="51">
        <f>IFERROR(IF('3 — Weights'!$E$21=1,PERCENTRANK(AB$4:AB$91,AB58),1-PERCENTRANK(AB$4:AB$91,AB58))*100,"")</f>
        <v>8</v>
      </c>
      <c r="BB58" s="51">
        <f>IFERROR(IF('3 — Weights'!$E$22=1,PERCENTRANK(AC$4:AC$91,AC58),1-PERCENTRANK(AC$4:AC$91,AC58))*100,"")</f>
        <v>85</v>
      </c>
      <c r="BC58" s="51">
        <f>IFERROR(IF('3 — Weights'!$E$23=1,PERCENTRANK(AD$4:AD$91,AD58),1-PERCENTRANK(AD$4:AD$91,AD58))*100,"")</f>
        <v>42.6</v>
      </c>
      <c r="BD58" s="51">
        <f>IFERROR(IF('3 — Weights'!$E$24=1,PERCENTRANK(AE$4:AE$91,AE58),1-PERCENTRANK(AE$4:AE$91,AE58))*100,"")</f>
        <v>75.900000000000006</v>
      </c>
      <c r="BE58" s="51">
        <f>IFERROR(IF('3 — Weights'!$E$25=1,PERCENTRANK(AF$4:AF$91,AF58),1-PERCENTRANK(AF$4:AF$91,AF58))*100,"")</f>
        <v>63.3</v>
      </c>
      <c r="BF58" s="52" cm="1">
        <f t="array" ref="BF58">IFERROR(SUMPRODUCT(TRANSPOSE(AH58:BE58), [1]!Table2[Weight
Claude]),"")</f>
        <v>44.43</v>
      </c>
      <c r="BG58" s="53" cm="1">
        <f t="array" ref="BG58">IFERROR(SUMPRODUCT(TRANSPOSE(AH58:BE58), [1]!Table2[Weight
Cape IMC]),"")</f>
        <v>44.43</v>
      </c>
    </row>
    <row r="59" spans="1:59" ht="22.5" customHeight="1" x14ac:dyDescent="0.25">
      <c r="A59" s="17">
        <f t="shared" si="0"/>
        <v>55</v>
      </c>
      <c r="B59" s="18" t="s">
        <v>189</v>
      </c>
      <c r="C59" s="18" t="s">
        <v>190</v>
      </c>
      <c r="D59" s="18" t="str">
        <f t="array" ref="D59">IFERROR(_xll.FDS($B59,"FR_RBICS_NAME_CURR(""IND"")"), "")</f>
        <v>Finance Industry Software</v>
      </c>
      <c r="E59" s="18" t="str">
        <f t="array" ref="E59">PROPER(IFERROR(_xll.FDS($B59,"P_DCOUNTRY"), ""))</f>
        <v>United States</v>
      </c>
      <c r="F59" s="19">
        <f t="array" ref="F59">IFERROR(_xll.FDS($B59,"FCS_EV_DAILY(MV,NOW,,,USD,M)"), "")</f>
        <v>3422.77594649</v>
      </c>
      <c r="G59" s="19">
        <f t="array" ref="G59">IFERROR(_xll.FDS($B59,"AVG(P_VOLUME_FRQ(-1AM,NOW,D,,6))*P_PRICE_AVG(-1AM,NOW,,USD)"), "")</f>
        <v>93.878620769639497</v>
      </c>
      <c r="H59" s="20">
        <f t="array" ref="H59">IFERROR(_xll.FDS($B59,"OS_SEC_FLT_PCT(0D,,MTD,SEC)")/100, "")</f>
        <v>0.94023799999999991</v>
      </c>
      <c r="I59" s="19">
        <f t="array" ref="I59">IFERROR(_xll.FDS($B59,"FE_ACTUAL(ACTUAL,SALES,ANN_ROLL,0,,,,'CURRENCY=USD')"), "")</f>
        <v>1057.001</v>
      </c>
      <c r="J59" s="19">
        <f t="array" ref="J59">IFERROR(_xll.FDS($B59,"FE_ACTUAL(ACTUAL,EPS,ANN_ROLL,0,,,,'CURRENCY=USD')"), "")</f>
        <v>0.36</v>
      </c>
      <c r="K59" s="20">
        <f t="array" ref="K59">IFERROR(_xll.FDS($B59,"POW(FE_ESTIMATE(SALES,MEAN,STMA,,NOW,,,'CURRENCY=USD')/FE_ESTIMATE(SALES,MEAN,LTMA,,NOW,,,'CURRENCY=USD'),0.5)-1"), "")</f>
        <v>8.9905546366289404E-2</v>
      </c>
      <c r="L59" s="20">
        <f t="array" ref="L59">IFERROR(_xll.FDS($B59,"POW(FE_ESTIMATE(EPS,MEAN,STMA,,NOW,,,'CURRENCY=USD')/FE_ESTIMATE(EPS,MEAN,LTMA,,NOW,,,'CURRENCY=USD'),0.5)-1"), "")</f>
        <v>0.146813411152834</v>
      </c>
      <c r="M59" s="21">
        <f t="array" ref="M59">IFERROR(_xll.FDS($B59,"FF_GROSS_MGN(LTM_R,0)"), "")</f>
        <v>66.235959438377506</v>
      </c>
      <c r="N59" s="21">
        <f t="array" ref="N59">IFERROR(_xll.FDS($B59,"FF_EBITDA_OPER_MGN(LTM_R,0)"), "")</f>
        <v>22.0461193447738</v>
      </c>
      <c r="O59" s="21">
        <f t="array" ref="O59">IFERROR(_xll.FDS($B59,"FF_NET_MGN(LTM_R,0)"), "")</f>
        <v>-0.27886115444617798</v>
      </c>
      <c r="P59" s="22">
        <f t="array" ref="P59">IFERROR(_xll.FDS($B59,"FE_VALUATION(NETDEBT_EBITDA,MEAN,NTMA,,NOW,,,'')"), "")</f>
        <v>1.9205762</v>
      </c>
      <c r="Q59" s="23">
        <f t="array" ref="Q59">IFERROR(_xll.FDS($B59,"FE_VALUATION(MCAP_FCF,MEAN,NTMA,,NOW,,,'')"), "")</f>
        <v>9.4995630000000002</v>
      </c>
      <c r="R59" s="23">
        <f t="array" ref="R59">IFERROR(_xll.FDS($B59,"FE_VALUATION(DIV_YLD,MEAN,NTMA,,NOW,,,'')"), "")</f>
        <v>0</v>
      </c>
      <c r="S59" s="21">
        <f t="array" ref="S59">IFERROR(_xll.FDS($B59,"FE_VALUATION(ROE,MEAN,NTMA,,0,,,'')" ), "")</f>
        <v>11.949419000000001</v>
      </c>
      <c r="T59" s="21">
        <f t="array" ref="T59">IFERROR(_xll.FDS($B59,"FE_VALUATION(ROIC,MEAN,NTMA,,0,,,'')" ), "")</f>
        <v>8.5503940000000007</v>
      </c>
      <c r="U59" s="22">
        <f t="array" ref="U59">IFERROR(((_xll.FDS($B59,"FE_ACTUAL(ACTUAL,SALES,ANN_ROLL,0,,,,'CURRENCY=USD')")/_xll.FDS($B59,"FE_ACTUAL(ACTUAL,SALES,ANN_ROLL,-1,,,,'CURRENCY=USD')")-1)*100)+(_xll.FDS($B59,"FE_VALUATION(EBITDA_MARGIN,MEAN,ANN_ROLL,0,NOW,,,'')")  ), "")</f>
        <v>53.128485055038105</v>
      </c>
      <c r="V59" s="24">
        <f t="array" ref="V59">IFERROR(_xll.FDS($B59,"FE_VALUATION(PE,MEAN,NTMA,,0,,,'')" ), "")</f>
        <v>11.867737999999999</v>
      </c>
      <c r="W59" s="24">
        <f t="array" ref="W59">IFERROR(_xll.FDS($B59,"FE_VALUATION(P_SALESPS,MEAN,NTMA,,0,,,'')" ), "")</f>
        <v>2.78138</v>
      </c>
      <c r="X59" s="24">
        <f t="array" ref="X59">IFERROR(_xll.FDS($B59,"FE_VALUATION(FFEV_SALES,MEAN,NTMA,,0,,,'')" ), "")</f>
        <v>3.593747</v>
      </c>
      <c r="Y59" s="24">
        <f t="array" ref="Y59">IFERROR(_xll.FDS($B59,"FE_VALUATION(FFEV_EBITDA,MEAN,NTMA,,0,,,'')" ), "")</f>
        <v>8.7844239999999996</v>
      </c>
      <c r="Z59" s="20">
        <f t="array" ref="Z59">IFERROR(_xll.FDS($B59,"PERCENT_CHANGE(FE_VALUATION(PE,MEAN,NTMA,,0,,,''),MAX(FE_VALUATION(PE,MEAN,NTMA,,-1AY,0,,'')))")/100,"")</f>
        <v>-0.57750675779830207</v>
      </c>
      <c r="AA59" s="20">
        <f t="array" ref="AA59">IFERROR(_xll.FDS($B59,"PERCENT_CHANGE(FE_VALUATION(FFEV_EBITDA,MEAN,NTMA,,0,,,''),MAX(FE_VALUATION(FFEV_EBITDA,MEAN,NTMA,,-1AY,0,,'')))")/100,"")</f>
        <v>-0.48163642267794898</v>
      </c>
      <c r="AB59" s="20">
        <f t="array" ref="AB59">IFERROR(_xll.FDS($B59,"FG_PRICE(0,,,USD)/P_PRICE_HIGH(-1AY,0,USD,,,""PRICE"",""INTRA"")")-1, "")</f>
        <v>-0.53104726598702501</v>
      </c>
      <c r="AC59" s="20">
        <f t="array" ref="AC59">IFERROR(_xll.FDS($B59,"RTP_PRICE_TARGET(USD)/FG_PRICE(0,,,USD)")-1, "")</f>
        <v>0.99148675889328008</v>
      </c>
      <c r="AD59" s="25">
        <f t="array" ref="AD59">IFERROR(_xll.FDS($B59,"FG_PRICE(0,,,USD)/FG_PRICE_MAVG(0,,,USD,50)")-1, "")</f>
        <v>-0.29694881342744395</v>
      </c>
      <c r="AE59" s="25">
        <f t="array" ref="AE59">IFERROR(_xll.FDS($B59,"FG_PRICE(0,,,USD)/FG_PRICE_MAVG(0,,,USD,100)")-1, "")</f>
        <v>-0.34301072476563899</v>
      </c>
      <c r="AF59" s="25">
        <f t="array" ref="AF59">IFERROR(_xll.FDS($B59,"FG_PRICE(0,,,USD)/FG_PRICE_MAVG(0,,,USD,200)")-1, "")</f>
        <v>-0.40944767017769101</v>
      </c>
      <c r="AG59" s="26" t="str">
        <f t="array" ref="AG59">IFERROR(_xll.FDS($B59,"FE_RATING(MEAN,TEXTONLY,0,NOW,,,'')"), "")</f>
        <v>Overweight</v>
      </c>
      <c r="AH59" s="50">
        <f>IFERROR(IF('3 — Weights'!$E$2=1,PERCENTRANK(I$4:I$91,I59),1-PERCENTRANK(I$4:I$91,I59))*100,"")</f>
        <v>34.4</v>
      </c>
      <c r="AI59" s="51">
        <f>IFERROR(IF('3 — Weights'!$E$3=1,PERCENTRANK(J$4:J$91,J59),1-PERCENTRANK(J$4:J$91,J59))*100,"")</f>
        <v>17.2</v>
      </c>
      <c r="AJ59" s="51">
        <f>IFERROR(IF('3 — Weights'!$E$4=1,PERCENTRANK(K$4:K$91,K59),1-PERCENTRANK(K$4:K$91,K59))*100,"")</f>
        <v>28.7</v>
      </c>
      <c r="AK59" s="51">
        <f>IFERROR(IF('3 — Weights'!$E$5=1,PERCENTRANK(L$4:L$91,L59),1-PERCENTRANK(L$4:L$91,L59))*100,"")</f>
        <v>40.400000000000006</v>
      </c>
      <c r="AL59" s="51">
        <f>IFERROR(IF('3 — Weights'!$E$6=1,PERCENTRANK(M$4:M$91,M59),1-PERCENTRANK(M$4:M$91,M59))*100,"")</f>
        <v>32.9</v>
      </c>
      <c r="AM59" s="51">
        <f>IFERROR(IF('3 — Weights'!$E$7=1,PERCENTRANK(N$4:N$91,N59),1-PERCENTRANK(N$4:N$91,N59))*100,"")</f>
        <v>57.099999999999994</v>
      </c>
      <c r="AN59" s="51">
        <f>IFERROR(IF('3 — Weights'!$E$8=1,PERCENTRANK(O$4:O$91,O59),1-PERCENTRANK(O$4:O$91,O59))*100,"")</f>
        <v>27.700000000000003</v>
      </c>
      <c r="AO59" s="51">
        <f>IFERROR(IF('3 — Weights'!$E$9=1,PERCENTRANK(P$4:P$91,P59),1-PERCENTRANK(P$4:P$91,P59))*100,"")</f>
        <v>8.4999999999999964</v>
      </c>
      <c r="AP59" s="51">
        <f>IFERROR(IF('3 — Weights'!$E$10=1,PERCENTRANK(Q$4:Q$91,Q59),1-PERCENTRANK(Q$4:Q$91,Q59))*100,"")</f>
        <v>91.600000000000009</v>
      </c>
      <c r="AQ59" s="51">
        <f>IFERROR(IF('3 — Weights'!$E$11=1,PERCENTRANK(R$4:R$91,R59),1-PERCENTRANK(R$4:R$91,R59))*100,"")</f>
        <v>0</v>
      </c>
      <c r="AR59" s="51">
        <f>IFERROR(IF('3 — Weights'!$E$12=1,PERCENTRANK(S$4:S$91,S59),1-PERCENTRANK(S$4:S$91,S59))*100,"")</f>
        <v>18.5</v>
      </c>
      <c r="AS59" s="51">
        <f>IFERROR(IF('3 — Weights'!$E$13=1,PERCENTRANK(T$4:T$91,T59),1-PERCENTRANK(T$4:T$91,T59))*100,"")</f>
        <v>22.2</v>
      </c>
      <c r="AT59" s="51">
        <f>IFERROR(IF('3 — Weights'!$E$14=1,PERCENTRANK(U$4:U$91,U59),1-PERCENTRANK(U$4:U$91,U59))*100,"")</f>
        <v>73.099999999999994</v>
      </c>
      <c r="AU59" s="51">
        <f>IFERROR(IF('3 — Weights'!$E$15=1,PERCENTRANK(V$4:V$91,V59),1-PERCENTRANK(V$4:V$91,V59))*100,"")</f>
        <v>87.4</v>
      </c>
      <c r="AV59" s="51">
        <f>IFERROR(IF('3 — Weights'!$E$16=1,PERCENTRANK(W$4:W$91,W59),1-PERCENTRANK(W$4:W$91,W59))*100,"")</f>
        <v>80.5</v>
      </c>
      <c r="AW59" s="51">
        <f>IFERROR(IF('3 — Weights'!$E$17=1,PERCENTRANK(X$4:X$91,X59),1-PERCENTRANK(X$4:X$91,X59))*100,"")</f>
        <v>64.400000000000006</v>
      </c>
      <c r="AX59" s="51">
        <f>IFERROR(IF('3 — Weights'!$E$18=1,PERCENTRANK(Y$4:Y$91,Y59),1-PERCENTRANK(Y$4:Y$91,Y59))*100,"")</f>
        <v>84.899999999999991</v>
      </c>
      <c r="AY59" s="51">
        <f>IFERROR(IF('3 — Weights'!$E$18=1,PERCENTRANK(Z$4:Z$91,Z59),1-PERCENTRANK(Z$4:Z$91,Z59))*100,"")</f>
        <v>62.1</v>
      </c>
      <c r="AZ59" s="51">
        <f>IFERROR(IF('3 — Weights'!$E$18=1,PERCENTRANK(AA$4:AA$91,AA59),1-PERCENTRANK(AA$4:AA$91,AA59))*100,"")</f>
        <v>39.6</v>
      </c>
      <c r="BA59" s="51">
        <f>IFERROR(IF('3 — Weights'!$E$21=1,PERCENTRANK(AB$4:AB$91,AB59),1-PERCENTRANK(AB$4:AB$91,AB59))*100,"")</f>
        <v>20.599999999999998</v>
      </c>
      <c r="BB59" s="51">
        <f>IFERROR(IF('3 — Weights'!$E$22=1,PERCENTRANK(AC$4:AC$91,AC59),1-PERCENTRANK(AC$4:AC$91,AC59))*100,"")</f>
        <v>90.8</v>
      </c>
      <c r="BC59" s="51">
        <f>IFERROR(IF('3 — Weights'!$E$23=1,PERCENTRANK(AD$4:AD$91,AD59),1-PERCENTRANK(AD$4:AD$91,AD59))*100,"")</f>
        <v>88.6</v>
      </c>
      <c r="BD59" s="51">
        <f>IFERROR(IF('3 — Weights'!$E$24=1,PERCENTRANK(AE$4:AE$91,AE59),1-PERCENTRANK(AE$4:AE$91,AE59))*100,"")</f>
        <v>86.3</v>
      </c>
      <c r="BE59" s="51">
        <f>IFERROR(IF('3 — Weights'!$E$25=1,PERCENTRANK(AF$4:AF$91,AF59),1-PERCENTRANK(AF$4:AF$91,AF59))*100,"")</f>
        <v>86.3</v>
      </c>
      <c r="BF59" s="52" cm="1">
        <f t="array" ref="BF59">IFERROR(SUMPRODUCT(TRANSPOSE(AH59:BE59), [1]!Table2[Weight
Claude]),"")</f>
        <v>45.190000000000005</v>
      </c>
      <c r="BG59" s="53" cm="1">
        <f t="array" ref="BG59">IFERROR(SUMPRODUCT(TRANSPOSE(AH59:BE59), [1]!Table2[Weight
Cape IMC]),"")</f>
        <v>45.190000000000005</v>
      </c>
    </row>
    <row r="60" spans="1:59" ht="22.5" customHeight="1" x14ac:dyDescent="0.25">
      <c r="A60" s="17">
        <f t="shared" si="0"/>
        <v>57</v>
      </c>
      <c r="B60" s="18" t="s">
        <v>191</v>
      </c>
      <c r="C60" s="18" t="s">
        <v>192</v>
      </c>
      <c r="D60" s="18" t="str">
        <f t="array" ref="D60">IFERROR(_xll.FDS($B60,"FR_RBICS_NAME_CURR(""IND"")"), "")</f>
        <v>General Enterprise Management Software</v>
      </c>
      <c r="E60" s="18" t="str">
        <f t="array" ref="E60">PROPER(IFERROR(_xll.FDS($B60,"P_DCOUNTRY"), ""))</f>
        <v>Canada</v>
      </c>
      <c r="F60" s="19">
        <f t="array" ref="F60">IFERROR(_xll.FDS($B60,"FCS_EV_DAILY(MV,NOW,,,USD,M)"), "")</f>
        <v>6160.5258321028596</v>
      </c>
      <c r="G60" s="19">
        <f t="array" ref="G60">IFERROR(_xll.FDS($B60,"AVG(P_VOLUME_FRQ(-1AM,NOW,D,,6))*P_PRICE_AVG(-1AM,NOW,,USD)"), "")</f>
        <v>69.329399799743697</v>
      </c>
      <c r="H60" s="20">
        <f t="array" ref="H60">IFERROR(_xll.FDS($B60,"OS_SEC_FLT_PCT(0D,,MTD,SEC)")/100, "")</f>
        <v>0.98032900000000001</v>
      </c>
      <c r="I60" s="19">
        <f t="array" ref="I60">IFERROR(_xll.FDS($B60,"FE_ACTUAL(ACTUAL,SALES,ANN_ROLL,0,,,,'CURRENCY=USD')"), "")</f>
        <v>5168.4049999999997</v>
      </c>
      <c r="J60" s="19">
        <f t="array" ref="J60">IFERROR(_xll.FDS($B60,"FE_ACTUAL(ACTUAL,EPS,ANN_ROLL,0,,,,'CURRENCY=USD')"), "")</f>
        <v>3.82</v>
      </c>
      <c r="K60" s="20">
        <f t="array" ref="K60">IFERROR(_xll.FDS($B60,"POW(FE_ESTIMATE(SALES,MEAN,STMA,,NOW,,,'CURRENCY=USD')/FE_ESTIMATE(SALES,MEAN,LTMA,,NOW,,,'CURRENCY=USD'),0.5)-1"), "")</f>
        <v>1.0842420953929101E-2</v>
      </c>
      <c r="L60" s="20">
        <f t="array" ref="L60">IFERROR(_xll.FDS($B60,"POW(FE_ESTIMATE(EPS,MEAN,STMA,,NOW,,,'CURRENCY=USD')/FE_ESTIMATE(EPS,MEAN,LTMA,,NOW,,,'CURRENCY=USD'),0.5)-1"), "")</f>
        <v>0.11614461428616001</v>
      </c>
      <c r="M60" s="21">
        <f t="array" ref="M60">IFERROR(_xll.FDS($B60,"FF_GROSS_MGN(LTM_R,0)"), "")</f>
        <v>63.910412255678601</v>
      </c>
      <c r="N60" s="21">
        <f t="array" ref="N60">IFERROR(_xll.FDS($B60,"FF_EBITDA_OPER_MGN(LTM_R,0)"), "")</f>
        <v>33.121560779349501</v>
      </c>
      <c r="O60" s="21">
        <f t="array" ref="O60">IFERROR(_xll.FDS($B60,"FF_NET_MGN(LTM_R,0)"), "")</f>
        <v>8.4240210619422307</v>
      </c>
      <c r="P60" s="22">
        <f t="array" ref="P60">IFERROR(_xll.FDS($B60,"FE_VALUATION(NETDEBT_EBITDA,MEAN,NTMA,,NOW,,,'')"), "")</f>
        <v>2.3992266999999998</v>
      </c>
      <c r="Q60" s="23">
        <f t="array" ref="Q60">IFERROR(_xll.FDS($B60,"FE_VALUATION(MCAP_FCF,MEAN,NTMA,,NOW,,,'')"), "")</f>
        <v>15.858873000000001</v>
      </c>
      <c r="R60" s="23">
        <f t="array" ref="R60">IFERROR(_xll.FDS($B60,"FE_VALUATION(DIV_YLD,MEAN,NTMA,,NOW,,,'')"), "")</f>
        <v>4.6760634999999997</v>
      </c>
      <c r="S60" s="21">
        <f t="array" ref="S60">IFERROR(_xll.FDS($B60,"FE_VALUATION(ROE,MEAN,NTMA,,0,,,'')" ), "")</f>
        <v>24.987926000000002</v>
      </c>
      <c r="T60" s="21">
        <f t="array" ref="T60">IFERROR(_xll.FDS($B60,"FE_VALUATION(ROIC,MEAN,NTMA,,0,,,'')" ), "")</f>
        <v>10.977297999999999</v>
      </c>
      <c r="U60" s="22">
        <f t="array" ref="U60">IFERROR(((_xll.FDS($B60,"FE_ACTUAL(ACTUAL,SALES,ANN_ROLL,0,,,,'CURRENCY=USD')")/_xll.FDS($B60,"FE_ACTUAL(ACTUAL,SALES,ANN_ROLL,-1,,,,'CURRENCY=USD')")-1)*100)+(_xll.FDS($B60,"FE_VALUATION(EBITDA_MARGIN,MEAN,ANN_ROLL,0,NOW,,,'')")  ), "")</f>
        <v>24.106727653623299</v>
      </c>
      <c r="V60" s="24">
        <f t="array" ref="V60">IFERROR(_xll.FDS($B60,"FE_VALUATION(PE,MEAN,NTMA,,0,,,'')" ), "")</f>
        <v>5.5564410000000004</v>
      </c>
      <c r="W60" s="24">
        <f t="array" ref="W60">IFERROR(_xll.FDS($B60,"FE_VALUATION(P_SALESPS,MEAN,NTMA,,0,,,'')" ), "")</f>
        <v>1.1470533999999999</v>
      </c>
      <c r="X60" s="24">
        <f t="array" ref="X60">IFERROR(_xll.FDS($B60,"FE_VALUATION(FFEV_SALES,MEAN,NTMA,,0,,,'')" ), "")</f>
        <v>2.1731508000000002</v>
      </c>
      <c r="Y60" s="24">
        <f t="array" ref="Y60">IFERROR(_xll.FDS($B60,"FE_VALUATION(FFEV_EBITDA,MEAN,NTMA,,0,,,'')" ), "")</f>
        <v>6.0301122999999999</v>
      </c>
      <c r="Z60" s="20">
        <f t="array" ref="Z60">IFERROR(_xll.FDS($B60,"PERCENT_CHANGE(FE_VALUATION(PE,MEAN,NTMA,,0,,,''),MAX(FE_VALUATION(PE,MEAN,NTMA,,-1AY,0,,'')))")/100,"")</f>
        <v>-0.40620441489808501</v>
      </c>
      <c r="AA60" s="20">
        <f t="array" ref="AA60">IFERROR(_xll.FDS($B60,"PERCENT_CHANGE(FE_VALUATION(FFEV_EBITDA,MEAN,NTMA,,0,,,''),MAX(FE_VALUATION(FFEV_EBITDA,MEAN,NTMA,,-1AY,0,,'')))")/100,"")</f>
        <v>-0.27491890185085799</v>
      </c>
      <c r="AB60" s="20">
        <f t="array" ref="AB60">IFERROR(_xll.FDS($B60,"FG_PRICE(0,,,USD)/P_PRICE_HIGH(-1AY,0,USD,,,""PRICE"",""INTRA"")")-1, "")</f>
        <v>-0.39874686716791996</v>
      </c>
      <c r="AC60" s="20">
        <f t="array" ref="AC60">IFERROR(_xll.FDS($B60,"RTP_PRICE_TARGET(USD)/FG_PRICE(0,,,USD)")-1, "")</f>
        <v>0.38892888703626993</v>
      </c>
      <c r="AD60" s="25">
        <f t="array" ref="AD60">IFERROR(_xll.FDS($B60,"FG_PRICE(0,,,USD)/FG_PRICE_MAVG(0,,,USD,50)")-1, "")</f>
        <v>-0.17907408864904795</v>
      </c>
      <c r="AE60" s="25">
        <f t="array" ref="AE60">IFERROR(_xll.FDS($B60,"FG_PRICE(0,,,USD)/FG_PRICE_MAVG(0,,,USD,100)")-1, "")</f>
        <v>-0.267631862135285</v>
      </c>
      <c r="AF60" s="25">
        <f t="array" ref="AF60">IFERROR(_xll.FDS($B60,"FG_PRICE(0,,,USD)/FG_PRICE_MAVG(0,,,USD,200)")-1, "")</f>
        <v>-0.24376396861573202</v>
      </c>
      <c r="AG60" s="26" t="str">
        <f t="array" ref="AG60">IFERROR(_xll.FDS($B60,"FE_RATING(MEAN,TEXTONLY,0,NOW,,,'')"), "")</f>
        <v>Hold</v>
      </c>
      <c r="AH60" s="50">
        <f>IFERROR(IF('3 — Weights'!$E$2=1,PERCENTRANK(I$4:I$91,I60),1-PERCENTRANK(I$4:I$91,I60))*100,"")</f>
        <v>77</v>
      </c>
      <c r="AI60" s="51">
        <f>IFERROR(IF('3 — Weights'!$E$3=1,PERCENTRANK(J$4:J$91,J60),1-PERCENTRANK(J$4:J$91,J60))*100,"")</f>
        <v>65.5</v>
      </c>
      <c r="AJ60" s="51">
        <f>IFERROR(IF('3 — Weights'!$E$4=1,PERCENTRANK(K$4:K$91,K60),1-PERCENTRANK(K$4:K$91,K60))*100,"")</f>
        <v>1.0999999999999999</v>
      </c>
      <c r="AK60" s="51">
        <f>IFERROR(IF('3 — Weights'!$E$5=1,PERCENTRANK(L$4:L$91,L60),1-PERCENTRANK(L$4:L$91,L60))*100,"")</f>
        <v>26.1</v>
      </c>
      <c r="AL60" s="51">
        <f>IFERROR(IF('3 — Weights'!$E$6=1,PERCENTRANK(M$4:M$91,M60),1-PERCENTRANK(M$4:M$91,M60))*100,"")</f>
        <v>26.8</v>
      </c>
      <c r="AM60" s="51">
        <f>IFERROR(IF('3 — Weights'!$E$7=1,PERCENTRANK(N$4:N$91,N60),1-PERCENTRANK(N$4:N$91,N60))*100,"")</f>
        <v>80.5</v>
      </c>
      <c r="AN60" s="51">
        <f>IFERROR(IF('3 — Weights'!$E$8=1,PERCENTRANK(O$4:O$91,O60),1-PERCENTRANK(O$4:O$91,O60))*100,"")</f>
        <v>43.3</v>
      </c>
      <c r="AO60" s="51">
        <f>IFERROR(IF('3 — Weights'!$E$9=1,PERCENTRANK(P$4:P$91,P60),1-PERCENTRANK(P$4:P$91,P60))*100,"")</f>
        <v>3.7000000000000033</v>
      </c>
      <c r="AP60" s="51">
        <f>IFERROR(IF('3 — Weights'!$E$10=1,PERCENTRANK(Q$4:Q$91,Q60),1-PERCENTRANK(Q$4:Q$91,Q60))*100,"")</f>
        <v>100</v>
      </c>
      <c r="AQ60" s="51">
        <f>IFERROR(IF('3 — Weights'!$E$11=1,PERCENTRANK(R$4:R$91,R60),1-PERCENTRANK(R$4:R$91,R60))*100,"")</f>
        <v>98.7</v>
      </c>
      <c r="AR60" s="51">
        <f>IFERROR(IF('3 — Weights'!$E$12=1,PERCENTRANK(S$4:S$91,S60),1-PERCENTRANK(S$4:S$91,S60))*100,"")</f>
        <v>60.4</v>
      </c>
      <c r="AS60" s="51">
        <f>IFERROR(IF('3 — Weights'!$E$13=1,PERCENTRANK(T$4:T$91,T60),1-PERCENTRANK(T$4:T$91,T60))*100,"")</f>
        <v>25</v>
      </c>
      <c r="AT60" s="51">
        <f>IFERROR(IF('3 — Weights'!$E$14=1,PERCENTRANK(U$4:U$91,U60),1-PERCENTRANK(U$4:U$91,U60))*100,"")</f>
        <v>6</v>
      </c>
      <c r="AU60" s="51">
        <f>IFERROR(IF('3 — Weights'!$E$15=1,PERCENTRANK(V$4:V$91,V60),1-PERCENTRANK(V$4:V$91,V60))*100,"")</f>
        <v>100</v>
      </c>
      <c r="AV60" s="51">
        <f>IFERROR(IF('3 — Weights'!$E$16=1,PERCENTRANK(W$4:W$91,W60),1-PERCENTRANK(W$4:W$91,W60))*100,"")</f>
        <v>98.9</v>
      </c>
      <c r="AW60" s="51">
        <f>IFERROR(IF('3 — Weights'!$E$17=1,PERCENTRANK(X$4:X$91,X60),1-PERCENTRANK(X$4:X$91,X60))*100,"")</f>
        <v>94.3</v>
      </c>
      <c r="AX60" s="51">
        <f>IFERROR(IF('3 — Weights'!$E$18=1,PERCENTRANK(Y$4:Y$91,Y60),1-PERCENTRANK(Y$4:Y$91,Y60))*100,"")</f>
        <v>97.7</v>
      </c>
      <c r="AY60" s="51">
        <f>IFERROR(IF('3 — Weights'!$E$18=1,PERCENTRANK(Z$4:Z$91,Z60),1-PERCENTRANK(Z$4:Z$91,Z60))*100,"")</f>
        <v>23</v>
      </c>
      <c r="AZ60" s="51">
        <f>IFERROR(IF('3 — Weights'!$E$18=1,PERCENTRANK(AA$4:AA$91,AA60),1-PERCENTRANK(AA$4:AA$91,AA60))*100,"")</f>
        <v>9.3999999999999968</v>
      </c>
      <c r="BA60" s="51">
        <f>IFERROR(IF('3 — Weights'!$E$21=1,PERCENTRANK(AB$4:AB$91,AB60),1-PERCENTRANK(AB$4:AB$91,AB60))*100,"")</f>
        <v>62</v>
      </c>
      <c r="BB60" s="51">
        <f>IFERROR(IF('3 — Weights'!$E$22=1,PERCENTRANK(AC$4:AC$91,AC60),1-PERCENTRANK(AC$4:AC$91,AC60))*100,"")</f>
        <v>28.7</v>
      </c>
      <c r="BC60" s="51">
        <f>IFERROR(IF('3 — Weights'!$E$23=1,PERCENTRANK(AD$4:AD$91,AD60),1-PERCENTRANK(AD$4:AD$91,AD60))*100,"")</f>
        <v>47.199999999999996</v>
      </c>
      <c r="BD60" s="51">
        <f>IFERROR(IF('3 — Weights'!$E$24=1,PERCENTRANK(AE$4:AE$91,AE60),1-PERCENTRANK(AE$4:AE$91,AE60))*100,"")</f>
        <v>58.699999999999996</v>
      </c>
      <c r="BE60" s="51">
        <f>IFERROR(IF('3 — Weights'!$E$25=1,PERCENTRANK(AF$4:AF$91,AF60),1-PERCENTRANK(AF$4:AF$91,AF60))*100,"")</f>
        <v>35.699999999999996</v>
      </c>
      <c r="BF60" s="52" cm="1">
        <f t="array" ref="BF60">IFERROR(SUMPRODUCT(TRANSPOSE(AH60:BE60), [1]!Table2[Weight
Claude]),"")</f>
        <v>44.044999999999995</v>
      </c>
      <c r="BG60" s="53" cm="1">
        <f t="array" ref="BG60">IFERROR(SUMPRODUCT(TRANSPOSE(AH60:BE60), [1]!Table2[Weight
Cape IMC]),"")</f>
        <v>44.044999999999995</v>
      </c>
    </row>
    <row r="61" spans="1:59" ht="22.5" customHeight="1" x14ac:dyDescent="0.25">
      <c r="A61" s="17">
        <f t="shared" si="0"/>
        <v>58</v>
      </c>
      <c r="B61" s="18" t="s">
        <v>193</v>
      </c>
      <c r="C61" s="18" t="s">
        <v>194</v>
      </c>
      <c r="D61" s="18" t="str">
        <f t="array" ref="D61">IFERROR(_xll.FDS($B61,"FR_RBICS_NAME_CURR(""IND"")"), "")</f>
        <v>Business Intelligence Software</v>
      </c>
      <c r="E61" s="18" t="str">
        <f t="array" ref="E61">PROPER(IFERROR(_xll.FDS($B61,"P_DCOUNTRY"), ""))</f>
        <v>United Arab Emirates</v>
      </c>
      <c r="F61" s="19">
        <f t="array" ref="F61">IFERROR(_xll.FDS($B61,"FCS_EV_DAILY(MV,NOW,,,USD,M)"), "")</f>
        <v>5543.0187478366597</v>
      </c>
      <c r="G61" s="19">
        <f t="array" ref="G61">IFERROR(_xll.FDS($B61,"AVG(P_VOLUME_FRQ(-1AM,NOW,D,,6))*P_PRICE_AVG(-1AM,NOW,,USD)"), "")</f>
        <v>4.5781308869172896</v>
      </c>
      <c r="H61" s="20">
        <f t="array" ref="H61">IFERROR(_xll.FDS($B61,"OS_SEC_FLT_PCT(0D,,MTD,SEC)")/100, "")</f>
        <v>0.14499999999999999</v>
      </c>
      <c r="I61" s="19">
        <f t="array" ref="I61">IFERROR(_xll.FDS($B61,"FE_ACTUAL(ACTUAL,SALES,ANN_ROLL,0,,,,'CURRENCY=USD')"), "")</f>
        <v>824.91143999999997</v>
      </c>
      <c r="J61" s="19">
        <f t="array" ref="J61">IFERROR(_xll.FDS($B61,"FE_ACTUAL(ACTUAL,EPS,ANN_ROLL,0,,,,'CURRENCY=USD')"), "")</f>
        <v>3.0309143E-2</v>
      </c>
      <c r="K61" s="20">
        <f t="array" ref="K61">IFERROR(_xll.FDS($B61,"POW(FE_ESTIMATE(SALES,MEAN,STMA,,NOW,,,'CURRENCY=USD')/FE_ESTIMATE(SALES,MEAN,LTMA,,NOW,,,'CURRENCY=USD'),0.5)-1"), "")</f>
        <v>0.23198031640120001</v>
      </c>
      <c r="L61" s="20">
        <f t="array" ref="L61">IFERROR(_xll.FDS($B61,"POW(FE_ESTIMATE(EPS,MEAN,STMA,,NOW,,,'CURRENCY=USD')/FE_ESTIMATE(EPS,MEAN,LTMA,,NOW,,,'CURRENCY=USD'),0.5)-1"), "")</f>
        <v>0.24191706647424699</v>
      </c>
      <c r="M61" s="21">
        <f t="array" ref="M61">IFERROR(_xll.FDS($B61,"FF_GROSS_MGN(LTM_R,0)"), "")</f>
        <v>36.7841486022335</v>
      </c>
      <c r="N61" s="21">
        <f t="array" ref="N61">IFERROR(_xll.FDS($B61,"FF_EBITDA_OPER_MGN(LTM_R,0)"), "")</f>
        <v>25.9004383253667</v>
      </c>
      <c r="O61" s="21">
        <f t="array" ref="O61">IFERROR(_xll.FDS($B61,"FF_NET_MGN(LTM_R,0)"), "")</f>
        <v>19.2365131862304</v>
      </c>
      <c r="P61" s="22">
        <f t="array" ref="P61">IFERROR(_xll.FDS($B61,"FE_VALUATION(NETDEBT_EBITDA,MEAN,NTMA,,NOW,,,'')"), "")</f>
        <v>-2.0169125000000001</v>
      </c>
      <c r="Q61" s="23">
        <f t="array" ref="Q61">IFERROR(_xll.FDS($B61,"FE_VALUATION(MCAP_FCF,MEAN,NTMA,,NOW,,,'')"), "")</f>
        <v>4.6938114000000004</v>
      </c>
      <c r="R61" s="23">
        <f t="array" ref="R61">IFERROR(_xll.FDS($B61,"FE_VALUATION(DIV_YLD,MEAN,NTMA,,NOW,,,'')"), "")</f>
        <v>0</v>
      </c>
      <c r="S61" s="21">
        <f t="array" ref="S61">IFERROR(_xll.FDS($B61,"FE_VALUATION(ROE,MEAN,NTMA,,0,,,'')" ), "")</f>
        <v>14.895284999999999</v>
      </c>
      <c r="T61" s="21" t="str">
        <f t="array" ref="T61">IFERROR(_xll.FDS($B61,"FE_VALUATION(ROIC,MEAN,NTMA,,0,,,'')" ), "")</f>
        <v/>
      </c>
      <c r="U61" s="22">
        <f t="array" ref="U61">IFERROR(((_xll.FDS($B61,"FE_ACTUAL(ACTUAL,SALES,ANN_ROLL,0,,,,'CURRENCY=USD')")/_xll.FDS($B61,"FE_ACTUAL(ACTUAL,SALES,ANN_ROLL,-1,,,,'CURRENCY=USD')")-1)*100)+(_xll.FDS($B61,"FE_VALUATION(EBITDA_MARGIN,MEAN,ANN_ROLL,0,NOW,,,'')")  ), "")</f>
        <v>62.793397461107332</v>
      </c>
      <c r="V61" s="24">
        <f t="array" ref="V61">IFERROR(_xll.FDS($B61,"FE_VALUATION(PE,MEAN,NTMA,,0,,,'')" ), "")</f>
        <v>26.057960000000001</v>
      </c>
      <c r="W61" s="24">
        <f t="array" ref="W61">IFERROR(_xll.FDS($B61,"FE_VALUATION(P_SALESPS,MEAN,NTMA,,0,,,'')" ), "")</f>
        <v>5.2245355</v>
      </c>
      <c r="X61" s="24">
        <f t="array" ref="X61">IFERROR(_xll.FDS($B61,"FE_VALUATION(FFEV_SALES,MEAN,NTMA,,0,,,'')" ), "")</f>
        <v>4.7713323000000001</v>
      </c>
      <c r="Y61" s="24">
        <f t="array" ref="Y61">IFERROR(_xll.FDS($B61,"FE_VALUATION(FFEV_EBITDA,MEAN,NTMA,,0,,,'')" ), "")</f>
        <v>17.870975000000001</v>
      </c>
      <c r="Z61" s="20">
        <f t="array" ref="Z61">IFERROR(_xll.FDS($B61,"PERCENT_CHANGE(FE_VALUATION(PE,MEAN,NTMA,,0,,,''),MAX(FE_VALUATION(PE,MEAN,NTMA,,-1AY,0,,'')))")/100,"")</f>
        <v>-0.30928109166941797</v>
      </c>
      <c r="AA61" s="20">
        <f t="array" ref="AA61">IFERROR(_xll.FDS($B61,"PERCENT_CHANGE(FE_VALUATION(FFEV_EBITDA,MEAN,NTMA,,0,,,''),MAX(FE_VALUATION(FFEV_EBITDA,MEAN,NTMA,,-1AY,0,,'')))")/100,"")</f>
        <v>-0.23626686585039303</v>
      </c>
      <c r="AB61" s="20">
        <f t="array" ref="AB61">IFERROR(_xll.FDS($B61,"FG_PRICE(0,,,USD)/P_PRICE_HIGH(-1AY,0,USD,,,""PRICE"",""INTRA"")")-1, "")</f>
        <v>-0.11463412842438903</v>
      </c>
      <c r="AC61" s="20">
        <f t="array" ref="AC61">IFERROR(_xll.FDS($B61,"RTP_PRICE_TARGET(USD)/FG_PRICE(0,,,USD)")-1, "")</f>
        <v>0.24104682201864991</v>
      </c>
      <c r="AD61" s="25">
        <f t="array" ref="AD61">IFERROR(_xll.FDS($B61,"FG_PRICE(0,,,USD)/FG_PRICE_MAVG(0,,,USD,50)")-1, "")</f>
        <v>6.0949556538590022E-2</v>
      </c>
      <c r="AE61" s="25">
        <f t="array" ref="AE61">IFERROR(_xll.FDS($B61,"FG_PRICE(0,,,USD)/FG_PRICE_MAVG(0,,,USD,100)")-1, "")</f>
        <v>6.6627435477099928E-2</v>
      </c>
      <c r="AF61" s="25">
        <f t="array" ref="AF61">IFERROR(_xll.FDS($B61,"FG_PRICE(0,,,USD)/FG_PRICE_MAVG(0,,,USD,200)")-1, "")</f>
        <v>9.0564630607399943E-2</v>
      </c>
      <c r="AG61" s="26" t="str">
        <f t="array" ref="AG61">IFERROR(_xll.FDS($B61,"FE_RATING(MEAN,TEXTONLY,0,NOW,,,'')"), "")</f>
        <v>Buy</v>
      </c>
      <c r="AH61" s="50">
        <f>IFERROR(IF('3 — Weights'!$E$2=1,PERCENTRANK(I$4:I$91,I61),1-PERCENTRANK(I$4:I$91,I61))*100,"")</f>
        <v>24.099999999999998</v>
      </c>
      <c r="AI61" s="51">
        <f>IFERROR(IF('3 — Weights'!$E$3=1,PERCENTRANK(J$4:J$91,J61),1-PERCENTRANK(J$4:J$91,J61))*100,"")</f>
        <v>6.8000000000000007</v>
      </c>
      <c r="AJ61" s="51">
        <f>IFERROR(IF('3 — Weights'!$E$4=1,PERCENTRANK(K$4:K$91,K61),1-PERCENTRANK(K$4:K$91,K61))*100,"")</f>
        <v>91.9</v>
      </c>
      <c r="AK61" s="51">
        <f>IFERROR(IF('3 — Weights'!$E$5=1,PERCENTRANK(L$4:L$91,L61),1-PERCENTRANK(L$4:L$91,L61))*100,"")</f>
        <v>72.599999999999994</v>
      </c>
      <c r="AL61" s="51">
        <f>IFERROR(IF('3 — Weights'!$E$6=1,PERCENTRANK(M$4:M$91,M61),1-PERCENTRANK(M$4:M$91,M61))*100,"")</f>
        <v>3.5999999999999996</v>
      </c>
      <c r="AM61" s="51">
        <f>IFERROR(IF('3 — Weights'!$E$7=1,PERCENTRANK(N$4:N$91,N61),1-PERCENTRANK(N$4:N$91,N61))*100,"")</f>
        <v>63.6</v>
      </c>
      <c r="AN61" s="51">
        <f>IFERROR(IF('3 — Weights'!$E$8=1,PERCENTRANK(O$4:O$91,O61),1-PERCENTRANK(O$4:O$91,O61))*100,"")</f>
        <v>72.2</v>
      </c>
      <c r="AO61" s="51">
        <f>IFERROR(IF('3 — Weights'!$E$9=1,PERCENTRANK(P$4:P$91,P61),1-PERCENTRANK(P$4:P$91,P61))*100,"")</f>
        <v>63.9</v>
      </c>
      <c r="AP61" s="51">
        <f>IFERROR(IF('3 — Weights'!$E$10=1,PERCENTRANK(Q$4:Q$91,Q61),1-PERCENTRANK(Q$4:Q$91,Q61))*100,"")</f>
        <v>42.8</v>
      </c>
      <c r="AQ61" s="51">
        <f>IFERROR(IF('3 — Weights'!$E$11=1,PERCENTRANK(R$4:R$91,R61),1-PERCENTRANK(R$4:R$91,R61))*100,"")</f>
        <v>0</v>
      </c>
      <c r="AR61" s="51">
        <f>IFERROR(IF('3 — Weights'!$E$12=1,PERCENTRANK(S$4:S$91,S61),1-PERCENTRANK(S$4:S$91,S61))*100,"")</f>
        <v>29.599999999999998</v>
      </c>
      <c r="AS61" s="51" t="str">
        <f>IFERROR(IF('3 — Weights'!$E$13=1,PERCENTRANK(T$4:T$91,T61),1-PERCENTRANK(T$4:T$91,T61))*100,"")</f>
        <v/>
      </c>
      <c r="AT61" s="51">
        <f>IFERROR(IF('3 — Weights'!$E$14=1,PERCENTRANK(U$4:U$91,U61),1-PERCENTRANK(U$4:U$91,U61))*100,"")</f>
        <v>87.8</v>
      </c>
      <c r="AU61" s="51">
        <f>IFERROR(IF('3 — Weights'!$E$15=1,PERCENTRANK(V$4:V$91,V61),1-PERCENTRANK(V$4:V$91,V61))*100,"")</f>
        <v>35.699999999999996</v>
      </c>
      <c r="AV61" s="51">
        <f>IFERROR(IF('3 — Weights'!$E$16=1,PERCENTRANK(W$4:W$91,W61),1-PERCENTRANK(W$4:W$91,W61))*100,"")</f>
        <v>43.7</v>
      </c>
      <c r="AW61" s="51">
        <f>IFERROR(IF('3 — Weights'!$E$17=1,PERCENTRANK(X$4:X$91,X61),1-PERCENTRANK(X$4:X$91,X61))*100,"")</f>
        <v>50.6</v>
      </c>
      <c r="AX61" s="51">
        <f>IFERROR(IF('3 — Weights'!$E$18=1,PERCENTRANK(Y$4:Y$91,Y61),1-PERCENTRANK(Y$4:Y$91,Y61))*100,"")</f>
        <v>38.4</v>
      </c>
      <c r="AY61" s="51">
        <f>IFERROR(IF('3 — Weights'!$E$18=1,PERCENTRANK(Z$4:Z$91,Z61),1-PERCENTRANK(Z$4:Z$91,Z61))*100,"")</f>
        <v>10.399999999999999</v>
      </c>
      <c r="AZ61" s="51">
        <f>IFERROR(IF('3 — Weights'!$E$18=1,PERCENTRANK(AA$4:AA$91,AA61),1-PERCENTRANK(AA$4:AA$91,AA61))*100,"")</f>
        <v>3.5000000000000031</v>
      </c>
      <c r="BA61" s="51">
        <f>IFERROR(IF('3 — Weights'!$E$21=1,PERCENTRANK(AB$4:AB$91,AB61),1-PERCENTRANK(AB$4:AB$91,AB61))*100,"")</f>
        <v>97.7</v>
      </c>
      <c r="BB61" s="51">
        <f>IFERROR(IF('3 — Weights'!$E$22=1,PERCENTRANK(AC$4:AC$91,AC61),1-PERCENTRANK(AC$4:AC$91,AC61))*100,"")</f>
        <v>12.6</v>
      </c>
      <c r="BC61" s="51">
        <f>IFERROR(IF('3 — Weights'!$E$23=1,PERCENTRANK(AD$4:AD$91,AD61),1-PERCENTRANK(AD$4:AD$91,AD61))*100,"")</f>
        <v>3.5000000000000031</v>
      </c>
      <c r="BD61" s="51">
        <f>IFERROR(IF('3 — Weights'!$E$24=1,PERCENTRANK(AE$4:AE$91,AE61),1-PERCENTRANK(AE$4:AE$91,AE61))*100,"")</f>
        <v>4.6000000000000041</v>
      </c>
      <c r="BE61" s="51">
        <f>IFERROR(IF('3 — Weights'!$E$25=1,PERCENTRANK(AF$4:AF$91,AF61),1-PERCENTRANK(AF$4:AF$91,AF61))*100,"")</f>
        <v>3.5000000000000031</v>
      </c>
      <c r="BF61" s="52" cm="1">
        <f t="array" ref="BF61">IFERROR(SUMPRODUCT(TRANSPOSE(AH61:BE61), [1]!Table2[Weight
Claude]),"")</f>
        <v>44.040000000000006</v>
      </c>
      <c r="BG61" s="53" cm="1">
        <f t="array" ref="BG61">IFERROR(SUMPRODUCT(TRANSPOSE(AH61:BE61), [1]!Table2[Weight
Cape IMC]),"")</f>
        <v>44.040000000000006</v>
      </c>
    </row>
    <row r="62" spans="1:59" ht="22.5" customHeight="1" x14ac:dyDescent="0.25">
      <c r="A62" s="17">
        <f t="shared" si="0"/>
        <v>59</v>
      </c>
      <c r="B62" s="18" t="s">
        <v>195</v>
      </c>
      <c r="C62" s="18" t="s">
        <v>196</v>
      </c>
      <c r="D62" s="18" t="str">
        <f t="array" ref="D62">IFERROR(_xll.FDS($B62,"FR_RBICS_NAME_CURR(""IND"")"), "")</f>
        <v>Industry-Specific Software</v>
      </c>
      <c r="E62" s="18" t="str">
        <f t="array" ref="E62">PROPER(IFERROR(_xll.FDS($B62,"P_DCOUNTRY"), ""))</f>
        <v>United States</v>
      </c>
      <c r="F62" s="19">
        <f t="array" ref="F62">IFERROR(_xll.FDS($B62,"FCS_EV_DAILY(MV,NOW,,,USD,M)"), "")</f>
        <v>59178.757573133997</v>
      </c>
      <c r="G62" s="19">
        <f t="array" ref="G62">IFERROR(_xll.FDS($B62,"AVG(P_VOLUME_FRQ(-1AM,NOW,D,,6))*P_PRICE_AVG(-1AM,NOW,,USD)"), "")</f>
        <v>2398.9996140391299</v>
      </c>
      <c r="H62" s="20">
        <f t="array" ref="H62">IFERROR(_xll.FDS($B62,"OS_SEC_FLT_PCT(0D,,MTD,SEC)")/100, "")</f>
        <v>0.763845</v>
      </c>
      <c r="I62" s="19">
        <f t="array" ref="I62">IFERROR(_xll.FDS($B62,"FE_ACTUAL(ACTUAL,SALES,ANN_ROLL,0,,,,'CURRENCY=USD')"), "")</f>
        <v>1915.4</v>
      </c>
      <c r="J62" s="19">
        <f t="array" ref="J62">IFERROR(_xll.FDS($B62,"FE_ACTUAL(ACTUAL,EPS,ANN_ROLL,0,,,,'CURRENCY=USD')"), "")</f>
        <v>-0.26905000000000001</v>
      </c>
      <c r="K62" s="20">
        <f t="array" ref="K62">IFERROR(_xll.FDS($B62,"POW(FE_ESTIMATE(SALES,MEAN,STMA,,NOW,,,'CURRENCY=USD')/FE_ESTIMATE(SALES,MEAN,LTMA,,NOW,,,'CURRENCY=USD'),0.5)-1"), "")</f>
        <v>0.86451253683100804</v>
      </c>
      <c r="L62" s="20" t="str">
        <f t="array" ref="L62">IFERROR(_xll.FDS($B62,"POW(FE_ESTIMATE(EPS,MEAN,STMA,,NOW,,,'CURRENCY=USD')/FE_ESTIMATE(EPS,MEAN,LTMA,,NOW,,,'CURRENCY=USD'),0.5)-1"), "")</f>
        <v/>
      </c>
      <c r="M62" s="21">
        <f t="array" ref="M62">IFERROR(_xll.FDS($B62,"FF_GROSS_MGN(LTM_R,0)"), "")</f>
        <v>49.230907542026401</v>
      </c>
      <c r="N62" s="21">
        <f t="array" ref="N62">IFERROR(_xll.FDS($B62,"FF_EBITDA_OPER_MGN(LTM_R,0)"), "")</f>
        <v>50.043561794355803</v>
      </c>
      <c r="O62" s="21">
        <f t="array" ref="O62">IFERROR(_xll.FDS($B62,"FF_NET_MGN(LTM_R,0)"), "")</f>
        <v>-17.8019591661585</v>
      </c>
      <c r="P62" s="22">
        <f t="array" ref="P62">IFERROR(_xll.FDS($B62,"FE_VALUATION(NETDEBT_EBITDA,MEAN,NTMA,,NOW,,,'')"), "")</f>
        <v>4.2364110000000004</v>
      </c>
      <c r="Q62" s="23">
        <f t="array" ref="Q62">IFERROR(_xll.FDS($B62,"FE_VALUATION(MCAP_FCF,MEAN,NTMA,,NOW,,,'')"), "")</f>
        <v>-33.443184000000002</v>
      </c>
      <c r="R62" s="23">
        <f t="array" ref="R62">IFERROR(_xll.FDS($B62,"FE_VALUATION(DIV_YLD,MEAN,NTMA,,NOW,,,'')"), "")</f>
        <v>0</v>
      </c>
      <c r="S62" s="21">
        <f t="array" ref="S62">IFERROR(_xll.FDS($B62,"FE_VALUATION(ROE,MEAN,NTMA,,0,,,'')" ), "")</f>
        <v>0.94471854</v>
      </c>
      <c r="T62" s="21">
        <f t="array" ref="T62">IFERROR(_xll.FDS($B62,"FE_VALUATION(ROIC,MEAN,NTMA,,0,,,'')" ), "")</f>
        <v>-0.37595856</v>
      </c>
      <c r="U62" s="22" t="str">
        <f t="array" ref="U62">IFERROR(((_xll.FDS($B62,"FE_ACTUAL(ACTUAL,SALES,ANN_ROLL,0,,,,'CURRENCY=USD')")/_xll.FDS($B62,"FE_ACTUAL(ACTUAL,SALES,ANN_ROLL,-1,,,,'CURRENCY=USD')")-1)*100)+(_xll.FDS($B62,"FE_VALUATION(EBITDA_MARGIN,MEAN,ANN_ROLL,0,NOW,,,'')")  ), "")</f>
        <v/>
      </c>
      <c r="V62" s="24">
        <f t="array" ref="V62">IFERROR(_xll.FDS($B62,"FE_VALUATION(PE,MEAN,NTMA,,0,,,'')" ), "")</f>
        <v>1349.7896000000001</v>
      </c>
      <c r="W62" s="24">
        <f t="array" ref="W62">IFERROR(_xll.FDS($B62,"FE_VALUATION(P_SALESPS,MEAN,NTMA,,0,,,'')" ), "")</f>
        <v>3.8872944999999999</v>
      </c>
      <c r="X62" s="24">
        <f t="array" ref="X62">IFERROR(_xll.FDS($B62,"FE_VALUATION(FFEV_SALES,MEAN,NTMA,,0,,,'')" ), "")</f>
        <v>4.9326999999999996</v>
      </c>
      <c r="Y62" s="24">
        <f t="array" ref="Y62">IFERROR(_xll.FDS($B62,"FE_VALUATION(FFEV_EBITDA,MEAN,NTMA,,0,,,'')" ), "")</f>
        <v>7.2627034000000004</v>
      </c>
      <c r="Z62" s="20">
        <f t="array" ref="Z62">IFERROR(_xll.FDS($B62,"PERCENT_CHANGE(FE_VALUATION(PE,MEAN,NTMA,,0,,,''),MAX(FE_VALUATION(PE,MEAN,NTMA,,-1AY,0,,'')))")/100,"")</f>
        <v>-0.72492164496330402</v>
      </c>
      <c r="AA62" s="20">
        <f t="array" ref="AA62">IFERROR(_xll.FDS($B62,"PERCENT_CHANGE(FE_VALUATION(FFEV_EBITDA,MEAN,NTMA,,0,,,''),MAX(FE_VALUATION(FFEV_EBITDA,MEAN,NTMA,,-1AY,0,,'')))")/100,"")</f>
        <v>-0.53712185747206898</v>
      </c>
      <c r="AB62" s="20">
        <f t="array" ref="AB62">IFERROR(_xll.FDS($B62,"FG_PRICE(0,,,USD)/P_PRICE_HIGH(-1AY,0,USD,,,""PRICE"",""INTRA"")")-1, "")</f>
        <v>-0.46898395721925101</v>
      </c>
      <c r="AC62" s="20">
        <f t="array" ref="AC62">IFERROR(_xll.FDS($B62,"RTP_PRICE_TARGET(USD)/FG_PRICE(0,,,USD)")-1, "")</f>
        <v>0.2559344410876101</v>
      </c>
      <c r="AD62" s="25">
        <f t="array" ref="AD62">IFERROR(_xll.FDS($B62,"FG_PRICE(0,,,USD)/FG_PRICE_MAVG(0,,,USD,50)")-1, "")</f>
        <v>0.14305579217334996</v>
      </c>
      <c r="AE62" s="25">
        <f t="array" ref="AE62">IFERROR(_xll.FDS($B62,"FG_PRICE(0,,,USD)/FG_PRICE_MAVG(0,,,USD,100)")-1, "")</f>
        <v>1.6512961308019936E-2</v>
      </c>
      <c r="AF62" s="25">
        <f t="array" ref="AF62">IFERROR(_xll.FDS($B62,"FG_PRICE(0,,,USD)/FG_PRICE_MAVG(0,,,USD,200)")-1, "")</f>
        <v>-9.1857307279179956E-2</v>
      </c>
      <c r="AG62" s="26" t="str">
        <f t="array" ref="AG62">IFERROR(_xll.FDS($B62,"FE_RATING(MEAN,TEXTONLY,0,NOW,,,'')"), "")</f>
        <v>Overweight</v>
      </c>
      <c r="AH62" s="50">
        <f>IFERROR(IF('3 — Weights'!$E$2=1,PERCENTRANK(I$4:I$91,I62),1-PERCENTRANK(I$4:I$91,I62))*100,"")</f>
        <v>54</v>
      </c>
      <c r="AI62" s="51">
        <f>IFERROR(IF('3 — Weights'!$E$3=1,PERCENTRANK(J$4:J$91,J62),1-PERCENTRANK(J$4:J$91,J62))*100,"")</f>
        <v>1.0999999999999999</v>
      </c>
      <c r="AJ62" s="51">
        <f>IFERROR(IF('3 — Weights'!$E$4=1,PERCENTRANK(K$4:K$91,K62),1-PERCENTRANK(K$4:K$91,K62))*100,"")</f>
        <v>100</v>
      </c>
      <c r="AK62" s="51" t="str">
        <f>IFERROR(IF('3 — Weights'!$E$5=1,PERCENTRANK(L$4:L$91,L62),1-PERCENTRANK(L$4:L$91,L62))*100,"")</f>
        <v/>
      </c>
      <c r="AL62" s="51">
        <f>IFERROR(IF('3 — Weights'!$E$6=1,PERCENTRANK(M$4:M$91,M62),1-PERCENTRANK(M$4:M$91,M62))*100,"")</f>
        <v>12.1</v>
      </c>
      <c r="AM62" s="51">
        <f>IFERROR(IF('3 — Weights'!$E$7=1,PERCENTRANK(N$4:N$91,N62),1-PERCENTRANK(N$4:N$91,N62))*100,"")</f>
        <v>96.1</v>
      </c>
      <c r="AN62" s="51">
        <f>IFERROR(IF('3 — Weights'!$E$8=1,PERCENTRANK(O$4:O$91,O62),1-PERCENTRANK(O$4:O$91,O62))*100,"")</f>
        <v>9.6</v>
      </c>
      <c r="AO62" s="51">
        <f>IFERROR(IF('3 — Weights'!$E$9=1,PERCENTRANK(P$4:P$91,P62),1-PERCENTRANK(P$4:P$91,P62))*100,"")</f>
        <v>0</v>
      </c>
      <c r="AP62" s="51">
        <f>IFERROR(IF('3 — Weights'!$E$10=1,PERCENTRANK(Q$4:Q$91,Q62),1-PERCENTRANK(Q$4:Q$91,Q62))*100,"")</f>
        <v>0</v>
      </c>
      <c r="AQ62" s="51">
        <f>IFERROR(IF('3 — Weights'!$E$11=1,PERCENTRANK(R$4:R$91,R62),1-PERCENTRANK(R$4:R$91,R62))*100,"")</f>
        <v>0</v>
      </c>
      <c r="AR62" s="51">
        <f>IFERROR(IF('3 — Weights'!$E$12=1,PERCENTRANK(S$4:S$91,S62),1-PERCENTRANK(S$4:S$91,S62))*100,"")</f>
        <v>1.2</v>
      </c>
      <c r="AS62" s="51">
        <f>IFERROR(IF('3 — Weights'!$E$13=1,PERCENTRANK(T$4:T$91,T62),1-PERCENTRANK(T$4:T$91,T62))*100,"")</f>
        <v>2.7</v>
      </c>
      <c r="AT62" s="51" t="str">
        <f>IFERROR(IF('3 — Weights'!$E$14=1,PERCENTRANK(U$4:U$91,U62),1-PERCENTRANK(U$4:U$91,U62))*100,"")</f>
        <v/>
      </c>
      <c r="AU62" s="51">
        <f>IFERROR(IF('3 — Weights'!$E$15=1,PERCENTRANK(V$4:V$91,V62),1-PERCENTRANK(V$4:V$91,V62))*100,"")</f>
        <v>1.2000000000000011</v>
      </c>
      <c r="AV62" s="51">
        <f>IFERROR(IF('3 — Weights'!$E$16=1,PERCENTRANK(W$4:W$91,W62),1-PERCENTRANK(W$4:W$91,W62))*100,"")</f>
        <v>61</v>
      </c>
      <c r="AW62" s="51">
        <f>IFERROR(IF('3 — Weights'!$E$17=1,PERCENTRANK(X$4:X$91,X62),1-PERCENTRANK(X$4:X$91,X62))*100,"")</f>
        <v>48.3</v>
      </c>
      <c r="AX62" s="51">
        <f>IFERROR(IF('3 — Weights'!$E$18=1,PERCENTRANK(Y$4:Y$91,Y62),1-PERCENTRANK(Y$4:Y$91,Y62))*100,"")</f>
        <v>90.7</v>
      </c>
      <c r="AY62" s="51">
        <f>IFERROR(IF('3 — Weights'!$E$18=1,PERCENTRANK(Z$4:Z$91,Z62),1-PERCENTRANK(Z$4:Z$91,Z62))*100,"")</f>
        <v>89.7</v>
      </c>
      <c r="AZ62" s="51">
        <f>IFERROR(IF('3 — Weights'!$E$18=1,PERCENTRANK(AA$4:AA$91,AA62),1-PERCENTRANK(AA$4:AA$91,AA62))*100,"")</f>
        <v>52.400000000000006</v>
      </c>
      <c r="BA62" s="51">
        <f>IFERROR(IF('3 — Weights'!$E$21=1,PERCENTRANK(AB$4:AB$91,AB62),1-PERCENTRANK(AB$4:AB$91,AB62))*100,"")</f>
        <v>42.5</v>
      </c>
      <c r="BB62" s="51">
        <f>IFERROR(IF('3 — Weights'!$E$22=1,PERCENTRANK(AC$4:AC$91,AC62),1-PERCENTRANK(AC$4:AC$91,AC62))*100,"")</f>
        <v>14.899999999999999</v>
      </c>
      <c r="BC62" s="51">
        <f>IFERROR(IF('3 — Weights'!$E$23=1,PERCENTRANK(AD$4:AD$91,AD62),1-PERCENTRANK(AD$4:AD$91,AD62))*100,"")</f>
        <v>1.2000000000000011</v>
      </c>
      <c r="BD62" s="51">
        <f>IFERROR(IF('3 — Weights'!$E$24=1,PERCENTRANK(AE$4:AE$91,AE62),1-PERCENTRANK(AE$4:AE$91,AE62))*100,"")</f>
        <v>5.8000000000000052</v>
      </c>
      <c r="BE62" s="51">
        <f>IFERROR(IF('3 — Weights'!$E$25=1,PERCENTRANK(AF$4:AF$91,AF62),1-PERCENTRANK(AF$4:AF$91,AF62))*100,"")</f>
        <v>13.8</v>
      </c>
      <c r="BF62" s="52" cm="1">
        <f t="array" ref="BF62">IFERROR(SUMPRODUCT(TRANSPOSE(AH62:BE62), [1]!Table2[Weight
Claude]),"")</f>
        <v>44.04</v>
      </c>
      <c r="BG62" s="53" cm="1">
        <f t="array" ref="BG62">IFERROR(SUMPRODUCT(TRANSPOSE(AH62:BE62), [1]!Table2[Weight
Cape IMC]),"")</f>
        <v>44.04</v>
      </c>
    </row>
    <row r="63" spans="1:59" ht="22.5" customHeight="1" x14ac:dyDescent="0.25">
      <c r="A63" s="17">
        <f t="shared" si="0"/>
        <v>60</v>
      </c>
      <c r="B63" s="18" t="s">
        <v>197</v>
      </c>
      <c r="C63" s="18" t="s">
        <v>198</v>
      </c>
      <c r="D63" s="18" t="str">
        <f t="array" ref="D63">IFERROR(_xll.FDS($B63,"FR_RBICS_NAME_CURR(""IND"")"), "")</f>
        <v>Finance Industry Software</v>
      </c>
      <c r="E63" s="18" t="str">
        <f t="array" ref="E63">PROPER(IFERROR(_xll.FDS($B63,"P_DCOUNTRY"), ""))</f>
        <v>United States</v>
      </c>
      <c r="F63" s="19">
        <f t="array" ref="F63">IFERROR(_xll.FDS($B63,"FCS_EV_DAILY(MV,NOW,,,USD,M)"), "")</f>
        <v>6848.9068173400001</v>
      </c>
      <c r="G63" s="19">
        <f t="array" ref="G63">IFERROR(_xll.FDS($B63,"AVG(P_VOLUME_FRQ(-1AM,NOW,D,,6))*P_PRICE_AVG(-1AM,NOW,,USD)"), "")</f>
        <v>326.80942612758002</v>
      </c>
      <c r="H63" s="20">
        <f t="array" ref="H63">IFERROR(_xll.FDS($B63,"OS_SEC_FLT_PCT(0D,,MTD,SEC)")/100, "")</f>
        <v>0.95635400000000004</v>
      </c>
      <c r="I63" s="19">
        <f t="array" ref="I63">IFERROR(_xll.FDS($B63,"FE_ACTUAL(ACTUAL,SALES,ANN_ROLL,0,,,,'CURRENCY=USD')"), "")</f>
        <v>731.36800000000005</v>
      </c>
      <c r="J63" s="19">
        <f t="array" ref="J63">IFERROR(_xll.FDS($B63,"FE_ACTUAL(ACTUAL,EPS,ANN_ROLL,0,,,,'CURRENCY=USD')"), "")</f>
        <v>0.54</v>
      </c>
      <c r="K63" s="20">
        <f t="array" ref="K63">IFERROR(_xll.FDS($B63,"POW(FE_ESTIMATE(SALES,MEAN,STMA,,NOW,,,'CURRENCY=USD')/FE_ESTIMATE(SALES,MEAN,LTMA,,NOW,,,'CURRENCY=USD'),0.5)-1"), "")</f>
        <v>0.22558186181095199</v>
      </c>
      <c r="L63" s="20">
        <f t="array" ref="L63">IFERROR(_xll.FDS($B63,"POW(FE_ESTIMATE(EPS,MEAN,STMA,,NOW,,,'CURRENCY=USD')/FE_ESTIMATE(EPS,MEAN,LTMA,,NOW,,,'CURRENCY=USD'),0.5)-1"), "")</f>
        <v>0.279696800027256</v>
      </c>
      <c r="M63" s="21">
        <f t="array" ref="M63">IFERROR(_xll.FDS($B63,"FF_GROSS_MGN(LTM_R,0)"), "")</f>
        <v>67.291295216635106</v>
      </c>
      <c r="N63" s="21">
        <f t="array" ref="N63">IFERROR(_xll.FDS($B63,"FF_EBITDA_OPER_MGN(LTM_R,0)"), "")</f>
        <v>15.5360912700583</v>
      </c>
      <c r="O63" s="21">
        <f t="array" ref="O63">IFERROR(_xll.FDS($B63,"FF_NET_MGN(LTM_R,0)"), "")</f>
        <v>-5.34833353387077</v>
      </c>
      <c r="P63" s="22">
        <f t="array" ref="P63">IFERROR(_xll.FDS($B63,"FE_VALUATION(NETDEBT_EBITDA,MEAN,NTMA,,NOW,,,'')"), "")</f>
        <v>1.4655018</v>
      </c>
      <c r="Q63" s="23">
        <f t="array" ref="Q63">IFERROR(_xll.FDS($B63,"FE_VALUATION(MCAP_FCF,MEAN,NTMA,,NOW,,,'')"), "")</f>
        <v>3.4597682999999999</v>
      </c>
      <c r="R63" s="23">
        <f t="array" ref="R63">IFERROR(_xll.FDS($B63,"FE_VALUATION(DIV_YLD,MEAN,NTMA,,NOW,,,'')"), "")</f>
        <v>0</v>
      </c>
      <c r="S63" s="21">
        <f t="array" ref="S63">IFERROR(_xll.FDS($B63,"FE_VALUATION(ROE,MEAN,NTMA,,0,,,'')" ), "")</f>
        <v>9.0955709999999996</v>
      </c>
      <c r="T63" s="21">
        <f t="array" ref="T63">IFERROR(_xll.FDS($B63,"FE_VALUATION(ROIC,MEAN,NTMA,,0,,,'')" ), "")</f>
        <v>7.2195770000000001</v>
      </c>
      <c r="U63" s="22">
        <f t="array" ref="U63">IFERROR(((_xll.FDS($B63,"FE_ACTUAL(ACTUAL,SALES,ANN_ROLL,0,,,,'CURRENCY=USD')")/_xll.FDS($B63,"FE_ACTUAL(ACTUAL,SALES,ANN_ROLL,-1,,,,'CURRENCY=USD')")-1)*100)+(_xll.FDS($B63,"FE_VALUATION(EBITDA_MARGIN,MEAN,ANN_ROLL,0,NOW,,,'')")  ), "")</f>
        <v>95.812668507973626</v>
      </c>
      <c r="V63" s="24">
        <f t="array" ref="V63">IFERROR(_xll.FDS($B63,"FE_VALUATION(PE,MEAN,NTMA,,0,,,'')" ), "")</f>
        <v>31.532639</v>
      </c>
      <c r="W63" s="24">
        <f t="array" ref="W63">IFERROR(_xll.FDS($B63,"FE_VALUATION(P_SALESPS,MEAN,NTMA,,0,,,'')" ), "")</f>
        <v>7.0697517000000003</v>
      </c>
      <c r="X63" s="24">
        <f t="array" ref="X63">IFERROR(_xll.FDS($B63,"FE_VALUATION(FFEV_SALES,MEAN,NTMA,,0,,,'')" ), "")</f>
        <v>7.2733635999999997</v>
      </c>
      <c r="Y63" s="24">
        <f t="array" ref="Y63">IFERROR(_xll.FDS($B63,"FE_VALUATION(FFEV_EBITDA,MEAN,NTMA,,0,,,'')" ), "")</f>
        <v>20.685911000000001</v>
      </c>
      <c r="Z63" s="20">
        <f t="array" ref="Z63">IFERROR(_xll.FDS($B63,"PERCENT_CHANGE(FE_VALUATION(PE,MEAN,NTMA,,0,,,''),MAX(FE_VALUATION(PE,MEAN,NTMA,,-1AY,0,,'')))")/100,"")</f>
        <v>-0.43743799267556704</v>
      </c>
      <c r="AA63" s="20">
        <f t="array" ref="AA63">IFERROR(_xll.FDS($B63,"PERCENT_CHANGE(FE_VALUATION(FFEV_EBITDA,MEAN,NTMA,,0,,,''),MAX(FE_VALUATION(FFEV_EBITDA,MEAN,NTMA,,-1AY,0,,'')))")/100,"")</f>
        <v>-0.489548367795136</v>
      </c>
      <c r="AB63" s="20">
        <f t="array" ref="AB63">IFERROR(_xll.FDS($B63,"FG_PRICE(0,,,USD)/P_PRICE_HIGH(-1AY,0,USD,,,""PRICE"",""INTRA"")")-1, "")</f>
        <v>-0.26575630584829202</v>
      </c>
      <c r="AC63" s="20">
        <f t="array" ref="AC63">IFERROR(_xll.FDS($B63,"RTP_PRICE_TARGET(USD)/FG_PRICE(0,,,USD)")-1, "")</f>
        <v>0.12966846419326994</v>
      </c>
      <c r="AD63" s="25">
        <f t="array" ref="AD63">IFERROR(_xll.FDS($B63,"FG_PRICE(0,,,USD)/FG_PRICE_MAVG(0,,,USD,50)")-1, "")</f>
        <v>-1.7538505878663013E-2</v>
      </c>
      <c r="AE63" s="25">
        <f t="array" ref="AE63">IFERROR(_xll.FDS($B63,"FG_PRICE(0,,,USD)/FG_PRICE_MAVG(0,,,USD,100)")-1, "")</f>
        <v>8.2965025555729932E-2</v>
      </c>
      <c r="AF63" s="25">
        <f t="array" ref="AF63">IFERROR(_xll.FDS($B63,"FG_PRICE(0,,,USD)/FG_PRICE_MAVG(0,,,USD,200)")-1, "")</f>
        <v>8.7920701000149926E-2</v>
      </c>
      <c r="AG63" s="26" t="str">
        <f t="array" ref="AG63">IFERROR(_xll.FDS($B63,"FE_RATING(MEAN,TEXTONLY,0,NOW,,,'')"), "")</f>
        <v>Overweight</v>
      </c>
      <c r="AH63" s="50">
        <f>IFERROR(IF('3 — Weights'!$E$2=1,PERCENTRANK(I$4:I$91,I63),1-PERCENTRANK(I$4:I$91,I63))*100,"")</f>
        <v>16</v>
      </c>
      <c r="AI63" s="51">
        <f>IFERROR(IF('3 — Weights'!$E$3=1,PERCENTRANK(J$4:J$91,J63),1-PERCENTRANK(J$4:J$91,J63))*100,"")</f>
        <v>22.900000000000002</v>
      </c>
      <c r="AJ63" s="51">
        <f>IFERROR(IF('3 — Weights'!$E$4=1,PERCENTRANK(K$4:K$91,K63),1-PERCENTRANK(K$4:K$91,K63))*100,"")</f>
        <v>89.600000000000009</v>
      </c>
      <c r="AK63" s="51">
        <f>IFERROR(IF('3 — Weights'!$E$5=1,PERCENTRANK(L$4:L$91,L63),1-PERCENTRANK(L$4:L$91,L63))*100,"")</f>
        <v>80.900000000000006</v>
      </c>
      <c r="AL63" s="51">
        <f>IFERROR(IF('3 — Weights'!$E$6=1,PERCENTRANK(M$4:M$91,M63),1-PERCENTRANK(M$4:M$91,M63))*100,"")</f>
        <v>36.5</v>
      </c>
      <c r="AM63" s="51">
        <f>IFERROR(IF('3 — Weights'!$E$7=1,PERCENTRANK(N$4:N$91,N63),1-PERCENTRANK(N$4:N$91,N63))*100,"")</f>
        <v>45.4</v>
      </c>
      <c r="AN63" s="51">
        <f>IFERROR(IF('3 — Weights'!$E$8=1,PERCENTRANK(O$4:O$91,O63),1-PERCENTRANK(O$4:O$91,O63))*100,"")</f>
        <v>16.8</v>
      </c>
      <c r="AO63" s="51">
        <f>IFERROR(IF('3 — Weights'!$E$9=1,PERCENTRANK(P$4:P$91,P63),1-PERCENTRANK(P$4:P$91,P63))*100,"")</f>
        <v>13.3</v>
      </c>
      <c r="AP63" s="51">
        <f>IFERROR(IF('3 — Weights'!$E$10=1,PERCENTRANK(Q$4:Q$91,Q63),1-PERCENTRANK(Q$4:Q$91,Q63))*100,"")</f>
        <v>27.3</v>
      </c>
      <c r="AQ63" s="51">
        <f>IFERROR(IF('3 — Weights'!$E$11=1,PERCENTRANK(R$4:R$91,R63),1-PERCENTRANK(R$4:R$91,R63))*100,"")</f>
        <v>0</v>
      </c>
      <c r="AR63" s="51">
        <f>IFERROR(IF('3 — Weights'!$E$12=1,PERCENTRANK(S$4:S$91,S63),1-PERCENTRANK(S$4:S$91,S63))*100,"")</f>
        <v>11.1</v>
      </c>
      <c r="AS63" s="51">
        <f>IFERROR(IF('3 — Weights'!$E$13=1,PERCENTRANK(T$4:T$91,T63),1-PERCENTRANK(T$4:T$91,T63))*100,"")</f>
        <v>15.2</v>
      </c>
      <c r="AT63" s="51">
        <f>IFERROR(IF('3 — Weights'!$E$14=1,PERCENTRANK(U$4:U$91,U63),1-PERCENTRANK(U$4:U$91,U63))*100,"")</f>
        <v>96.3</v>
      </c>
      <c r="AU63" s="51">
        <f>IFERROR(IF('3 — Weights'!$E$15=1,PERCENTRANK(V$4:V$91,V63),1-PERCENTRANK(V$4:V$91,V63))*100,"")</f>
        <v>31.100000000000005</v>
      </c>
      <c r="AV63" s="51">
        <f>IFERROR(IF('3 — Weights'!$E$16=1,PERCENTRANK(W$4:W$91,W63),1-PERCENTRANK(W$4:W$91,W63))*100,"")</f>
        <v>26.5</v>
      </c>
      <c r="AW63" s="51">
        <f>IFERROR(IF('3 — Weights'!$E$17=1,PERCENTRANK(X$4:X$91,X63),1-PERCENTRANK(X$4:X$91,X63))*100,"")</f>
        <v>20.699999999999996</v>
      </c>
      <c r="AX63" s="51">
        <f>IFERROR(IF('3 — Weights'!$E$18=1,PERCENTRANK(Y$4:Y$91,Y63),1-PERCENTRANK(Y$4:Y$91,Y63))*100,"")</f>
        <v>26.8</v>
      </c>
      <c r="AY63" s="51">
        <f>IFERROR(IF('3 — Weights'!$E$18=1,PERCENTRANK(Z$4:Z$91,Z63),1-PERCENTRANK(Z$4:Z$91,Z63))*100,"")</f>
        <v>27.6</v>
      </c>
      <c r="AZ63" s="51">
        <f>IFERROR(IF('3 — Weights'!$E$18=1,PERCENTRANK(AA$4:AA$91,AA63),1-PERCENTRANK(AA$4:AA$91,AA63))*100,"")</f>
        <v>41.900000000000006</v>
      </c>
      <c r="BA63" s="51">
        <f>IFERROR(IF('3 — Weights'!$E$21=1,PERCENTRANK(AB$4:AB$91,AB63),1-PERCENTRANK(AB$4:AB$91,AB63))*100,"")</f>
        <v>87.3</v>
      </c>
      <c r="BB63" s="51">
        <f>IFERROR(IF('3 — Weights'!$E$22=1,PERCENTRANK(AC$4:AC$91,AC63),1-PERCENTRANK(AC$4:AC$91,AC63))*100,"")</f>
        <v>4.5</v>
      </c>
      <c r="BC63" s="51">
        <f>IFERROR(IF('3 — Weights'!$E$23=1,PERCENTRANK(AD$4:AD$91,AD63),1-PERCENTRANK(AD$4:AD$91,AD63))*100,"")</f>
        <v>8.0999999999999961</v>
      </c>
      <c r="BD63" s="51">
        <f>IFERROR(IF('3 — Weights'!$E$24=1,PERCENTRANK(AE$4:AE$91,AE63),1-PERCENTRANK(AE$4:AE$91,AE63))*100,"")</f>
        <v>3.5000000000000031</v>
      </c>
      <c r="BE63" s="51">
        <f>IFERROR(IF('3 — Weights'!$E$25=1,PERCENTRANK(AF$4:AF$91,AF63),1-PERCENTRANK(AF$4:AF$91,AF63))*100,"")</f>
        <v>4.6000000000000041</v>
      </c>
      <c r="BF63" s="52" cm="1">
        <f t="array" ref="BF63">IFERROR(SUMPRODUCT(TRANSPOSE(AH63:BE63), [1]!Table2[Weight
Claude]),"")</f>
        <v>43.940000000000005</v>
      </c>
      <c r="BG63" s="53" cm="1">
        <f t="array" ref="BG63">IFERROR(SUMPRODUCT(TRANSPOSE(AH63:BE63), [1]!Table2[Weight
Cape IMC]),"")</f>
        <v>43.940000000000005</v>
      </c>
    </row>
    <row r="64" spans="1:59" ht="22.5" customHeight="1" x14ac:dyDescent="0.25">
      <c r="A64" s="17">
        <f t="shared" si="0"/>
        <v>61</v>
      </c>
      <c r="B64" s="18" t="s">
        <v>199</v>
      </c>
      <c r="C64" s="18" t="s">
        <v>200</v>
      </c>
      <c r="D64" s="18" t="str">
        <f t="array" ref="D64">IFERROR(_xll.FDS($B64,"FR_RBICS_NAME_CURR(""IND"")"), "")</f>
        <v>Industry-Specific Software</v>
      </c>
      <c r="E64" s="18" t="str">
        <f t="array" ref="E64">PROPER(IFERROR(_xll.FDS($B64,"P_DCOUNTRY"), ""))</f>
        <v>Saudi Arabia</v>
      </c>
      <c r="F64" s="19">
        <f t="array" ref="F64">IFERROR(_xll.FDS($B64,"FCS_EV_DAILY(MV,NOW,,,USD,M)"), "")</f>
        <v>14277.844511154501</v>
      </c>
      <c r="G64" s="19">
        <f t="array" ref="G64">IFERROR(_xll.FDS($B64,"AVG(P_VOLUME_FRQ(-1AM,NOW,D,,6))*P_PRICE_AVG(-1AM,NOW,,USD)"), "")</f>
        <v>23.461917179162899</v>
      </c>
      <c r="H64" s="20">
        <f t="array" ref="H64">IFERROR(_xll.FDS($B64,"OS_SEC_FLT_PCT(0D,,MTD,SEC)")/100, "")</f>
        <v>0.30137599999999998</v>
      </c>
      <c r="I64" s="19">
        <f t="array" ref="I64">IFERROR(_xll.FDS($B64,"FE_ACTUAL(ACTUAL,SALES,ANN_ROLL,0,,,,'CURRENCY=USD')"), "")</f>
        <v>1974.9344000000001</v>
      </c>
      <c r="J64" s="19">
        <f t="array" ref="J64">IFERROR(_xll.FDS($B64,"FE_ACTUAL(ACTUAL,EPS,ANN_ROLL,0,,,,'CURRENCY=USD')"), "")</f>
        <v>6.0894703999999997</v>
      </c>
      <c r="K64" s="20">
        <f t="array" ref="K64">IFERROR(_xll.FDS($B64,"POW(FE_ESTIMATE(SALES,MEAN,STMA,,NOW,,,'CURRENCY=USD')/FE_ESTIMATE(SALES,MEAN,LTMA,,NOW,,,'CURRENCY=USD'),0.5)-1"), "")</f>
        <v>0.15994430900798001</v>
      </c>
      <c r="L64" s="20">
        <f t="array" ref="L64">IFERROR(_xll.FDS($B64,"POW(FE_ESTIMATE(EPS,MEAN,STMA,,NOW,,,'CURRENCY=USD')/FE_ESTIMATE(EPS,MEAN,LTMA,,NOW,,,'CURRENCY=USD'),0.5)-1"), "")</f>
        <v>0.15411125980123799</v>
      </c>
      <c r="M64" s="21">
        <f t="array" ref="M64">IFERROR(_xll.FDS($B64,"FF_GROSS_MGN(LTM_R,0)"), "")</f>
        <v>38.988625495851402</v>
      </c>
      <c r="N64" s="21">
        <f t="array" ref="N64">IFERROR(_xll.FDS($B64,"FF_EBITDA_OPER_MGN(LTM_R,0)"), "")</f>
        <v>25.0039529643613</v>
      </c>
      <c r="O64" s="21">
        <f t="array" ref="O64">IFERROR(_xll.FDS($B64,"FF_NET_MGN(LTM_R,0)"), "")</f>
        <v>24.3752549150087</v>
      </c>
      <c r="P64" s="22">
        <f t="array" ref="P64">IFERROR(_xll.FDS($B64,"FE_VALUATION(NETDEBT_EBITDA,MEAN,NTMA,,NOW,,,'')"), "")</f>
        <v>-0.72541535000000001</v>
      </c>
      <c r="Q64" s="23">
        <f t="array" ref="Q64">IFERROR(_xll.FDS($B64,"FE_VALUATION(MCAP_FCF,MEAN,NTMA,,NOW,,,'')"), "")</f>
        <v>4.3595629999999996</v>
      </c>
      <c r="R64" s="23">
        <f t="array" ref="R64">IFERROR(_xll.FDS($B64,"FE_VALUATION(DIV_YLD,MEAN,NTMA,,NOW,,,'')"), "")</f>
        <v>1.9301453</v>
      </c>
      <c r="S64" s="21">
        <f t="array" ref="S64">IFERROR(_xll.FDS($B64,"FE_VALUATION(ROE,MEAN,NTMA,,0,,,'')" ), "")</f>
        <v>29.141361</v>
      </c>
      <c r="T64" s="21">
        <f t="array" ref="T64">IFERROR(_xll.FDS($B64,"FE_VALUATION(ROIC,MEAN,NTMA,,0,,,'')" ), "")</f>
        <v>28.911745</v>
      </c>
      <c r="U64" s="22">
        <f t="array" ref="U64">IFERROR(((_xll.FDS($B64,"FE_ACTUAL(ACTUAL,SALES,ANN_ROLL,0,,,,'CURRENCY=USD')")/_xll.FDS($B64,"FE_ACTUAL(ACTUAL,SALES,ANN_ROLL,-1,,,,'CURRENCY=USD')")-1)*100)+(_xll.FDS($B64,"FE_VALUATION(EBITDA_MARGIN,MEAN,ANN_ROLL,0,NOW,,,'')")  ), "")</f>
        <v>51.803273225502465</v>
      </c>
      <c r="V64" s="24">
        <f t="array" ref="V64">IFERROR(_xll.FDS($B64,"FE_VALUATION(PE,MEAN,NTMA,,0,,,'')" ), "")</f>
        <v>20.377421999999999</v>
      </c>
      <c r="W64" s="24">
        <f t="array" ref="W64">IFERROR(_xll.FDS($B64,"FE_VALUATION(P_SALESPS,MEAN,NTMA,,0,,,'')" ), "")</f>
        <v>4.4254756000000004</v>
      </c>
      <c r="X64" s="24">
        <f t="array" ref="X64">IFERROR(_xll.FDS($B64,"FE_VALUATION(FFEV_SALES,MEAN,NTMA,,0,,,'')" ), "")</f>
        <v>4.255439</v>
      </c>
      <c r="Y64" s="24">
        <f t="array" ref="Y64">IFERROR(_xll.FDS($B64,"FE_VALUATION(FFEV_EBITDA,MEAN,NTMA,,0,,,'')" ), "")</f>
        <v>16.569223000000001</v>
      </c>
      <c r="Z64" s="20">
        <f t="array" ref="Z64">IFERROR(_xll.FDS($B64,"PERCENT_CHANGE(FE_VALUATION(PE,MEAN,NTMA,,0,,,''),MAX(FE_VALUATION(PE,MEAN,NTMA,,-1AY,0,,'')))")/100,"")</f>
        <v>-0.46632867396958294</v>
      </c>
      <c r="AA64" s="20">
        <f t="array" ref="AA64">IFERROR(_xll.FDS($B64,"PERCENT_CHANGE(FE_VALUATION(FFEV_EBITDA,MEAN,NTMA,,0,,,''),MAX(FE_VALUATION(FFEV_EBITDA,MEAN,NTMA,,-1AY,0,,'')))")/100,"")</f>
        <v>-0.46817038244804204</v>
      </c>
      <c r="AB64" s="20">
        <f t="array" ref="AB64">IFERROR(_xll.FDS($B64,"FG_PRICE(0,,,USD)/P_PRICE_HIGH(-1AY,0,USD,,,""PRICE"",""INTRA"")")-1, "")</f>
        <v>-0.402369493199213</v>
      </c>
      <c r="AC64" s="20">
        <f t="array" ref="AC64">IFERROR(_xll.FDS($B64,"RTP_PRICE_TARGET(USD)/FG_PRICE(0,,,USD)")-1, "")</f>
        <v>0.49120550169286004</v>
      </c>
      <c r="AD64" s="25">
        <f t="array" ref="AD64">IFERROR(_xll.FDS($B64,"FG_PRICE(0,,,USD)/FG_PRICE_MAVG(0,,,USD,50)")-1, "")</f>
        <v>-0.10445223644407098</v>
      </c>
      <c r="AE64" s="25">
        <f t="array" ref="AE64">IFERROR(_xll.FDS($B64,"FG_PRICE(0,,,USD)/FG_PRICE_MAVG(0,,,USD,100)")-1, "")</f>
        <v>-0.16561638897544495</v>
      </c>
      <c r="AF64" s="25">
        <f t="array" ref="AF64">IFERROR(_xll.FDS($B64,"FG_PRICE(0,,,USD)/FG_PRICE_MAVG(0,,,USD,200)")-1, "")</f>
        <v>-0.22956305080389905</v>
      </c>
      <c r="AG64" s="26" t="str">
        <f t="array" ref="AG64">IFERROR(_xll.FDS($B64,"FE_RATING(MEAN,TEXTONLY,0,NOW,,,'')"), "")</f>
        <v>Overweight</v>
      </c>
      <c r="AH64" s="50">
        <f>IFERROR(IF('3 — Weights'!$E$2=1,PERCENTRANK(I$4:I$91,I64),1-PERCENTRANK(I$4:I$91,I64))*100,"")</f>
        <v>55.1</v>
      </c>
      <c r="AI64" s="51">
        <f>IFERROR(IF('3 — Weights'!$E$3=1,PERCENTRANK(J$4:J$91,J64),1-PERCENTRANK(J$4:J$91,J64))*100,"")</f>
        <v>74.7</v>
      </c>
      <c r="AJ64" s="51">
        <f>IFERROR(IF('3 — Weights'!$E$4=1,PERCENTRANK(K$4:K$91,K64),1-PERCENTRANK(K$4:K$91,K64))*100,"")</f>
        <v>63.2</v>
      </c>
      <c r="AK64" s="51">
        <f>IFERROR(IF('3 — Weights'!$E$5=1,PERCENTRANK(L$4:L$91,L64),1-PERCENTRANK(L$4:L$91,L64))*100,"")</f>
        <v>45.2</v>
      </c>
      <c r="AL64" s="51">
        <f>IFERROR(IF('3 — Weights'!$E$6=1,PERCENTRANK(M$4:M$91,M64),1-PERCENTRANK(M$4:M$91,M64))*100,"")</f>
        <v>6</v>
      </c>
      <c r="AM64" s="51">
        <f>IFERROR(IF('3 — Weights'!$E$7=1,PERCENTRANK(N$4:N$91,N64),1-PERCENTRANK(N$4:N$91,N64))*100,"")</f>
        <v>61</v>
      </c>
      <c r="AN64" s="51">
        <f>IFERROR(IF('3 — Weights'!$E$8=1,PERCENTRANK(O$4:O$91,O64),1-PERCENTRANK(O$4:O$91,O64))*100,"")</f>
        <v>83.1</v>
      </c>
      <c r="AO64" s="51">
        <f>IFERROR(IF('3 — Weights'!$E$9=1,PERCENTRANK(P$4:P$91,P64),1-PERCENTRANK(P$4:P$91,P64))*100,"")</f>
        <v>41</v>
      </c>
      <c r="AP64" s="51">
        <f>IFERROR(IF('3 — Weights'!$E$10=1,PERCENTRANK(Q$4:Q$91,Q64),1-PERCENTRANK(Q$4:Q$91,Q64))*100,"")</f>
        <v>38</v>
      </c>
      <c r="AQ64" s="51">
        <f>IFERROR(IF('3 — Weights'!$E$11=1,PERCENTRANK(R$4:R$91,R64),1-PERCENTRANK(R$4:R$91,R64))*100,"")</f>
        <v>92.300000000000011</v>
      </c>
      <c r="AR64" s="51">
        <f>IFERROR(IF('3 — Weights'!$E$12=1,PERCENTRANK(S$4:S$91,S64),1-PERCENTRANK(S$4:S$91,S64))*100,"")</f>
        <v>75.3</v>
      </c>
      <c r="AS64" s="51">
        <f>IFERROR(IF('3 — Weights'!$E$13=1,PERCENTRANK(T$4:T$91,T64),1-PERCENTRANK(T$4:T$91,T64))*100,"")</f>
        <v>86.1</v>
      </c>
      <c r="AT64" s="51">
        <f>IFERROR(IF('3 — Weights'!$E$14=1,PERCENTRANK(U$4:U$91,U64),1-PERCENTRANK(U$4:U$91,U64))*100,"")</f>
        <v>69.5</v>
      </c>
      <c r="AU64" s="51">
        <f>IFERROR(IF('3 — Weights'!$E$15=1,PERCENTRANK(V$4:V$91,V64),1-PERCENTRANK(V$4:V$91,V64))*100,"")</f>
        <v>52.900000000000006</v>
      </c>
      <c r="AV64" s="51">
        <f>IFERROR(IF('3 — Weights'!$E$16=1,PERCENTRANK(W$4:W$91,W64),1-PERCENTRANK(W$4:W$91,W64))*100,"")</f>
        <v>52.900000000000006</v>
      </c>
      <c r="AW64" s="51">
        <f>IFERROR(IF('3 — Weights'!$E$17=1,PERCENTRANK(X$4:X$91,X64),1-PERCENTRANK(X$4:X$91,X64))*100,"")</f>
        <v>56.400000000000006</v>
      </c>
      <c r="AX64" s="51">
        <f>IFERROR(IF('3 — Weights'!$E$18=1,PERCENTRANK(Y$4:Y$91,Y64),1-PERCENTRANK(Y$4:Y$91,Y64))*100,"")</f>
        <v>44.199999999999996</v>
      </c>
      <c r="AY64" s="51">
        <f>IFERROR(IF('3 — Weights'!$E$18=1,PERCENTRANK(Z$4:Z$91,Z64),1-PERCENTRANK(Z$4:Z$91,Z64))*100,"")</f>
        <v>35.699999999999996</v>
      </c>
      <c r="AZ64" s="51">
        <f>IFERROR(IF('3 — Weights'!$E$18=1,PERCENTRANK(AA$4:AA$91,AA64),1-PERCENTRANK(AA$4:AA$91,AA64))*100,"")</f>
        <v>36.1</v>
      </c>
      <c r="BA64" s="51">
        <f>IFERROR(IF('3 — Weights'!$E$21=1,PERCENTRANK(AB$4:AB$91,AB64),1-PERCENTRANK(AB$4:AB$91,AB64))*100,"")</f>
        <v>59.699999999999996</v>
      </c>
      <c r="BB64" s="51">
        <f>IFERROR(IF('3 — Weights'!$E$22=1,PERCENTRANK(AC$4:AC$91,AC64),1-PERCENTRANK(AC$4:AC$91,AC64))*100,"")</f>
        <v>45.9</v>
      </c>
      <c r="BC64" s="51">
        <f>IFERROR(IF('3 — Weights'!$E$23=1,PERCENTRANK(AD$4:AD$91,AD64),1-PERCENTRANK(AD$4:AD$91,AD64))*100,"")</f>
        <v>24.2</v>
      </c>
      <c r="BD64" s="51">
        <f>IFERROR(IF('3 — Weights'!$E$24=1,PERCENTRANK(AE$4:AE$91,AE64),1-PERCENTRANK(AE$4:AE$91,AE64))*100,"")</f>
        <v>27.6</v>
      </c>
      <c r="BE64" s="51">
        <f>IFERROR(IF('3 — Weights'!$E$25=1,PERCENTRANK(AF$4:AF$91,AF64),1-PERCENTRANK(AF$4:AF$91,AF64))*100,"")</f>
        <v>32.199999999999996</v>
      </c>
      <c r="BF64" s="52" cm="1">
        <f t="array" ref="BF64">IFERROR(SUMPRODUCT(TRANSPOSE(AH64:BE64), [1]!Table2[Weight
Claude]),"")</f>
        <v>43.744999999999997</v>
      </c>
      <c r="BG64" s="53" cm="1">
        <f t="array" ref="BG64">IFERROR(SUMPRODUCT(TRANSPOSE(AH64:BE64), [1]!Table2[Weight
Cape IMC]),"")</f>
        <v>43.744999999999997</v>
      </c>
    </row>
    <row r="65" spans="1:59" ht="22.5" customHeight="1" x14ac:dyDescent="0.25">
      <c r="A65" s="17">
        <f t="shared" si="0"/>
        <v>63</v>
      </c>
      <c r="B65" s="18" t="s">
        <v>201</v>
      </c>
      <c r="C65" s="18" t="s">
        <v>202</v>
      </c>
      <c r="D65" s="18" t="str">
        <f t="array" ref="D65">IFERROR(_xll.FDS($B65,"FR_RBICS_NAME_CURR(""IND"")"), "")</f>
        <v>Industry-Specific Software</v>
      </c>
      <c r="E65" s="18" t="str">
        <f t="array" ref="E65">PROPER(IFERROR(_xll.FDS($B65,"P_DCOUNTRY"), ""))</f>
        <v>United States</v>
      </c>
      <c r="F65" s="19">
        <f t="array" ref="F65">IFERROR(_xll.FDS($B65,"FCS_EV_DAILY(MV,NOW,,,USD,M)"), "")</f>
        <v>36648.024611000001</v>
      </c>
      <c r="G65" s="19">
        <f t="array" ref="G65">IFERROR(_xll.FDS($B65,"AVG(P_VOLUME_FRQ(-1AM,NOW,D,,6))*P_PRICE_AVG(-1AM,NOW,,USD)"), "")</f>
        <v>803.49011278570902</v>
      </c>
      <c r="H65" s="20">
        <f t="array" ref="H65">IFERROR(_xll.FDS($B65,"OS_SEC_FLT_PCT(0D,,MTD,SEC)")/100, "")</f>
        <v>0.99605900000000003</v>
      </c>
      <c r="I65" s="19">
        <f t="array" ref="I65">IFERROR(_xll.FDS($B65,"FE_ACTUAL(ACTUAL,SALES,ANN_ROLL,0,,,,'CURRENCY=USD')"), "")</f>
        <v>7902.5</v>
      </c>
      <c r="J65" s="19">
        <f t="array" ref="J65">IFERROR(_xll.FDS($B65,"FE_ACTUAL(ACTUAL,EPS,ANN_ROLL,0,,,,'CURRENCY=USD')"), "")</f>
        <v>20</v>
      </c>
      <c r="K65" s="20">
        <f t="array" ref="K65">IFERROR(_xll.FDS($B65,"POW(FE_ESTIMATE(SALES,MEAN,STMA,,NOW,,,'CURRENCY=USD')/FE_ESTIMATE(SALES,MEAN,LTMA,,NOW,,,'CURRENCY=USD'),0.5)-1"), "")</f>
        <v>7.0961343840196797E-2</v>
      </c>
      <c r="L65" s="20">
        <f t="array" ref="L65">IFERROR(_xll.FDS($B65,"POW(FE_ESTIMATE(EPS,MEAN,STMA,,NOW,,,'CURRENCY=USD')/FE_ESTIMATE(EPS,MEAN,LTMA,,NOW,,,'CURRENCY=USD'),0.5)-1"), "")</f>
        <v>8.0195260126612503E-2</v>
      </c>
      <c r="M65" s="21">
        <f t="array" ref="M65">IFERROR(_xll.FDS($B65,"FF_GROSS_MGN(LTM_R,0)"), "")</f>
        <v>69.243910155014206</v>
      </c>
      <c r="N65" s="21">
        <f t="array" ref="N65">IFERROR(_xll.FDS($B65,"FF_EBITDA_OPER_MGN(LTM_R,0)"), "")</f>
        <v>39.649478013286902</v>
      </c>
      <c r="O65" s="21">
        <f t="array" ref="O65">IFERROR(_xll.FDS($B65,"FF_NET_MGN(LTM_R,0)"), "")</f>
        <v>19.4406833280607</v>
      </c>
      <c r="P65" s="22">
        <f t="array" ref="P65">IFERROR(_xll.FDS($B65,"FE_VALUATION(NETDEBT_EBITDA,MEAN,NTMA,,NOW,,,'')"), "")</f>
        <v>2.0982512999999998</v>
      </c>
      <c r="Q65" s="23">
        <f t="array" ref="Q65">IFERROR(_xll.FDS($B65,"FE_VALUATION(MCAP_FCF,MEAN,NTMA,,NOW,,,'')"), "")</f>
        <v>7.4845579999999998</v>
      </c>
      <c r="R65" s="23">
        <f t="array" ref="R65">IFERROR(_xll.FDS($B65,"FE_VALUATION(DIV_YLD,MEAN,NTMA,,NOW,,,'')"), "")</f>
        <v>1.0064088</v>
      </c>
      <c r="S65" s="21">
        <f t="array" ref="S65">IFERROR(_xll.FDS($B65,"FE_VALUATION(ROE,MEAN,NTMA,,0,,,'')" ), "")</f>
        <v>10.865525999999999</v>
      </c>
      <c r="T65" s="21">
        <f t="array" ref="T65">IFERROR(_xll.FDS($B65,"FE_VALUATION(ROIC,MEAN,NTMA,,0,,,'')" ), "")</f>
        <v>5.4946640000000002</v>
      </c>
      <c r="U65" s="22">
        <f t="array" ref="U65">IFERROR(((_xll.FDS($B65,"FE_ACTUAL(ACTUAL,SALES,ANN_ROLL,0,,,,'CURRENCY=USD')")/_xll.FDS($B65,"FE_ACTUAL(ACTUAL,SALES,ANN_ROLL,-1,,,,'CURRENCY=USD')")-1)*100)+(_xll.FDS($B65,"FE_VALUATION(EBITDA_MARGIN,MEAN,ANN_ROLL,0,NOW,,,'')")  ), "")</f>
        <v>52.011430747471309</v>
      </c>
      <c r="V65" s="24">
        <f t="array" ref="V65">IFERROR(_xll.FDS($B65,"FE_VALUATION(PE,MEAN,NTMA,,0,,,'')" ), "")</f>
        <v>15.537996</v>
      </c>
      <c r="W65" s="24">
        <f t="array" ref="W65">IFERROR(_xll.FDS($B65,"FE_VALUATION(P_SALESPS,MEAN,NTMA,,0,,,'')" ), "")</f>
        <v>4.2266035000000004</v>
      </c>
      <c r="X65" s="24">
        <f t="array" ref="X65">IFERROR(_xll.FDS($B65,"FE_VALUATION(FFEV_SALES,MEAN,NTMA,,0,,,'')" ), "")</f>
        <v>5.2956146999999998</v>
      </c>
      <c r="Y65" s="24">
        <f t="array" ref="Y65">IFERROR(_xll.FDS($B65,"FE_VALUATION(FFEV_EBITDA,MEAN,NTMA,,0,,,'')" ), "")</f>
        <v>13.38523</v>
      </c>
      <c r="Z65" s="20">
        <f t="array" ref="Z65">IFERROR(_xll.FDS($B65,"PERCENT_CHANGE(FE_VALUATION(PE,MEAN,NTMA,,0,,,''),MAX(FE_VALUATION(PE,MEAN,NTMA,,-1AY,0,,'')))")/100,"")</f>
        <v>-0.47008803402678195</v>
      </c>
      <c r="AA65" s="20">
        <f t="array" ref="AA65">IFERROR(_xll.FDS($B65,"PERCENT_CHANGE(FE_VALUATION(FFEV_EBITDA,MEAN,NTMA,,0,,,''),MAX(FE_VALUATION(FFEV_EBITDA,MEAN,NTMA,,-1AY,0,,'')))")/100,"")</f>
        <v>-0.41702899387074299</v>
      </c>
      <c r="AB65" s="20">
        <f t="array" ref="AB65">IFERROR(_xll.FDS($B65,"FG_PRICE(0,,,USD)/P_PRICE_HIGH(-1AY,0,USD,,,""PRICE"",""INTRA"")")-1, "")</f>
        <v>-0.43259603862312201</v>
      </c>
      <c r="AC65" s="20">
        <f t="array" ref="AC65">IFERROR(_xll.FDS($B65,"RTP_PRICE_TARGET(USD)/FG_PRICE(0,,,USD)")-1, "")</f>
        <v>0.37548119632809995</v>
      </c>
      <c r="AD65" s="25">
        <f t="array" ref="AD65">IFERROR(_xll.FDS($B65,"FG_PRICE(0,,,USD)/FG_PRICE_MAVG(0,,,USD,50)")-1, "")</f>
        <v>-0.15358911300550304</v>
      </c>
      <c r="AE65" s="25">
        <f t="array" ref="AE65">IFERROR(_xll.FDS($B65,"FG_PRICE(0,,,USD)/FG_PRICE_MAVG(0,,,USD,100)")-1, "")</f>
        <v>-0.22038342960416701</v>
      </c>
      <c r="AF65" s="25">
        <f t="array" ref="AF65">IFERROR(_xll.FDS($B65,"FG_PRICE(0,,,USD)/FG_PRICE_MAVG(0,,,USD,200)")-1, "")</f>
        <v>-0.31052125777092798</v>
      </c>
      <c r="AG65" s="26" t="str">
        <f t="array" ref="AG65">IFERROR(_xll.FDS($B65,"FE_RATING(MEAN,TEXTONLY,0,NOW,,,'')"), "")</f>
        <v>Overweight</v>
      </c>
      <c r="AH65" s="50">
        <f>IFERROR(IF('3 — Weights'!$E$2=1,PERCENTRANK(I$4:I$91,I65),1-PERCENTRANK(I$4:I$91,I65))*100,"")</f>
        <v>90.8</v>
      </c>
      <c r="AI65" s="51">
        <f>IFERROR(IF('3 — Weights'!$E$3=1,PERCENTRANK(J$4:J$91,J65),1-PERCENTRANK(J$4:J$91,J65))*100,"")</f>
        <v>97.7</v>
      </c>
      <c r="AJ65" s="51">
        <f>IFERROR(IF('3 — Weights'!$E$4=1,PERCENTRANK(K$4:K$91,K65),1-PERCENTRANK(K$4:K$91,K65))*100,"")</f>
        <v>14.899999999999999</v>
      </c>
      <c r="AK65" s="51">
        <f>IFERROR(IF('3 — Weights'!$E$5=1,PERCENTRANK(L$4:L$91,L65),1-PERCENTRANK(L$4:L$91,L65))*100,"")</f>
        <v>7.1</v>
      </c>
      <c r="AL65" s="51">
        <f>IFERROR(IF('3 — Weights'!$E$6=1,PERCENTRANK(M$4:M$91,M65),1-PERCENTRANK(M$4:M$91,M65))*100,"")</f>
        <v>41.4</v>
      </c>
      <c r="AM65" s="51">
        <f>IFERROR(IF('3 — Weights'!$E$7=1,PERCENTRANK(N$4:N$91,N65),1-PERCENTRANK(N$4:N$91,N65))*100,"")</f>
        <v>87</v>
      </c>
      <c r="AN65" s="51">
        <f>IFERROR(IF('3 — Weights'!$E$8=1,PERCENTRANK(O$4:O$91,O65),1-PERCENTRANK(O$4:O$91,O65))*100,"")</f>
        <v>73.400000000000006</v>
      </c>
      <c r="AO65" s="51">
        <f>IFERROR(IF('3 — Weights'!$E$9=1,PERCENTRANK(P$4:P$91,P65),1-PERCENTRANK(P$4:P$91,P65))*100,"")</f>
        <v>7.2999999999999954</v>
      </c>
      <c r="AP65" s="51">
        <f>IFERROR(IF('3 — Weights'!$E$10=1,PERCENTRANK(Q$4:Q$91,Q65),1-PERCENTRANK(Q$4:Q$91,Q65))*100,"")</f>
        <v>72.599999999999994</v>
      </c>
      <c r="AQ65" s="51">
        <f>IFERROR(IF('3 — Weights'!$E$11=1,PERCENTRANK(R$4:R$91,R65),1-PERCENTRANK(R$4:R$91,R65))*100,"")</f>
        <v>82</v>
      </c>
      <c r="AR65" s="51">
        <f>IFERROR(IF('3 — Weights'!$E$12=1,PERCENTRANK(S$4:S$91,S65),1-PERCENTRANK(S$4:S$91,S65))*100,"")</f>
        <v>16</v>
      </c>
      <c r="AS65" s="51">
        <f>IFERROR(IF('3 — Weights'!$E$13=1,PERCENTRANK(T$4:T$91,T65),1-PERCENTRANK(T$4:T$91,T65))*100,"")</f>
        <v>8.3000000000000007</v>
      </c>
      <c r="AT65" s="51">
        <f>IFERROR(IF('3 — Weights'!$E$14=1,PERCENTRANK(U$4:U$91,U65),1-PERCENTRANK(U$4:U$91,U65))*100,"")</f>
        <v>71.899999999999991</v>
      </c>
      <c r="AU65" s="51">
        <f>IFERROR(IF('3 — Weights'!$E$15=1,PERCENTRANK(V$4:V$91,V65),1-PERCENTRANK(V$4:V$91,V65))*100,"")</f>
        <v>72.5</v>
      </c>
      <c r="AV65" s="51">
        <f>IFERROR(IF('3 — Weights'!$E$16=1,PERCENTRANK(W$4:W$91,W65),1-PERCENTRANK(W$4:W$91,W65))*100,"")</f>
        <v>57.499999999999993</v>
      </c>
      <c r="AW65" s="51">
        <f>IFERROR(IF('3 — Weights'!$E$17=1,PERCENTRANK(X$4:X$91,X65),1-PERCENTRANK(X$4:X$91,X65))*100,"")</f>
        <v>41.400000000000006</v>
      </c>
      <c r="AX65" s="51">
        <f>IFERROR(IF('3 — Weights'!$E$18=1,PERCENTRANK(Y$4:Y$91,Y65),1-PERCENTRANK(Y$4:Y$91,Y65))*100,"")</f>
        <v>59.4</v>
      </c>
      <c r="AY65" s="51">
        <f>IFERROR(IF('3 — Weights'!$E$18=1,PERCENTRANK(Z$4:Z$91,Z65),1-PERCENTRANK(Z$4:Z$91,Z65))*100,"")</f>
        <v>40.300000000000004</v>
      </c>
      <c r="AZ65" s="51">
        <f>IFERROR(IF('3 — Weights'!$E$18=1,PERCENTRANK(AA$4:AA$91,AA65),1-PERCENTRANK(AA$4:AA$91,AA65))*100,"")</f>
        <v>24.5</v>
      </c>
      <c r="BA65" s="51">
        <f>IFERROR(IF('3 — Weights'!$E$21=1,PERCENTRANK(AB$4:AB$91,AB65),1-PERCENTRANK(AB$4:AB$91,AB65))*100,"")</f>
        <v>51.7</v>
      </c>
      <c r="BB65" s="51">
        <f>IFERROR(IF('3 — Weights'!$E$22=1,PERCENTRANK(AC$4:AC$91,AC65),1-PERCENTRANK(AC$4:AC$91,AC65))*100,"")</f>
        <v>24.099999999999998</v>
      </c>
      <c r="BC65" s="51">
        <f>IFERROR(IF('3 — Weights'!$E$23=1,PERCENTRANK(AD$4:AD$91,AD65),1-PERCENTRANK(AD$4:AD$91,AD65))*100,"")</f>
        <v>34.5</v>
      </c>
      <c r="BD65" s="51">
        <f>IFERROR(IF('3 — Weights'!$E$24=1,PERCENTRANK(AE$4:AE$91,AE65),1-PERCENTRANK(AE$4:AE$91,AE65))*100,"")</f>
        <v>40.300000000000004</v>
      </c>
      <c r="BE65" s="51">
        <f>IFERROR(IF('3 — Weights'!$E$25=1,PERCENTRANK(AF$4:AF$91,AF65),1-PERCENTRANK(AF$4:AF$91,AF65))*100,"")</f>
        <v>59.8</v>
      </c>
      <c r="BF65" s="52" cm="1">
        <f t="array" ref="BF65">IFERROR(SUMPRODUCT(TRANSPOSE(AH65:BE65), [1]!Table2[Weight
Claude]),"")</f>
        <v>42.795000000000002</v>
      </c>
      <c r="BG65" s="53" cm="1">
        <f t="array" ref="BG65">IFERROR(SUMPRODUCT(TRANSPOSE(AH65:BE65), [1]!Table2[Weight
Cape IMC]),"")</f>
        <v>42.795000000000002</v>
      </c>
    </row>
    <row r="66" spans="1:59" ht="22.5" customHeight="1" x14ac:dyDescent="0.25">
      <c r="A66" s="17">
        <f t="shared" si="0"/>
        <v>62</v>
      </c>
      <c r="B66" s="18" t="s">
        <v>203</v>
      </c>
      <c r="C66" s="18" t="s">
        <v>204</v>
      </c>
      <c r="D66" s="18" t="str">
        <f t="array" ref="D66">IFERROR(_xll.FDS($B66,"FR_RBICS_NAME_CURR(""IND"")"), "")</f>
        <v>Other Enterprise Management Software</v>
      </c>
      <c r="E66" s="18" t="str">
        <f t="array" ref="E66">PROPER(IFERROR(_xll.FDS($B66,"P_DCOUNTRY"), ""))</f>
        <v>United States</v>
      </c>
      <c r="F66" s="19">
        <f t="array" ref="F66">IFERROR(_xll.FDS($B66,"FCS_EV_DAILY(MV,NOW,,,USD,M)"), "")</f>
        <v>2344.4027118200001</v>
      </c>
      <c r="G66" s="19">
        <f t="array" ref="G66">IFERROR(_xll.FDS($B66,"AVG(P_VOLUME_FRQ(-1AM,NOW,D,,6))*P_PRICE_AVG(-1AM,NOW,,USD)"), "")</f>
        <v>22.969618795806198</v>
      </c>
      <c r="H66" s="20">
        <f t="array" ref="H66">IFERROR(_xll.FDS($B66,"OS_SEC_FLT_PCT(0D,,MTD,SEC)")/100, "")</f>
        <v>0.94405899999999998</v>
      </c>
      <c r="I66" s="19">
        <f t="array" ref="I66">IFERROR(_xll.FDS($B66,"FE_ACTUAL(ACTUAL,SALES,ANN_ROLL,0,,,,'CURRENCY=USD')"), "")</f>
        <v>1011.187</v>
      </c>
      <c r="J66" s="19">
        <f t="array" ref="J66">IFERROR(_xll.FDS($B66,"FE_ACTUAL(ACTUAL,EPS,ANN_ROLL,0,,,,'CURRENCY=USD')"), "")</f>
        <v>2.62</v>
      </c>
      <c r="K66" s="20">
        <f t="array" ref="K66">IFERROR(_xll.FDS($B66,"POW(FE_ESTIMATE(SALES,MEAN,STMA,,NOW,,,'CURRENCY=USD')/FE_ESTIMATE(SALES,MEAN,LTMA,,NOW,,,'CURRENCY=USD'),0.5)-1"), "")</f>
        <v>4.5486441805918397E-2</v>
      </c>
      <c r="L66" s="20">
        <f t="array" ref="L66">IFERROR(_xll.FDS($B66,"POW(FE_ESTIMATE(EPS,MEAN,STMA,,NOW,,,'CURRENCY=USD')/FE_ESTIMATE(EPS,MEAN,LTMA,,NOW,,,'CURRENCY=USD'),0.5)-1"), "")</f>
        <v>6.9648306687763603E-2</v>
      </c>
      <c r="M66" s="21">
        <f t="array" ref="M66">IFERROR(_xll.FDS($B66,"FF_GROSS_MGN(LTM_R,0)"), "")</f>
        <v>63.101384808151202</v>
      </c>
      <c r="N66" s="21">
        <f t="array" ref="N66">IFERROR(_xll.FDS($B66,"FF_EBITDA_OPER_MGN(LTM_R,0)"), "")</f>
        <v>17.9442575903369</v>
      </c>
      <c r="O66" s="21">
        <f t="array" ref="O66">IFERROR(_xll.FDS($B66,"FF_NET_MGN(LTM_R,0)"), "")</f>
        <v>13.110730260574901</v>
      </c>
      <c r="P66" s="22">
        <f t="array" ref="P66">IFERROR(_xll.FDS($B66,"FE_VALUATION(NETDEBT_EBITDA,MEAN,NTMA,,NOW,,,'')"), "")</f>
        <v>-1.1307636000000001</v>
      </c>
      <c r="Q66" s="23">
        <f t="array" ref="Q66">IFERROR(_xll.FDS($B66,"FE_VALUATION(MCAP_FCF,MEAN,NTMA,,NOW,,,'')"), "")</f>
        <v>9.0952559999999991</v>
      </c>
      <c r="R66" s="23" t="str">
        <f t="array" ref="R66">IFERROR(_xll.FDS($B66,"FE_VALUATION(DIV_YLD,MEAN,NTMA,,NOW,,,'')"), "")</f>
        <v/>
      </c>
      <c r="S66" s="21" t="str">
        <f t="array" ref="S66">IFERROR(_xll.FDS($B66,"FE_VALUATION(ROE,MEAN,NTMA,,0,,,'')" ), "")</f>
        <v/>
      </c>
      <c r="T66" s="21">
        <f t="array" ref="T66">IFERROR(_xll.FDS($B66,"FE_VALUATION(ROIC,MEAN,NTMA,,0,,,'')" ), "")</f>
        <v>8.4121749999999995</v>
      </c>
      <c r="U66" s="22">
        <f t="array" ref="U66">IFERROR(((_xll.FDS($B66,"FE_ACTUAL(ACTUAL,SALES,ANN_ROLL,0,,,,'CURRENCY=USD')")/_xll.FDS($B66,"FE_ACTUAL(ACTUAL,SALES,ANN_ROLL,-1,,,,'CURRENCY=USD')")-1)*100)+(_xll.FDS($B66,"FE_VALUATION(EBITDA_MARGIN,MEAN,ANN_ROLL,0,NOW,,,'')")  ), "")</f>
        <v>27.965477775970477</v>
      </c>
      <c r="V66" s="24">
        <f t="array" ref="V66">IFERROR(_xll.FDS($B66,"FE_VALUATION(PE,MEAN,NTMA,,0,,,'')" ), "")</f>
        <v>16.186253000000001</v>
      </c>
      <c r="W66" s="24">
        <f t="array" ref="W66">IFERROR(_xll.FDS($B66,"FE_VALUATION(P_SALESPS,MEAN,NTMA,,0,,,'')" ), "")</f>
        <v>2.1211540000000002</v>
      </c>
      <c r="X66" s="24">
        <f t="array" ref="X66">IFERROR(_xll.FDS($B66,"FE_VALUATION(FFEV_SALES,MEAN,NTMA,,0,,,'')" ), "")</f>
        <v>2.6534800000000001</v>
      </c>
      <c r="Y66" s="24">
        <f t="array" ref="Y66">IFERROR(_xll.FDS($B66,"FE_VALUATION(FFEV_EBITDA,MEAN,NTMA,,0,,,'')" ), "")</f>
        <v>13.019247</v>
      </c>
      <c r="Z66" s="20">
        <f t="array" ref="Z66">IFERROR(_xll.FDS($B66,"PERCENT_CHANGE(FE_VALUATION(PE,MEAN,NTMA,,0,,,''),MAX(FE_VALUATION(PE,MEAN,NTMA,,-1AY,0,,'')))")/100,"")</f>
        <v>-0.38504033895274703</v>
      </c>
      <c r="AA66" s="20">
        <f t="array" ref="AA66">IFERROR(_xll.FDS($B66,"PERCENT_CHANGE(FE_VALUATION(FFEV_EBITDA,MEAN,NTMA,,0,,,''),MAX(FE_VALUATION(FFEV_EBITDA,MEAN,NTMA,,-1AY,0,,'')))")/100,"")</f>
        <v>-0.27761320919028998</v>
      </c>
      <c r="AB66" s="20">
        <f t="array" ref="AB66">IFERROR(_xll.FDS($B66,"FG_PRICE(0,,,USD)/P_PRICE_HIGH(-1AY,0,USD,,,""PRICE"",""INTRA"")")-1, "")</f>
        <v>-0.25956684579058797</v>
      </c>
      <c r="AC66" s="20">
        <f t="array" ref="AC66">IFERROR(_xll.FDS($B66,"RTP_PRICE_TARGET(USD)/FG_PRICE(0,,,USD)")-1, "")</f>
        <v>0.27556630745546995</v>
      </c>
      <c r="AD66" s="25">
        <f t="array" ref="AD66">IFERROR(_xll.FDS($B66,"FG_PRICE(0,,,USD)/FG_PRICE_MAVG(0,,,USD,50)")-1, "")</f>
        <v>-8.2400329343009004E-2</v>
      </c>
      <c r="AE66" s="25">
        <f t="array" ref="AE66">IFERROR(_xll.FDS($B66,"FG_PRICE(0,,,USD)/FG_PRICE_MAVG(0,,,USD,100)")-1, "")</f>
        <v>-9.2667810060870992E-2</v>
      </c>
      <c r="AF66" s="25">
        <f t="array" ref="AF66">IFERROR(_xll.FDS($B66,"FG_PRICE(0,,,USD)/FG_PRICE_MAVG(0,,,USD,200)")-1, "")</f>
        <v>-0.14703512448203504</v>
      </c>
      <c r="AG66" s="26" t="str">
        <f t="array" ref="AG66">IFERROR(_xll.FDS($B66,"FE_RATING(MEAN,TEXTONLY,0,NOW,,,'')"), "")</f>
        <v>Overweight</v>
      </c>
      <c r="AH66" s="50">
        <f>IFERROR(IF('3 — Weights'!$E$2=1,PERCENTRANK(I$4:I$91,I66),1-PERCENTRANK(I$4:I$91,I66))*100,"")</f>
        <v>33.300000000000004</v>
      </c>
      <c r="AI66" s="51">
        <f>IFERROR(IF('3 — Weights'!$E$3=1,PERCENTRANK(J$4:J$91,J66),1-PERCENTRANK(J$4:J$91,J66))*100,"")</f>
        <v>52.800000000000004</v>
      </c>
      <c r="AJ66" s="51">
        <f>IFERROR(IF('3 — Weights'!$E$4=1,PERCENTRANK(K$4:K$91,K66),1-PERCENTRANK(K$4:K$91,K66))*100,"")</f>
        <v>6.8000000000000007</v>
      </c>
      <c r="AK66" s="51">
        <f>IFERROR(IF('3 — Weights'!$E$5=1,PERCENTRANK(L$4:L$91,L66),1-PERCENTRANK(L$4:L$91,L66))*100,"")</f>
        <v>4.7</v>
      </c>
      <c r="AL66" s="51">
        <f>IFERROR(IF('3 — Weights'!$E$6=1,PERCENTRANK(M$4:M$91,M66),1-PERCENTRANK(M$4:M$91,M66))*100,"")</f>
        <v>24.3</v>
      </c>
      <c r="AM66" s="51">
        <f>IFERROR(IF('3 — Weights'!$E$7=1,PERCENTRANK(N$4:N$91,N66),1-PERCENTRANK(N$4:N$91,N66))*100,"")</f>
        <v>48</v>
      </c>
      <c r="AN66" s="51">
        <f>IFERROR(IF('3 — Weights'!$E$8=1,PERCENTRANK(O$4:O$91,O66),1-PERCENTRANK(O$4:O$91,O66))*100,"")</f>
        <v>57.8</v>
      </c>
      <c r="AO66" s="51">
        <f>IFERROR(IF('3 — Weights'!$E$9=1,PERCENTRANK(P$4:P$91,P66),1-PERCENTRANK(P$4:P$91,P66))*100,"")</f>
        <v>50.7</v>
      </c>
      <c r="AP66" s="51">
        <f>IFERROR(IF('3 — Weights'!$E$10=1,PERCENTRANK(Q$4:Q$91,Q66),1-PERCENTRANK(Q$4:Q$91,Q66))*100,"")</f>
        <v>88</v>
      </c>
      <c r="AQ66" s="51" t="str">
        <f>IFERROR(IF('3 — Weights'!$E$11=1,PERCENTRANK(R$4:R$91,R66),1-PERCENTRANK(R$4:R$91,R66))*100,"")</f>
        <v/>
      </c>
      <c r="AR66" s="51" t="str">
        <f>IFERROR(IF('3 — Weights'!$E$12=1,PERCENTRANK(S$4:S$91,S66),1-PERCENTRANK(S$4:S$91,S66))*100,"")</f>
        <v/>
      </c>
      <c r="AS66" s="51">
        <f>IFERROR(IF('3 — Weights'!$E$13=1,PERCENTRANK(T$4:T$91,T66),1-PERCENTRANK(T$4:T$91,T66))*100,"")</f>
        <v>19.400000000000002</v>
      </c>
      <c r="AT66" s="51">
        <f>IFERROR(IF('3 — Weights'!$E$14=1,PERCENTRANK(U$4:U$91,U66),1-PERCENTRANK(U$4:U$91,U66))*100,"")</f>
        <v>10.9</v>
      </c>
      <c r="AU66" s="51">
        <f>IFERROR(IF('3 — Weights'!$E$15=1,PERCENTRANK(V$4:V$91,V66),1-PERCENTRANK(V$4:V$91,V66))*100,"")</f>
        <v>67.900000000000006</v>
      </c>
      <c r="AV66" s="51">
        <f>IFERROR(IF('3 — Weights'!$E$16=1,PERCENTRANK(W$4:W$91,W66),1-PERCENTRANK(W$4:W$91,W66))*100,"")</f>
        <v>93.199999999999989</v>
      </c>
      <c r="AW66" s="51">
        <f>IFERROR(IF('3 — Weights'!$E$17=1,PERCENTRANK(X$4:X$91,X66),1-PERCENTRANK(X$4:X$91,X66))*100,"")</f>
        <v>85.1</v>
      </c>
      <c r="AX66" s="51">
        <f>IFERROR(IF('3 — Weights'!$E$18=1,PERCENTRANK(Y$4:Y$91,Y66),1-PERCENTRANK(Y$4:Y$91,Y66))*100,"")</f>
        <v>62.8</v>
      </c>
      <c r="AY66" s="51">
        <f>IFERROR(IF('3 — Weights'!$E$18=1,PERCENTRANK(Z$4:Z$91,Z66),1-PERCENTRANK(Z$4:Z$91,Z66))*100,"")</f>
        <v>19.599999999999994</v>
      </c>
      <c r="AZ66" s="51">
        <f>IFERROR(IF('3 — Weights'!$E$18=1,PERCENTRANK(AA$4:AA$91,AA66),1-PERCENTRANK(AA$4:AA$91,AA66))*100,"")</f>
        <v>11.7</v>
      </c>
      <c r="BA66" s="51">
        <f>IFERROR(IF('3 — Weights'!$E$21=1,PERCENTRANK(AB$4:AB$91,AB66),1-PERCENTRANK(AB$4:AB$91,AB66))*100,"")</f>
        <v>88.5</v>
      </c>
      <c r="BB66" s="51">
        <f>IFERROR(IF('3 — Weights'!$E$22=1,PERCENTRANK(AC$4:AC$91,AC66),1-PERCENTRANK(AC$4:AC$91,AC66))*100,"")</f>
        <v>17.2</v>
      </c>
      <c r="BC66" s="51">
        <f>IFERROR(IF('3 — Weights'!$E$23=1,PERCENTRANK(AD$4:AD$91,AD66),1-PERCENTRANK(AD$4:AD$91,AD66))*100,"")</f>
        <v>20.699999999999996</v>
      </c>
      <c r="BD66" s="51">
        <f>IFERROR(IF('3 — Weights'!$E$24=1,PERCENTRANK(AE$4:AE$91,AE66),1-PERCENTRANK(AE$4:AE$91,AE66))*100,"")</f>
        <v>18.400000000000006</v>
      </c>
      <c r="BE66" s="51">
        <f>IFERROR(IF('3 — Weights'!$E$25=1,PERCENTRANK(AF$4:AF$91,AF66),1-PERCENTRANK(AF$4:AF$91,AF66))*100,"")</f>
        <v>20.699999999999996</v>
      </c>
      <c r="BF66" s="52" cm="1">
        <f t="array" ref="BF66">IFERROR(SUMPRODUCT(TRANSPOSE(AH66:BE66), [1]!Table2[Weight
Claude]),"")</f>
        <v>42.944999999999993</v>
      </c>
      <c r="BG66" s="53" cm="1">
        <f t="array" ref="BG66">IFERROR(SUMPRODUCT(TRANSPOSE(AH66:BE66), [1]!Table2[Weight
Cape IMC]),"")</f>
        <v>42.944999999999993</v>
      </c>
    </row>
    <row r="67" spans="1:59" ht="22.5" customHeight="1" x14ac:dyDescent="0.25">
      <c r="A67" s="17">
        <f t="shared" si="0"/>
        <v>66</v>
      </c>
      <c r="B67" s="18" t="s">
        <v>205</v>
      </c>
      <c r="C67" s="18" t="s">
        <v>206</v>
      </c>
      <c r="D67" s="18" t="str">
        <f t="array" ref="D67">IFERROR(_xll.FDS($B67,"FR_RBICS_NAME_CURR(""IND"")"), "")</f>
        <v>Network Infrastructure Software</v>
      </c>
      <c r="E67" s="18" t="str">
        <f t="array" ref="E67">PROPER(IFERROR(_xll.FDS($B67,"P_DCOUNTRY"), ""))</f>
        <v>United States</v>
      </c>
      <c r="F67" s="19">
        <f t="array" ref="F67">IFERROR(_xll.FDS($B67,"FCS_EV_DAILY(MV,NOW,,,USD,M)"), "")</f>
        <v>7610.0230150400002</v>
      </c>
      <c r="G67" s="19">
        <f t="array" ref="G67">IFERROR(_xll.FDS($B67,"AVG(P_VOLUME_FRQ(-1AM,NOW,D,,6))*P_PRICE_AVG(-1AM,NOW,,USD)"), "")</f>
        <v>46.914726317051802</v>
      </c>
      <c r="H67" s="20">
        <f t="array" ref="H67">IFERROR(_xll.FDS($B67,"OS_SEC_FLT_PCT(0D,,MTD,SEC)")/100, "")</f>
        <v>0.10781</v>
      </c>
      <c r="I67" s="19">
        <f t="array" ref="I67">IFERROR(_xll.FDS($B67,"FE_ACTUAL(ACTUAL,SALES,ANN_ROLL,0,,,,'CURRENCY=USD')"), "")</f>
        <v>861.61099999999999</v>
      </c>
      <c r="J67" s="19">
        <f t="array" ref="J67">IFERROR(_xll.FDS($B67,"FE_ACTUAL(ACTUAL,EPS,ANN_ROLL,0,,,,'CURRENCY=USD')"), "")</f>
        <v>-0.118843</v>
      </c>
      <c r="K67" s="20">
        <f t="array" ref="K67">IFERROR(_xll.FDS($B67,"POW(FE_ESTIMATE(SALES,MEAN,STMA,,NOW,,,'CURRENCY=USD')/FE_ESTIMATE(SALES,MEAN,LTMA,,NOW,,,'CURRENCY=USD'),0.5)-1"), "")</f>
        <v>0.18566854558936499</v>
      </c>
      <c r="L67" s="20">
        <f t="array" ref="L67">IFERROR(_xll.FDS($B67,"POW(FE_ESTIMATE(EPS,MEAN,STMA,,NOW,,,'CURRENCY=USD')/FE_ESTIMATE(EPS,MEAN,LTMA,,NOW,,,'CURRENCY=USD'),0.5)-1"), "")</f>
        <v>0.29353303011558202</v>
      </c>
      <c r="M67" s="21">
        <f t="array" ref="M67">IFERROR(_xll.FDS($B67,"FF_GROSS_MGN(LTM_R,0)"), "")</f>
        <v>54.7681656816371</v>
      </c>
      <c r="N67" s="21">
        <f t="array" ref="N67">IFERROR(_xll.FDS($B67,"FF_EBITDA_OPER_MGN(LTM_R,0)"), "")</f>
        <v>-8.5581527992211495</v>
      </c>
      <c r="O67" s="21">
        <f t="array" ref="O67">IFERROR(_xll.FDS($B67,"FF_NET_MGN(LTM_R,0)"), "")</f>
        <v>-61.9377710470159</v>
      </c>
      <c r="P67" s="22">
        <f t="array" ref="P67">IFERROR(_xll.FDS($B67,"FE_VALUATION(NETDEBT_EBITDA,MEAN,NTMA,,NOW,,,'')"), "")</f>
        <v>-2.1515849999999999</v>
      </c>
      <c r="Q67" s="23">
        <f t="array" ref="Q67">IFERROR(_xll.FDS($B67,"FE_VALUATION(MCAP_FCF,MEAN,NTMA,,NOW,,,'')"), "")</f>
        <v>2.9151294000000001</v>
      </c>
      <c r="R67" s="23">
        <f t="array" ref="R67">IFERROR(_xll.FDS($B67,"FE_VALUATION(DIV_YLD,MEAN,NTMA,,NOW,,,'')"), "")</f>
        <v>0</v>
      </c>
      <c r="S67" s="21">
        <f t="array" ref="S67">IFERROR(_xll.FDS($B67,"FE_VALUATION(ROE,MEAN,NTMA,,0,,,'')" ), "")</f>
        <v>2.7313174999999998</v>
      </c>
      <c r="T67" s="21">
        <f t="array" ref="T67">IFERROR(_xll.FDS($B67,"FE_VALUATION(ROIC,MEAN,NTMA,,0,,,'')" ), "")</f>
        <v>2.7537379999999998</v>
      </c>
      <c r="U67" s="22" t="str">
        <f t="array" ref="U67">IFERROR(((_xll.FDS($B67,"FE_ACTUAL(ACTUAL,SALES,ANN_ROLL,0,,,,'CURRENCY=USD')")/_xll.FDS($B67,"FE_ACTUAL(ACTUAL,SALES,ANN_ROLL,-1,,,,'CURRENCY=USD')")-1)*100)+(_xll.FDS($B67,"FE_VALUATION(EBITDA_MARGIN,MEAN,ANN_ROLL,0,NOW,,,'')")  ), "")</f>
        <v/>
      </c>
      <c r="V67" s="24">
        <f t="array" ref="V67">IFERROR(_xll.FDS($B67,"FE_VALUATION(PE,MEAN,NTMA,,0,,,'')" ), "")</f>
        <v>40.202689999999997</v>
      </c>
      <c r="W67" s="24">
        <f t="array" ref="W67">IFERROR(_xll.FDS($B67,"FE_VALUATION(P_SALESPS,MEAN,NTMA,,0,,,'')" ), "")</f>
        <v>5.7028713</v>
      </c>
      <c r="X67" s="24">
        <f t="array" ref="X67">IFERROR(_xll.FDS($B67,"FE_VALUATION(FFEV_SALES,MEAN,NTMA,,0,,,'')" ), "")</f>
        <v>5.4404729999999999</v>
      </c>
      <c r="Y67" s="24">
        <f t="array" ref="Y67">IFERROR(_xll.FDS($B67,"FE_VALUATION(FFEV_EBITDA,MEAN,NTMA,,0,,,'')" ), "")</f>
        <v>28.143626999999999</v>
      </c>
      <c r="Z67" s="20">
        <f t="array" ref="Z67">IFERROR(_xll.FDS($B67,"PERCENT_CHANGE(FE_VALUATION(PE,MEAN,NTMA,,0,,,''),MAX(FE_VALUATION(PE,MEAN,NTMA,,-1AY,0,,'')))")/100,"")</f>
        <v>-0.74666298071263892</v>
      </c>
      <c r="AA67" s="20">
        <f t="array" ref="AA67">IFERROR(_xll.FDS($B67,"PERCENT_CHANGE(FE_VALUATION(FFEV_EBITDA,MEAN,NTMA,,0,,,''),MAX(FE_VALUATION(FFEV_EBITDA,MEAN,NTMA,,-1AY,0,,'')))")/100,"")</f>
        <v>-0.65568882538589601</v>
      </c>
      <c r="AB67" s="20">
        <f t="array" ref="AB67">IFERROR(_xll.FDS($B67,"FG_PRICE(0,,,USD)/P_PRICE_HIGH(-1AY,0,USD,,,""PRICE"",""INTRA"")")-1, "")</f>
        <v>-0.47414829659318602</v>
      </c>
      <c r="AC67" s="20">
        <f t="array" ref="AC67">IFERROR(_xll.FDS($B67,"RTP_PRICE_TARGET(USD)/FG_PRICE(0,,,USD)")-1, "")</f>
        <v>0.94429039634145995</v>
      </c>
      <c r="AD67" s="25">
        <f t="array" ref="AD67">IFERROR(_xll.FDS($B67,"FG_PRICE(0,,,USD)/FG_PRICE_MAVG(0,,,USD,50)")-1, "")</f>
        <v>-0.27056808957779699</v>
      </c>
      <c r="AE67" s="25">
        <f t="array" ref="AE67">IFERROR(_xll.FDS($B67,"FG_PRICE(0,,,USD)/FG_PRICE_MAVG(0,,,USD,100)")-1, "")</f>
        <v>-0.32366776209807302</v>
      </c>
      <c r="AF67" s="25">
        <f t="array" ref="AF67">IFERROR(_xll.FDS($B67,"FG_PRICE(0,,,USD)/FG_PRICE_MAVG(0,,,USD,200)")-1, "")</f>
        <v>-0.34411559962556604</v>
      </c>
      <c r="AG67" s="26" t="str">
        <f t="array" ref="AG67">IFERROR(_xll.FDS($B67,"FE_RATING(MEAN,TEXTONLY,0,NOW,,,'')"), "")</f>
        <v>Buy</v>
      </c>
      <c r="AH67" s="50">
        <f>IFERROR(IF('3 — Weights'!$E$2=1,PERCENTRANK(I$4:I$91,I67),1-PERCENTRANK(I$4:I$91,I67))*100,"")</f>
        <v>26.400000000000002</v>
      </c>
      <c r="AI67" s="51">
        <f>IFERROR(IF('3 — Weights'!$E$3=1,PERCENTRANK(J$4:J$91,J67),1-PERCENTRANK(J$4:J$91,J67))*100,"")</f>
        <v>2.1999999999999997</v>
      </c>
      <c r="AJ67" s="51">
        <f>IFERROR(IF('3 — Weights'!$E$4=1,PERCENTRANK(K$4:K$91,K67),1-PERCENTRANK(K$4:K$91,K67))*100,"")</f>
        <v>78.100000000000009</v>
      </c>
      <c r="AK67" s="51">
        <f>IFERROR(IF('3 — Weights'!$E$5=1,PERCENTRANK(L$4:L$91,L67),1-PERCENTRANK(L$4:L$91,L67))*100,"")</f>
        <v>84.5</v>
      </c>
      <c r="AL67" s="51">
        <f>IFERROR(IF('3 — Weights'!$E$6=1,PERCENTRANK(M$4:M$91,M67),1-PERCENTRANK(M$4:M$91,M67))*100,"")</f>
        <v>14.6</v>
      </c>
      <c r="AM67" s="51">
        <f>IFERROR(IF('3 — Weights'!$E$7=1,PERCENTRANK(N$4:N$91,N67),1-PERCENTRANK(N$4:N$91,N67))*100,"")</f>
        <v>9</v>
      </c>
      <c r="AN67" s="51">
        <f>IFERROR(IF('3 — Weights'!$E$8=1,PERCENTRANK(O$4:O$91,O67),1-PERCENTRANK(O$4:O$91,O67))*100,"")</f>
        <v>0</v>
      </c>
      <c r="AO67" s="51">
        <f>IFERROR(IF('3 — Weights'!$E$9=1,PERCENTRANK(P$4:P$91,P67),1-PERCENTRANK(P$4:P$91,P67))*100,"")</f>
        <v>66.3</v>
      </c>
      <c r="AP67" s="51">
        <f>IFERROR(IF('3 — Weights'!$E$10=1,PERCENTRANK(Q$4:Q$91,Q67),1-PERCENTRANK(Q$4:Q$91,Q67))*100,"")</f>
        <v>21.4</v>
      </c>
      <c r="AQ67" s="51">
        <f>IFERROR(IF('3 — Weights'!$E$11=1,PERCENTRANK(R$4:R$91,R67),1-PERCENTRANK(R$4:R$91,R67))*100,"")</f>
        <v>0</v>
      </c>
      <c r="AR67" s="51">
        <f>IFERROR(IF('3 — Weights'!$E$12=1,PERCENTRANK(S$4:S$91,S67),1-PERCENTRANK(S$4:S$91,S67))*100,"")</f>
        <v>3.6999999999999997</v>
      </c>
      <c r="AS67" s="51">
        <f>IFERROR(IF('3 — Weights'!$E$13=1,PERCENTRANK(T$4:T$91,T67),1-PERCENTRANK(T$4:T$91,T67))*100,"")</f>
        <v>5.5</v>
      </c>
      <c r="AT67" s="51" t="str">
        <f>IFERROR(IF('3 — Weights'!$E$14=1,PERCENTRANK(U$4:U$91,U67),1-PERCENTRANK(U$4:U$91,U67))*100,"")</f>
        <v/>
      </c>
      <c r="AU67" s="51">
        <f>IFERROR(IF('3 — Weights'!$E$15=1,PERCENTRANK(V$4:V$91,V67),1-PERCENTRANK(V$4:V$91,V67))*100,"")</f>
        <v>21.9</v>
      </c>
      <c r="AV67" s="51">
        <f>IFERROR(IF('3 — Weights'!$E$16=1,PERCENTRANK(W$4:W$91,W67),1-PERCENTRANK(W$4:W$91,W67))*100,"")</f>
        <v>38</v>
      </c>
      <c r="AW67" s="51">
        <f>IFERROR(IF('3 — Weights'!$E$17=1,PERCENTRANK(X$4:X$91,X67),1-PERCENTRANK(X$4:X$91,X67))*100,"")</f>
        <v>39.1</v>
      </c>
      <c r="AX67" s="51">
        <f>IFERROR(IF('3 — Weights'!$E$18=1,PERCENTRANK(Y$4:Y$91,Y67),1-PERCENTRANK(Y$4:Y$91,Y67))*100,"")</f>
        <v>17.500000000000004</v>
      </c>
      <c r="AY67" s="51">
        <f>IFERROR(IF('3 — Weights'!$E$18=1,PERCENTRANK(Z$4:Z$91,Z67),1-PERCENTRANK(Z$4:Z$91,Z67))*100,"")</f>
        <v>92</v>
      </c>
      <c r="AZ67" s="51">
        <f>IFERROR(IF('3 — Weights'!$E$18=1,PERCENTRANK(AA$4:AA$91,AA67),1-PERCENTRANK(AA$4:AA$91,AA67))*100,"")</f>
        <v>86.1</v>
      </c>
      <c r="BA67" s="51">
        <f>IFERROR(IF('3 — Weights'!$E$21=1,PERCENTRANK(AB$4:AB$91,AB67),1-PERCENTRANK(AB$4:AB$91,AB67))*100,"")</f>
        <v>40.200000000000003</v>
      </c>
      <c r="BB67" s="51">
        <f>IFERROR(IF('3 — Weights'!$E$22=1,PERCENTRANK(AC$4:AC$91,AC67),1-PERCENTRANK(AC$4:AC$91,AC67))*100,"")</f>
        <v>88.5</v>
      </c>
      <c r="BC67" s="51">
        <f>IFERROR(IF('3 — Weights'!$E$23=1,PERCENTRANK(AD$4:AD$91,AD67),1-PERCENTRANK(AD$4:AD$91,AD67))*100,"")</f>
        <v>81.699999999999989</v>
      </c>
      <c r="BD67" s="51">
        <f>IFERROR(IF('3 — Weights'!$E$24=1,PERCENTRANK(AE$4:AE$91,AE67),1-PERCENTRANK(AE$4:AE$91,AE67))*100,"")</f>
        <v>78.2</v>
      </c>
      <c r="BE67" s="51">
        <f>IFERROR(IF('3 — Weights'!$E$25=1,PERCENTRANK(AF$4:AF$91,AF67),1-PERCENTRANK(AF$4:AF$91,AF67))*100,"")</f>
        <v>67.900000000000006</v>
      </c>
      <c r="BF67" s="52" cm="1">
        <f t="array" ref="BF67">IFERROR(SUMPRODUCT(TRANSPOSE(AH67:BE67), [1]!Table2[Weight
Claude]),"")</f>
        <v>41.495000000000005</v>
      </c>
      <c r="BG67" s="53" cm="1">
        <f t="array" ref="BG67">IFERROR(SUMPRODUCT(TRANSPOSE(AH67:BE67), [1]!Table2[Weight
Cape IMC]),"")</f>
        <v>41.495000000000005</v>
      </c>
    </row>
    <row r="68" spans="1:59" ht="22.5" customHeight="1" x14ac:dyDescent="0.25">
      <c r="A68" s="17">
        <f t="shared" si="0"/>
        <v>64</v>
      </c>
      <c r="B68" s="18" t="s">
        <v>207</v>
      </c>
      <c r="C68" s="18" t="s">
        <v>208</v>
      </c>
      <c r="D68" s="18" t="str">
        <f t="array" ref="D68">IFERROR(_xll.FDS($B68,"FR_RBICS_NAME_CURR(""IND"")"), "")</f>
        <v>Finance Industry Software</v>
      </c>
      <c r="E68" s="18" t="str">
        <f t="array" ref="E68">PROPER(IFERROR(_xll.FDS($B68,"P_DCOUNTRY"), ""))</f>
        <v>United States</v>
      </c>
      <c r="F68" s="19">
        <f t="array" ref="F68">IFERROR(_xll.FDS($B68,"FCS_EV_DAILY(MV,NOW,,,USD,M)"), "")</f>
        <v>11280.244286540001</v>
      </c>
      <c r="G68" s="19">
        <f t="array" ref="G68">IFERROR(_xll.FDS($B68,"AVG(P_VOLUME_FRQ(-1AM,NOW,D,,6))*P_PRICE_AVG(-1AM,NOW,,USD)"), "")</f>
        <v>219.88473625708201</v>
      </c>
      <c r="H68" s="20">
        <f t="array" ref="H68">IFERROR(_xll.FDS($B68,"OS_SEC_FLT_PCT(0D,,MTD,SEC)")/100, "")</f>
        <v>0.9932470000000001</v>
      </c>
      <c r="I68" s="19">
        <f t="array" ref="I68">IFERROR(_xll.FDS($B68,"FE_ACTUAL(ACTUAL,SALES,ANN_ROLL,0,,,,'CURRENCY=USD')"), "")</f>
        <v>1202.4590000000001</v>
      </c>
      <c r="J68" s="19">
        <f t="array" ref="J68">IFERROR(_xll.FDS($B68,"FE_ACTUAL(ACTUAL,EPS,ANN_ROLL,0,,,,'CURRENCY=USD')"), "")</f>
        <v>2.65</v>
      </c>
      <c r="K68" s="20">
        <f t="array" ref="K68">IFERROR(_xll.FDS($B68,"POW(FE_ESTIMATE(SALES,MEAN,STMA,,NOW,,,'CURRENCY=USD')/FE_ESTIMATE(SALES,MEAN,LTMA,,NOW,,,'CURRENCY=USD'),0.5)-1"), "")</f>
        <v>0.15485293436004199</v>
      </c>
      <c r="L68" s="20">
        <f t="array" ref="L68">IFERROR(_xll.FDS($B68,"POW(FE_ESTIMATE(EPS,MEAN,STMA,,NOW,,,'CURRENCY=USD')/FE_ESTIMATE(EPS,MEAN,LTMA,,NOW,,,'CURRENCY=USD'),0.5)-1"), "")</f>
        <v>0.24651397906321099</v>
      </c>
      <c r="M68" s="21">
        <f t="array" ref="M68">IFERROR(_xll.FDS($B68,"FF_GROSS_MGN(LTM_R,0)"), "")</f>
        <v>63.1335398527115</v>
      </c>
      <c r="N68" s="21">
        <f t="array" ref="N68">IFERROR(_xll.FDS($B68,"FF_EBITDA_OPER_MGN(LTM_R,0)"), "")</f>
        <v>8.8469002835252706</v>
      </c>
      <c r="O68" s="21">
        <f t="array" ref="O68">IFERROR(_xll.FDS($B68,"FF_NET_MGN(LTM_R,0)"), "")</f>
        <v>7.2294621037465099</v>
      </c>
      <c r="P68" s="22">
        <f t="array" ref="P68">IFERROR(_xll.FDS($B68,"FE_VALUATION(NETDEBT_EBITDA,MEAN,NTMA,,NOW,,,'')"), "")</f>
        <v>-3.1473255</v>
      </c>
      <c r="Q68" s="23">
        <f t="array" ref="Q68">IFERROR(_xll.FDS($B68,"FE_VALUATION(MCAP_FCF,MEAN,NTMA,,NOW,,,'')"), "")</f>
        <v>3.4630377000000001</v>
      </c>
      <c r="R68" s="23">
        <f t="array" ref="R68">IFERROR(_xll.FDS($B68,"FE_VALUATION(DIV_YLD,MEAN,NTMA,,NOW,,,'')"), "")</f>
        <v>0</v>
      </c>
      <c r="S68" s="21">
        <f t="array" ref="S68">IFERROR(_xll.FDS($B68,"FE_VALUATION(ROE,MEAN,NTMA,,0,,,'')" ), "")</f>
        <v>14.891173</v>
      </c>
      <c r="T68" s="21">
        <f t="array" ref="T68">IFERROR(_xll.FDS($B68,"FE_VALUATION(ROIC,MEAN,NTMA,,0,,,'')" ), "")</f>
        <v>11.406304</v>
      </c>
      <c r="U68" s="22">
        <f t="array" ref="U68">IFERROR(((_xll.FDS($B68,"FE_ACTUAL(ACTUAL,SALES,ANN_ROLL,0,,,,'CURRENCY=USD')")/_xll.FDS($B68,"FE_ACTUAL(ACTUAL,SALES,ANN_ROLL,-1,,,,'CURRENCY=USD')")-1)*100)+(_xll.FDS($B68,"FE_VALUATION(EBITDA_MARGIN,MEAN,ANN_ROLL,0,NOW,,,'')")  ), "")</f>
        <v>41.625253124027928</v>
      </c>
      <c r="V68" s="24">
        <f t="array" ref="V68">IFERROR(_xll.FDS($B68,"FE_VALUATION(PE,MEAN,NTMA,,0,,,'')" ), "")</f>
        <v>36.896045999999998</v>
      </c>
      <c r="W68" s="24">
        <f t="array" ref="W68">IFERROR(_xll.FDS($B68,"FE_VALUATION(P_SALESPS,MEAN,NTMA,,0,,,'')" ), "")</f>
        <v>7.0792602999999996</v>
      </c>
      <c r="X68" s="24">
        <f t="array" ref="X68">IFERROR(_xll.FDS($B68,"FE_VALUATION(FFEV_SALES,MEAN,NTMA,,0,,,'')" ), "")</f>
        <v>6.9980140000000004</v>
      </c>
      <c r="Y68" s="24">
        <f t="array" ref="Y68">IFERROR(_xll.FDS($B68,"FE_VALUATION(FFEV_EBITDA,MEAN,NTMA,,0,,,'')" ), "")</f>
        <v>29.59338</v>
      </c>
      <c r="Z68" s="20">
        <f t="array" ref="Z68">IFERROR(_xll.FDS($B68,"PERCENT_CHANGE(FE_VALUATION(PE,MEAN,NTMA,,0,,,''),MAX(FE_VALUATION(PE,MEAN,NTMA,,-1AY,0,,'')))")/100,"")</f>
        <v>-0.60609133468208998</v>
      </c>
      <c r="AA68" s="20">
        <f t="array" ref="AA68">IFERROR(_xll.FDS($B68,"PERCENT_CHANGE(FE_VALUATION(FFEV_EBITDA,MEAN,NTMA,,0,,,''),MAX(FE_VALUATION(FFEV_EBITDA,MEAN,NTMA,,-1AY,0,,'')))")/100,"")</f>
        <v>-0.61749884448470194</v>
      </c>
      <c r="AB68" s="20">
        <f t="array" ref="AB68">IFERROR(_xll.FDS($B68,"FG_PRICE(0,,,USD)/P_PRICE_HIGH(-1AY,0,USD,,,""PRICE"",""INTRA"")")-1, "")</f>
        <v>-0.52993396918561997</v>
      </c>
      <c r="AC68" s="20">
        <f t="array" ref="AC68">IFERROR(_xll.FDS($B68,"RTP_PRICE_TARGET(USD)/FG_PRICE(0,,,USD)")-1, "")</f>
        <v>1.0322823474325</v>
      </c>
      <c r="AD68" s="25">
        <f t="array" ref="AD68">IFERROR(_xll.FDS($B68,"FG_PRICE(0,,,USD)/FG_PRICE_MAVG(0,,,USD,50)")-1, "")</f>
        <v>-0.22352946879574997</v>
      </c>
      <c r="AE68" s="25">
        <f t="array" ref="AE68">IFERROR(_xll.FDS($B68,"FG_PRICE(0,,,USD)/FG_PRICE_MAVG(0,,,USD,100)")-1, "")</f>
        <v>-0.34578823736032105</v>
      </c>
      <c r="AF68" s="25">
        <f t="array" ref="AF68">IFERROR(_xll.FDS($B68,"FG_PRICE(0,,,USD)/FG_PRICE_MAVG(0,,,USD,200)")-1, "")</f>
        <v>-0.39579233060825303</v>
      </c>
      <c r="AG68" s="26" t="str">
        <f t="array" ref="AG68">IFERROR(_xll.FDS($B68,"FE_RATING(MEAN,TEXTONLY,0,NOW,,,'')"), "")</f>
        <v>Buy</v>
      </c>
      <c r="AH68" s="50">
        <f>IFERROR(IF('3 — Weights'!$E$2=1,PERCENTRANK(I$4:I$91,I68),1-PERCENTRANK(I$4:I$91,I68))*100,"")</f>
        <v>39</v>
      </c>
      <c r="AI68" s="51">
        <f>IFERROR(IF('3 — Weights'!$E$3=1,PERCENTRANK(J$4:J$91,J68),1-PERCENTRANK(J$4:J$91,J68))*100,"")</f>
        <v>54</v>
      </c>
      <c r="AJ68" s="51">
        <f>IFERROR(IF('3 — Weights'!$E$4=1,PERCENTRANK(K$4:K$91,K68),1-PERCENTRANK(K$4:K$91,K68))*100,"")</f>
        <v>58.599999999999994</v>
      </c>
      <c r="AK68" s="51">
        <f>IFERROR(IF('3 — Weights'!$E$5=1,PERCENTRANK(L$4:L$91,L68),1-PERCENTRANK(L$4:L$91,L68))*100,"")</f>
        <v>73.8</v>
      </c>
      <c r="AL68" s="51">
        <f>IFERROR(IF('3 — Weights'!$E$6=1,PERCENTRANK(M$4:M$91,M68),1-PERCENTRANK(M$4:M$91,M68))*100,"")</f>
        <v>25.6</v>
      </c>
      <c r="AM68" s="51">
        <f>IFERROR(IF('3 — Weights'!$E$7=1,PERCENTRANK(N$4:N$91,N68),1-PERCENTRANK(N$4:N$91,N68))*100,"")</f>
        <v>29.799999999999997</v>
      </c>
      <c r="AN68" s="51">
        <f>IFERROR(IF('3 — Weights'!$E$8=1,PERCENTRANK(O$4:O$91,O68),1-PERCENTRANK(O$4:O$91,O68))*100,"")</f>
        <v>39.700000000000003</v>
      </c>
      <c r="AO68" s="51">
        <f>IFERROR(IF('3 — Weights'!$E$9=1,PERCENTRANK(P$4:P$91,P68),1-PERCENTRANK(P$4:P$91,P68))*100,"")</f>
        <v>83.2</v>
      </c>
      <c r="AP68" s="51">
        <f>IFERROR(IF('3 — Weights'!$E$10=1,PERCENTRANK(Q$4:Q$91,Q68),1-PERCENTRANK(Q$4:Q$91,Q68))*100,"")</f>
        <v>28.499999999999996</v>
      </c>
      <c r="AQ68" s="51">
        <f>IFERROR(IF('3 — Weights'!$E$11=1,PERCENTRANK(R$4:R$91,R68),1-PERCENTRANK(R$4:R$91,R68))*100,"")</f>
        <v>0</v>
      </c>
      <c r="AR68" s="51">
        <f>IFERROR(IF('3 — Weights'!$E$12=1,PERCENTRANK(S$4:S$91,S68),1-PERCENTRANK(S$4:S$91,S68))*100,"")</f>
        <v>28.299999999999997</v>
      </c>
      <c r="AS68" s="51">
        <f>IFERROR(IF('3 — Weights'!$E$13=1,PERCENTRANK(T$4:T$91,T68),1-PERCENTRANK(T$4:T$91,T68))*100,"")</f>
        <v>27.700000000000003</v>
      </c>
      <c r="AT68" s="51">
        <f>IFERROR(IF('3 — Weights'!$E$14=1,PERCENTRANK(U$4:U$91,U68),1-PERCENTRANK(U$4:U$91,U68))*100,"")</f>
        <v>41.4</v>
      </c>
      <c r="AU68" s="51">
        <f>IFERROR(IF('3 — Weights'!$E$15=1,PERCENTRANK(V$4:V$91,V68),1-PERCENTRANK(V$4:V$91,V68))*100,"")</f>
        <v>23</v>
      </c>
      <c r="AV68" s="51">
        <f>IFERROR(IF('3 — Weights'!$E$16=1,PERCENTRANK(W$4:W$91,W68),1-PERCENTRANK(W$4:W$91,W68))*100,"")</f>
        <v>25.3</v>
      </c>
      <c r="AW68" s="51">
        <f>IFERROR(IF('3 — Weights'!$E$17=1,PERCENTRANK(X$4:X$91,X68),1-PERCENTRANK(X$4:X$91,X68))*100,"")</f>
        <v>24.2</v>
      </c>
      <c r="AX68" s="51">
        <f>IFERROR(IF('3 — Weights'!$E$18=1,PERCENTRANK(Y$4:Y$91,Y68),1-PERCENTRANK(Y$4:Y$91,Y68))*100,"")</f>
        <v>16.300000000000004</v>
      </c>
      <c r="AY68" s="51">
        <f>IFERROR(IF('3 — Weights'!$E$18=1,PERCENTRANK(Z$4:Z$91,Z68),1-PERCENTRANK(Z$4:Z$91,Z68))*100,"")</f>
        <v>77.100000000000009</v>
      </c>
      <c r="AZ68" s="51">
        <f>IFERROR(IF('3 — Weights'!$E$18=1,PERCENTRANK(AA$4:AA$91,AA68),1-PERCENTRANK(AA$4:AA$91,AA68))*100,"")</f>
        <v>80.3</v>
      </c>
      <c r="BA68" s="51">
        <f>IFERROR(IF('3 — Weights'!$E$21=1,PERCENTRANK(AB$4:AB$91,AB68),1-PERCENTRANK(AB$4:AB$91,AB68))*100,"")</f>
        <v>21.8</v>
      </c>
      <c r="BB68" s="51">
        <f>IFERROR(IF('3 — Weights'!$E$22=1,PERCENTRANK(AC$4:AC$91,AC68),1-PERCENTRANK(AC$4:AC$91,AC68))*100,"")</f>
        <v>93.100000000000009</v>
      </c>
      <c r="BC68" s="51">
        <f>IFERROR(IF('3 — Weights'!$E$23=1,PERCENTRANK(AD$4:AD$91,AD68),1-PERCENTRANK(AD$4:AD$91,AD68))*100,"")</f>
        <v>71.300000000000011</v>
      </c>
      <c r="BD68" s="51">
        <f>IFERROR(IF('3 — Weights'!$E$24=1,PERCENTRANK(AE$4:AE$91,AE68),1-PERCENTRANK(AE$4:AE$91,AE68))*100,"")</f>
        <v>87.4</v>
      </c>
      <c r="BE68" s="51">
        <f>IFERROR(IF('3 — Weights'!$E$25=1,PERCENTRANK(AF$4:AF$91,AF68),1-PERCENTRANK(AF$4:AF$91,AF68))*100,"")</f>
        <v>80.5</v>
      </c>
      <c r="BF68" s="52" cm="1">
        <f t="array" ref="BF68">IFERROR(SUMPRODUCT(TRANSPOSE(AH68:BE68), [1]!Table2[Weight
Claude]),"")</f>
        <v>41.779999999999994</v>
      </c>
      <c r="BG68" s="53" cm="1">
        <f t="array" ref="BG68">IFERROR(SUMPRODUCT(TRANSPOSE(AH68:BE68), [1]!Table2[Weight
Cape IMC]),"")</f>
        <v>41.779999999999994</v>
      </c>
    </row>
    <row r="69" spans="1:59" ht="22.5" customHeight="1" x14ac:dyDescent="0.25">
      <c r="A69" s="17">
        <f t="shared" ref="A69:A91" si="1">IFERROR(RANK(BG69,BG$4:BG$91),"")</f>
        <v>67</v>
      </c>
      <c r="B69" s="18" t="s">
        <v>209</v>
      </c>
      <c r="C69" s="18" t="s">
        <v>210</v>
      </c>
      <c r="D69" s="18" t="str">
        <f t="array" ref="D69">IFERROR(_xll.FDS($B69,"FR_RBICS_NAME_CURR(""IND"")"), "")</f>
        <v>Business Intelligence Software</v>
      </c>
      <c r="E69" s="18" t="str">
        <f t="array" ref="E69">PROPER(IFERROR(_xll.FDS($B69,"P_DCOUNTRY"), ""))</f>
        <v>United States</v>
      </c>
      <c r="F69" s="19">
        <f t="array" ref="F69">IFERROR(_xll.FDS($B69,"FCS_EV_DAILY(MV,NOW,,,USD,M)"), "")</f>
        <v>63320.453574439998</v>
      </c>
      <c r="G69" s="19">
        <f t="array" ref="G69">IFERROR(_xll.FDS($B69,"AVG(P_VOLUME_FRQ(-1AM,NOW,D,,6))*P_PRICE_AVG(-1AM,NOW,,USD)"), "")</f>
        <v>1250.6119637449401</v>
      </c>
      <c r="H69" s="20">
        <f t="array" ref="H69">IFERROR(_xll.FDS($B69,"OS_SEC_FLT_PCT(0D,,MTD,SEC)")/100, "")</f>
        <v>0.96331900000000004</v>
      </c>
      <c r="I69" s="19">
        <f t="array" ref="I69">IFERROR(_xll.FDS($B69,"FE_ACTUAL(ACTUAL,SALES,ANN_ROLL,0,,,,'CURRENCY=USD')"), "")</f>
        <v>3626.3960000000002</v>
      </c>
      <c r="J69" s="19">
        <f t="array" ref="J69">IFERROR(_xll.FDS($B69,"FE_ACTUAL(ACTUAL,EPS,ANN_ROLL,0,,,,'CURRENCY=USD')"), "")</f>
        <v>0.83</v>
      </c>
      <c r="K69" s="20">
        <f t="array" ref="K69">IFERROR(_xll.FDS($B69,"POW(FE_ESTIMATE(SALES,MEAN,STMA,,NOW,,,'CURRENCY=USD')/FE_ESTIMATE(SALES,MEAN,LTMA,,NOW,,,'CURRENCY=USD'),0.5)-1"), "")</f>
        <v>0.23617822339660999</v>
      </c>
      <c r="L69" s="20">
        <f t="array" ref="L69">IFERROR(_xll.FDS($B69,"POW(FE_ESTIMATE(EPS,MEAN,STMA,,NOW,,,'CURRENCY=USD')/FE_ESTIMATE(EPS,MEAN,LTMA,,NOW,,,'CURRENCY=USD'),0.5)-1"), "")</f>
        <v>0.34414165920114198</v>
      </c>
      <c r="M69" s="21">
        <f t="array" ref="M69">IFERROR(_xll.FDS($B69,"FF_GROSS_MGN(LTM_R,0)"), "")</f>
        <v>65.9619643095687</v>
      </c>
      <c r="N69" s="21">
        <f t="array" ref="N69">IFERROR(_xll.FDS($B69,"FF_EBITDA_OPER_MGN(LTM_R,0)"), "")</f>
        <v>-26.917114875298701</v>
      </c>
      <c r="O69" s="21">
        <f t="array" ref="O69">IFERROR(_xll.FDS($B69,"FF_NET_MGN(LTM_R,0)"), "")</f>
        <v>-30.764201606575501</v>
      </c>
      <c r="P69" s="22">
        <f t="array" ref="P69">IFERROR(_xll.FDS($B69,"FE_VALUATION(NETDEBT_EBITDA,MEAN,NTMA,,NOW,,,'')"), "")</f>
        <v>-3.7776367999999998</v>
      </c>
      <c r="Q69" s="23">
        <f t="array" ref="Q69">IFERROR(_xll.FDS($B69,"FE_VALUATION(MCAP_FCF,MEAN,NTMA,,NOW,,,'')"), "")</f>
        <v>2.7546084</v>
      </c>
      <c r="R69" s="23">
        <f t="array" ref="R69">IFERROR(_xll.FDS($B69,"FE_VALUATION(DIV_YLD,MEAN,NTMA,,NOW,,,'')"), "")</f>
        <v>0</v>
      </c>
      <c r="S69" s="21">
        <f t="array" ref="S69">IFERROR(_xll.FDS($B69,"FE_VALUATION(ROE,MEAN,NTMA,,0,,,'')" ), "")</f>
        <v>22.355415000000001</v>
      </c>
      <c r="T69" s="21">
        <f t="array" ref="T69">IFERROR(_xll.FDS($B69,"FE_VALUATION(ROIC,MEAN,NTMA,,0,,,'')" ), "")</f>
        <v>12.448356</v>
      </c>
      <c r="U69" s="22">
        <f t="array" ref="U69">IFERROR(((_xll.FDS($B69,"FE_ACTUAL(ACTUAL,SALES,ANN_ROLL,0,,,,'CURRENCY=USD')")/_xll.FDS($B69,"FE_ACTUAL(ACTUAL,SALES,ANN_ROLL,-1,,,,'CURRENCY=USD')")-1)*100)+(_xll.FDS($B69,"FE_VALUATION(EBITDA_MARGIN,MEAN,ANN_ROLL,0,NOW,,,'')")  ), "")</f>
        <v>40.644181818124352</v>
      </c>
      <c r="V69" s="24">
        <f t="array" ref="V69">IFERROR(_xll.FDS($B69,"FE_VALUATION(PE,MEAN,NTMA,,0,,,'')" ), "")</f>
        <v>95.500069999999994</v>
      </c>
      <c r="W69" s="24">
        <f t="array" ref="W69">IFERROR(_xll.FDS($B69,"FE_VALUATION(P_SALESPS,MEAN,NTMA,,0,,,'')" ), "")</f>
        <v>9.3751069999999999</v>
      </c>
      <c r="X69" s="24">
        <f t="array" ref="X69">IFERROR(_xll.FDS($B69,"FE_VALUATION(FFEV_SALES,MEAN,NTMA,,0,,,'')" ), "")</f>
        <v>9.191649</v>
      </c>
      <c r="Y69" s="24">
        <f t="array" ref="Y69">IFERROR(_xll.FDS($B69,"FE_VALUATION(FFEV_EBITDA,MEAN,NTMA,,0,,,'')" ), "")</f>
        <v>64.909779999999998</v>
      </c>
      <c r="Z69" s="20">
        <f t="array" ref="Z69">IFERROR(_xll.FDS($B69,"PERCENT_CHANGE(FE_VALUATION(PE,MEAN,NTMA,,0,,,''),MAX(FE_VALUATION(PE,MEAN,NTMA,,-1AY,0,,'')))")/100,"")</f>
        <v>-0.46878023743781599</v>
      </c>
      <c r="AA69" s="20">
        <f t="array" ref="AA69">IFERROR(_xll.FDS($B69,"PERCENT_CHANGE(FE_VALUATION(FFEV_EBITDA,MEAN,NTMA,,0,,,''),MAX(FE_VALUATION(FFEV_EBITDA,MEAN,NTMA,,-1AY,0,,'')))")/100,"")</f>
        <v>-0.49313100776689001</v>
      </c>
      <c r="AB69" s="20">
        <f t="array" ref="AB69">IFERROR(_xll.FDS($B69,"FG_PRICE(0,,,USD)/P_PRICE_HIGH(-1AY,0,USD,,,""PRICE"",""INTRA"")")-1, "")</f>
        <v>-0.42615883421812095</v>
      </c>
      <c r="AC69" s="20">
        <f t="array" ref="AC69">IFERROR(_xll.FDS($B69,"RTP_PRICE_TARGET(USD)/FG_PRICE(0,,,USD)")-1, "")</f>
        <v>0.68471935924500005</v>
      </c>
      <c r="AD69" s="25">
        <f t="array" ref="AD69">IFERROR(_xll.FDS($B69,"FG_PRICE(0,,,USD)/FG_PRICE_MAVG(0,,,USD,50)")-1, "")</f>
        <v>-0.20569633987082803</v>
      </c>
      <c r="AE69" s="25">
        <f t="array" ref="AE69">IFERROR(_xll.FDS($B69,"FG_PRICE(0,,,USD)/FG_PRICE_MAVG(0,,,USD,100)")-1, "")</f>
        <v>-0.28934722399329005</v>
      </c>
      <c r="AF69" s="25">
        <f t="array" ref="AF69">IFERROR(_xll.FDS($B69,"FG_PRICE(0,,,USD)/FG_PRICE_MAVG(0,,,USD,200)")-1, "")</f>
        <v>-0.2628198673387</v>
      </c>
      <c r="AG69" s="26" t="str">
        <f t="array" ref="AG69">IFERROR(_xll.FDS($B69,"FE_RATING(MEAN,TEXTONLY,0,NOW,,,'')"), "")</f>
        <v>Buy</v>
      </c>
      <c r="AH69" s="50">
        <f>IFERROR(IF('3 — Weights'!$E$2=1,PERCENTRANK(I$4:I$91,I69),1-PERCENTRANK(I$4:I$91,I69))*100,"")</f>
        <v>72.399999999999991</v>
      </c>
      <c r="AI69" s="51">
        <f>IFERROR(IF('3 — Weights'!$E$3=1,PERCENTRANK(J$4:J$91,J69),1-PERCENTRANK(J$4:J$91,J69))*100,"")</f>
        <v>29.799999999999997</v>
      </c>
      <c r="AJ69" s="51">
        <f>IFERROR(IF('3 — Weights'!$E$4=1,PERCENTRANK(K$4:K$91,K69),1-PERCENTRANK(K$4:K$91,K69))*100,"")</f>
        <v>93.100000000000009</v>
      </c>
      <c r="AK69" s="51">
        <f>IFERROR(IF('3 — Weights'!$E$5=1,PERCENTRANK(L$4:L$91,L69),1-PERCENTRANK(L$4:L$91,L69))*100,"")</f>
        <v>89.2</v>
      </c>
      <c r="AL69" s="51">
        <f>IFERROR(IF('3 — Weights'!$E$6=1,PERCENTRANK(M$4:M$91,M69),1-PERCENTRANK(M$4:M$91,M69))*100,"")</f>
        <v>30.4</v>
      </c>
      <c r="AM69" s="51">
        <f>IFERROR(IF('3 — Weights'!$E$7=1,PERCENTRANK(N$4:N$91,N69),1-PERCENTRANK(N$4:N$91,N69))*100,"")</f>
        <v>3.8</v>
      </c>
      <c r="AN69" s="51">
        <f>IFERROR(IF('3 — Weights'!$E$8=1,PERCENTRANK(O$4:O$91,O69),1-PERCENTRANK(O$4:O$91,O69))*100,"")</f>
        <v>3.5999999999999996</v>
      </c>
      <c r="AO69" s="51">
        <f>IFERROR(IF('3 — Weights'!$E$9=1,PERCENTRANK(P$4:P$91,P69),1-PERCENTRANK(P$4:P$91,P69))*100,"")</f>
        <v>86.8</v>
      </c>
      <c r="AP69" s="51">
        <f>IFERROR(IF('3 — Weights'!$E$10=1,PERCENTRANK(Q$4:Q$91,Q69),1-PERCENTRANK(Q$4:Q$91,Q69))*100,"")</f>
        <v>20.200000000000003</v>
      </c>
      <c r="AQ69" s="51">
        <f>IFERROR(IF('3 — Weights'!$E$11=1,PERCENTRANK(R$4:R$91,R69),1-PERCENTRANK(R$4:R$91,R69))*100,"")</f>
        <v>0</v>
      </c>
      <c r="AR69" s="51">
        <f>IFERROR(IF('3 — Weights'!$E$12=1,PERCENTRANK(S$4:S$91,S69),1-PERCENTRANK(S$4:S$91,S69))*100,"")</f>
        <v>51.800000000000004</v>
      </c>
      <c r="AS69" s="51">
        <f>IFERROR(IF('3 — Weights'!$E$13=1,PERCENTRANK(T$4:T$91,T69),1-PERCENTRANK(T$4:T$91,T69))*100,"")</f>
        <v>29.099999999999998</v>
      </c>
      <c r="AT69" s="51">
        <f>IFERROR(IF('3 — Weights'!$E$14=1,PERCENTRANK(U$4:U$91,U69),1-PERCENTRANK(U$4:U$91,U69))*100,"")</f>
        <v>40.200000000000003</v>
      </c>
      <c r="AU69" s="51">
        <f>IFERROR(IF('3 — Weights'!$E$15=1,PERCENTRANK(V$4:V$91,V69),1-PERCENTRANK(V$4:V$91,V69))*100,"")</f>
        <v>6.899999999999995</v>
      </c>
      <c r="AV69" s="51">
        <f>IFERROR(IF('3 — Weights'!$E$16=1,PERCENTRANK(W$4:W$91,W69),1-PERCENTRANK(W$4:W$91,W69))*100,"")</f>
        <v>12.7</v>
      </c>
      <c r="AW69" s="51">
        <f>IFERROR(IF('3 — Weights'!$E$17=1,PERCENTRANK(X$4:X$91,X69),1-PERCENTRANK(X$4:X$91,X69))*100,"")</f>
        <v>12.7</v>
      </c>
      <c r="AX69" s="51">
        <f>IFERROR(IF('3 — Weights'!$E$18=1,PERCENTRANK(Y$4:Y$91,Y69),1-PERCENTRANK(Y$4:Y$91,Y69))*100,"")</f>
        <v>4.7000000000000046</v>
      </c>
      <c r="AY69" s="51">
        <f>IFERROR(IF('3 — Weights'!$E$18=1,PERCENTRANK(Z$4:Z$91,Z69),1-PERCENTRANK(Z$4:Z$91,Z69))*100,"")</f>
        <v>38</v>
      </c>
      <c r="AZ69" s="51">
        <f>IFERROR(IF('3 — Weights'!$E$18=1,PERCENTRANK(AA$4:AA$91,AA69),1-PERCENTRANK(AA$4:AA$91,AA69))*100,"")</f>
        <v>44.199999999999996</v>
      </c>
      <c r="BA69" s="51">
        <f>IFERROR(IF('3 — Weights'!$E$21=1,PERCENTRANK(AB$4:AB$91,AB69),1-PERCENTRANK(AB$4:AB$91,AB69))*100,"")</f>
        <v>55.1</v>
      </c>
      <c r="BB69" s="51">
        <f>IFERROR(IF('3 — Weights'!$E$22=1,PERCENTRANK(AC$4:AC$91,AC69),1-PERCENTRANK(AC$4:AC$91,AC69))*100,"")</f>
        <v>74.7</v>
      </c>
      <c r="BC69" s="51">
        <f>IFERROR(IF('3 — Weights'!$E$23=1,PERCENTRANK(AD$4:AD$91,AD69),1-PERCENTRANK(AD$4:AD$91,AD69))*100,"")</f>
        <v>61</v>
      </c>
      <c r="BD69" s="51">
        <f>IFERROR(IF('3 — Weights'!$E$24=1,PERCENTRANK(AE$4:AE$91,AE69),1-PERCENTRANK(AE$4:AE$91,AE69))*100,"")</f>
        <v>70.199999999999989</v>
      </c>
      <c r="BE69" s="51">
        <f>IFERROR(IF('3 — Weights'!$E$25=1,PERCENTRANK(AF$4:AF$91,AF69),1-PERCENTRANK(AF$4:AF$91,AF69))*100,"")</f>
        <v>47.199999999999996</v>
      </c>
      <c r="BF69" s="52" cm="1">
        <f t="array" ref="BF69">IFERROR(SUMPRODUCT(TRANSPOSE(AH69:BE69), [1]!Table2[Weight
Claude]),"")</f>
        <v>41.489999999999995</v>
      </c>
      <c r="BG69" s="53" cm="1">
        <f t="array" ref="BG69">IFERROR(SUMPRODUCT(TRANSPOSE(AH69:BE69), [1]!Table2[Weight
Cape IMC]),"")</f>
        <v>41.489999999999995</v>
      </c>
    </row>
    <row r="70" spans="1:59" ht="22.5" customHeight="1" x14ac:dyDescent="0.25">
      <c r="A70" s="17">
        <f t="shared" si="1"/>
        <v>65</v>
      </c>
      <c r="B70" s="18" t="s">
        <v>211</v>
      </c>
      <c r="C70" s="18" t="s">
        <v>212</v>
      </c>
      <c r="D70" s="18" t="str">
        <f t="array" ref="D70">IFERROR(_xll.FDS($B70,"FR_RBICS_NAME_CURR(""IND"")"), "")</f>
        <v>Electronic Design Automation Software</v>
      </c>
      <c r="E70" s="18" t="str">
        <f t="array" ref="E70">PROPER(IFERROR(_xll.FDS($B70,"P_DCOUNTRY"), ""))</f>
        <v>United States</v>
      </c>
      <c r="F70" s="19">
        <f t="array" ref="F70">IFERROR(_xll.FDS($B70,"FCS_EV_DAILY(MV,NOW,,,USD,M)"), "")</f>
        <v>86319.28426832</v>
      </c>
      <c r="G70" s="19">
        <f t="array" ref="G70">IFERROR(_xll.FDS($B70,"AVG(P_VOLUME_FRQ(-1AM,NOW,D,,6))*P_PRICE_AVG(-1AM,NOW,,USD)"), "")</f>
        <v>1014.51159692494</v>
      </c>
      <c r="H70" s="20">
        <f t="array" ref="H70">IFERROR(_xll.FDS($B70,"OS_SEC_FLT_PCT(0D,,MTD,SEC)")/100, "")</f>
        <v>0.958982</v>
      </c>
      <c r="I70" s="19">
        <f t="array" ref="I70">IFERROR(_xll.FDS($B70,"FE_ACTUAL(ACTUAL,SALES,ANN_ROLL,0,,,,'CURRENCY=USD')"), "")</f>
        <v>7054.1779999999999</v>
      </c>
      <c r="J70" s="19">
        <f t="array" ref="J70">IFERROR(_xll.FDS($B70,"FE_ACTUAL(ACTUAL,EPS,ANN_ROLL,0,,,,'CURRENCY=USD')"), "")</f>
        <v>12.91</v>
      </c>
      <c r="K70" s="20">
        <f t="array" ref="K70">IFERROR(_xll.FDS($B70,"POW(FE_ESTIMATE(SALES,MEAN,STMA,,NOW,,,'CURRENCY=USD')/FE_ESTIMATE(SALES,MEAN,LTMA,,NOW,,,'CURRENCY=USD'),0.5)-1"), "")</f>
        <v>0.18207804310883</v>
      </c>
      <c r="L70" s="20">
        <f t="array" ref="L70">IFERROR(_xll.FDS($B70,"POW(FE_ESTIMATE(EPS,MEAN,STMA,,NOW,,,'CURRENCY=USD')/FE_ESTIMATE(EPS,MEAN,LTMA,,NOW,,,'CURRENCY=USD'),0.5)-1"), "")</f>
        <v>0.16021519555641101</v>
      </c>
      <c r="M70" s="21">
        <f t="array" ref="M70">IFERROR(_xll.FDS($B70,"FF_GROSS_MGN(LTM_R,0)"), "")</f>
        <v>71.246200728603498</v>
      </c>
      <c r="N70" s="21">
        <f t="array" ref="N70">IFERROR(_xll.FDS($B70,"FF_EBITDA_OPER_MGN(LTM_R,0)"), "")</f>
        <v>27.113101176949801</v>
      </c>
      <c r="O70" s="21">
        <f t="array" ref="O70">IFERROR(_xll.FDS($B70,"FF_NET_MGN(LTM_R,0)"), "")</f>
        <v>18.949307072179501</v>
      </c>
      <c r="P70" s="22">
        <f t="array" ref="P70">IFERROR(_xll.FDS($B70,"FE_VALUATION(NETDEBT_EBITDA,MEAN,NTMA,,NOW,,,'')"), "")</f>
        <v>1.6996560999999999</v>
      </c>
      <c r="Q70" s="23">
        <f t="array" ref="Q70">IFERROR(_xll.FDS($B70,"FE_VALUATION(MCAP_FCF,MEAN,NTMA,,NOW,,,'')"), "")</f>
        <v>2.6081593000000001</v>
      </c>
      <c r="R70" s="23">
        <f t="array" ref="R70">IFERROR(_xll.FDS($B70,"FE_VALUATION(DIV_YLD,MEAN,NTMA,,NOW,,,'')"), "")</f>
        <v>0</v>
      </c>
      <c r="S70" s="21">
        <f t="array" ref="S70">IFERROR(_xll.FDS($B70,"FE_VALUATION(ROE,MEAN,NTMA,,0,,,'')" ), "")</f>
        <v>8.846686</v>
      </c>
      <c r="T70" s="21">
        <f t="array" ref="T70">IFERROR(_xll.FDS($B70,"FE_VALUATION(ROIC,MEAN,NTMA,,0,,,'')" ), "")</f>
        <v>6.7583650000000004</v>
      </c>
      <c r="U70" s="22">
        <f t="array" ref="U70">IFERROR(((_xll.FDS($B70,"FE_ACTUAL(ACTUAL,SALES,ANN_ROLL,0,,,,'CURRENCY=USD')")/_xll.FDS($B70,"FE_ACTUAL(ACTUAL,SALES,ANN_ROLL,-1,,,,'CURRENCY=USD')")-1)*100)+(_xll.FDS($B70,"FE_VALUATION(EBITDA_MARGIN,MEAN,ANN_ROLL,0,NOW,,,'')")  ), "")</f>
        <v>54.841036416295495</v>
      </c>
      <c r="V70" s="24">
        <f t="array" ref="V70">IFERROR(_xll.FDS($B70,"FE_VALUATION(PE,MEAN,NTMA,,0,,,'')" ), "")</f>
        <v>28.990644</v>
      </c>
      <c r="W70" s="24">
        <f t="array" ref="W70">IFERROR(_xll.FDS($B70,"FE_VALUATION(P_SALESPS,MEAN,NTMA,,0,,,'')" ), "")</f>
        <v>8.4766919999999999</v>
      </c>
      <c r="X70" s="24">
        <f t="array" ref="X70">IFERROR(_xll.FDS($B70,"FE_VALUATION(FFEV_SALES,MEAN,NTMA,,0,,,'')" ), "")</f>
        <v>8.4784354999999998</v>
      </c>
      <c r="Y70" s="24">
        <f t="array" ref="Y70">IFERROR(_xll.FDS($B70,"FE_VALUATION(FFEV_EBITDA,MEAN,NTMA,,0,,,'')" ), "")</f>
        <v>20.436005000000002</v>
      </c>
      <c r="Z70" s="20">
        <f t="array" ref="Z70">IFERROR(_xll.FDS($B70,"PERCENT_CHANGE(FE_VALUATION(PE,MEAN,NTMA,,0,,,''),MAX(FE_VALUATION(PE,MEAN,NTMA,,-1AY,0,,'')))")/100,"")</f>
        <v>-0.26468775769597902</v>
      </c>
      <c r="AA70" s="20">
        <f t="array" ref="AA70">IFERROR(_xll.FDS($B70,"PERCENT_CHANGE(FE_VALUATION(FFEV_EBITDA,MEAN,NTMA,,0,,,''),MAX(FE_VALUATION(FFEV_EBITDA,MEAN,NTMA,,-1AY,0,,'')))")/100,"")</f>
        <v>-0.428252089623953</v>
      </c>
      <c r="AB70" s="20">
        <f t="array" ref="AB70">IFERROR(_xll.FDS($B70,"FG_PRICE(0,,,USD)/P_PRICE_HIGH(-1AY,0,USD,,,""PRICE"",""INTRA"")")-1, "")</f>
        <v>-0.32376904546361196</v>
      </c>
      <c r="AC70" s="20">
        <f t="array" ref="AC70">IFERROR(_xll.FDS($B70,"RTP_PRICE_TARGET(USD)/FG_PRICE(0,,,USD)")-1, "")</f>
        <v>0.26188135324015005</v>
      </c>
      <c r="AD70" s="25">
        <f t="array" ref="AD70">IFERROR(_xll.FDS($B70,"FG_PRICE(0,,,USD)/FG_PRICE_MAVG(0,,,USD,50)")-1, "")</f>
        <v>-6.6121013951183971E-2</v>
      </c>
      <c r="AE70" s="25">
        <f t="array" ref="AE70">IFERROR(_xll.FDS($B70,"FG_PRICE(0,,,USD)/FG_PRICE_MAVG(0,,,USD,100)")-1, "")</f>
        <v>-3.0762172982297997E-2</v>
      </c>
      <c r="AF70" s="25">
        <f t="array" ref="AF70">IFERROR(_xll.FDS($B70,"FG_PRICE(0,,,USD)/FG_PRICE_MAVG(0,,,USD,200)")-1, "")</f>
        <v>-0.11242940790913403</v>
      </c>
      <c r="AG70" s="26" t="str">
        <f t="array" ref="AG70">IFERROR(_xll.FDS($B70,"FE_RATING(MEAN,TEXTONLY,0,NOW,,,'')"), "")</f>
        <v>Overweight</v>
      </c>
      <c r="AH70" s="50">
        <f>IFERROR(IF('3 — Weights'!$E$2=1,PERCENTRANK(I$4:I$91,I70),1-PERCENTRANK(I$4:I$91,I70))*100,"")</f>
        <v>88.5</v>
      </c>
      <c r="AI70" s="51">
        <f>IFERROR(IF('3 — Weights'!$E$3=1,PERCENTRANK(J$4:J$91,J70),1-PERCENTRANK(J$4:J$91,J70))*100,"")</f>
        <v>94.199999999999989</v>
      </c>
      <c r="AJ70" s="51">
        <f>IFERROR(IF('3 — Weights'!$E$4=1,PERCENTRANK(K$4:K$91,K70),1-PERCENTRANK(K$4:K$91,K70))*100,"")</f>
        <v>75.8</v>
      </c>
      <c r="AK70" s="51">
        <f>IFERROR(IF('3 — Weights'!$E$5=1,PERCENTRANK(L$4:L$91,L70),1-PERCENTRANK(L$4:L$91,L70))*100,"")</f>
        <v>48.8</v>
      </c>
      <c r="AL70" s="51">
        <f>IFERROR(IF('3 — Weights'!$E$6=1,PERCENTRANK(M$4:M$91,M70),1-PERCENTRANK(M$4:M$91,M70))*100,"")</f>
        <v>43.9</v>
      </c>
      <c r="AM70" s="51">
        <f>IFERROR(IF('3 — Weights'!$E$7=1,PERCENTRANK(N$4:N$91,N70),1-PERCENTRANK(N$4:N$91,N70))*100,"")</f>
        <v>68.8</v>
      </c>
      <c r="AN70" s="51">
        <f>IFERROR(IF('3 — Weights'!$E$8=1,PERCENTRANK(O$4:O$91,O70),1-PERCENTRANK(O$4:O$91,O70))*100,"")</f>
        <v>69.8</v>
      </c>
      <c r="AO70" s="51">
        <f>IFERROR(IF('3 — Weights'!$E$9=1,PERCENTRANK(P$4:P$91,P70),1-PERCENTRANK(P$4:P$91,P70))*100,"")</f>
        <v>10.899999999999999</v>
      </c>
      <c r="AP70" s="51">
        <f>IFERROR(IF('3 — Weights'!$E$10=1,PERCENTRANK(Q$4:Q$91,Q70),1-PERCENTRANK(Q$4:Q$91,Q70))*100,"")</f>
        <v>19</v>
      </c>
      <c r="AQ70" s="51">
        <f>IFERROR(IF('3 — Weights'!$E$11=1,PERCENTRANK(R$4:R$91,R70),1-PERCENTRANK(R$4:R$91,R70))*100,"")</f>
        <v>0</v>
      </c>
      <c r="AR70" s="51">
        <f>IFERROR(IF('3 — Weights'!$E$12=1,PERCENTRANK(S$4:S$91,S70),1-PERCENTRANK(S$4:S$91,S70))*100,"")</f>
        <v>9.8000000000000007</v>
      </c>
      <c r="AS70" s="51">
        <f>IFERROR(IF('3 — Weights'!$E$13=1,PERCENTRANK(T$4:T$91,T70),1-PERCENTRANK(T$4:T$91,T70))*100,"")</f>
        <v>12.5</v>
      </c>
      <c r="AT70" s="51">
        <f>IFERROR(IF('3 — Weights'!$E$14=1,PERCENTRANK(U$4:U$91,U70),1-PERCENTRANK(U$4:U$91,U70))*100,"")</f>
        <v>76.8</v>
      </c>
      <c r="AU70" s="51">
        <f>IFERROR(IF('3 — Weights'!$E$15=1,PERCENTRANK(V$4:V$91,V70),1-PERCENTRANK(V$4:V$91,V70))*100,"")</f>
        <v>32.199999999999996</v>
      </c>
      <c r="AV70" s="51">
        <f>IFERROR(IF('3 — Weights'!$E$16=1,PERCENTRANK(W$4:W$91,W70),1-PERCENTRANK(W$4:W$91,W70))*100,"")</f>
        <v>17.300000000000004</v>
      </c>
      <c r="AW70" s="51">
        <f>IFERROR(IF('3 — Weights'!$E$17=1,PERCENTRANK(X$4:X$91,X70),1-PERCENTRANK(X$4:X$91,X70))*100,"")</f>
        <v>13.8</v>
      </c>
      <c r="AX70" s="51">
        <f>IFERROR(IF('3 — Weights'!$E$18=1,PERCENTRANK(Y$4:Y$91,Y70),1-PERCENTRANK(Y$4:Y$91,Y70))*100,"")</f>
        <v>28.000000000000004</v>
      </c>
      <c r="AY70" s="51">
        <f>IFERROR(IF('3 — Weights'!$E$18=1,PERCENTRANK(Z$4:Z$91,Z70),1-PERCENTRANK(Z$4:Z$91,Z70))*100,"")</f>
        <v>5.8000000000000052</v>
      </c>
      <c r="AZ70" s="51">
        <f>IFERROR(IF('3 — Weights'!$E$18=1,PERCENTRANK(AA$4:AA$91,AA70),1-PERCENTRANK(AA$4:AA$91,AA70))*100,"")</f>
        <v>29.100000000000005</v>
      </c>
      <c r="BA70" s="51">
        <f>IFERROR(IF('3 — Weights'!$E$21=1,PERCENTRANK(AB$4:AB$91,AB70),1-PERCENTRANK(AB$4:AB$91,AB70))*100,"")</f>
        <v>77</v>
      </c>
      <c r="BB70" s="51">
        <f>IFERROR(IF('3 — Weights'!$E$22=1,PERCENTRANK(AC$4:AC$91,AC70),1-PERCENTRANK(AC$4:AC$91,AC70))*100,"")</f>
        <v>16</v>
      </c>
      <c r="BC70" s="51">
        <f>IFERROR(IF('3 — Weights'!$E$23=1,PERCENTRANK(AD$4:AD$91,AD70),1-PERCENTRANK(AD$4:AD$91,AD70))*100,"")</f>
        <v>18.400000000000006</v>
      </c>
      <c r="BD70" s="51">
        <f>IFERROR(IF('3 — Weights'!$E$24=1,PERCENTRANK(AE$4:AE$91,AE70),1-PERCENTRANK(AE$4:AE$91,AE70))*100,"")</f>
        <v>11.5</v>
      </c>
      <c r="BE70" s="51">
        <f>IFERROR(IF('3 — Weights'!$E$25=1,PERCENTRANK(AF$4:AF$91,AF70),1-PERCENTRANK(AF$4:AF$91,AF70))*100,"")</f>
        <v>16.100000000000001</v>
      </c>
      <c r="BF70" s="52" cm="1">
        <f t="array" ref="BF70">IFERROR(SUMPRODUCT(TRANSPOSE(AH70:BE70), [1]!Table2[Weight
Claude]),"")</f>
        <v>41.73</v>
      </c>
      <c r="BG70" s="53" cm="1">
        <f t="array" ref="BG70">IFERROR(SUMPRODUCT(TRANSPOSE(AH70:BE70), [1]!Table2[Weight
Cape IMC]),"")</f>
        <v>41.73</v>
      </c>
    </row>
    <row r="71" spans="1:59" ht="22.5" customHeight="1" x14ac:dyDescent="0.25">
      <c r="A71" s="17">
        <f t="shared" si="1"/>
        <v>70</v>
      </c>
      <c r="B71" s="18" t="s">
        <v>213</v>
      </c>
      <c r="C71" s="18" t="s">
        <v>214</v>
      </c>
      <c r="D71" s="18" t="str">
        <f t="array" ref="D71">IFERROR(_xll.FDS($B71,"FR_RBICS_NAME_CURR(""IND"")"), "")</f>
        <v>Data Storage Infrastructure Software</v>
      </c>
      <c r="E71" s="18" t="str">
        <f t="array" ref="E71">PROPER(IFERROR(_xll.FDS($B71,"P_DCOUNTRY"), ""))</f>
        <v>United States</v>
      </c>
      <c r="F71" s="19">
        <f t="array" ref="F71">IFERROR(_xll.FDS($B71,"FCS_EV_DAILY(MV,NOW,,,USD,M)"), "")</f>
        <v>26970.065024470001</v>
      </c>
      <c r="G71" s="19">
        <f t="array" ref="G71">IFERROR(_xll.FDS($B71,"AVG(P_VOLUME_FRQ(-1AM,NOW,D,,6))*P_PRICE_AVG(-1AM,NOW,,USD)"), "")</f>
        <v>561.40075664654103</v>
      </c>
      <c r="H71" s="20">
        <f t="array" ref="H71">IFERROR(_xll.FDS($B71,"OS_SEC_FLT_PCT(0D,,MTD,SEC)")/100, "")</f>
        <v>0.96775699999999998</v>
      </c>
      <c r="I71" s="19">
        <f t="array" ref="I71">IFERROR(_xll.FDS($B71,"FE_ACTUAL(ACTUAL,SALES,ANN_ROLL,0,,,,'CURRENCY=USD')"), "")</f>
        <v>2006.443</v>
      </c>
      <c r="J71" s="19">
        <f t="array" ref="J71">IFERROR(_xll.FDS($B71,"FE_ACTUAL(ACTUAL,EPS,ANN_ROLL,0,,,,'CURRENCY=USD')"), "")</f>
        <v>3.66</v>
      </c>
      <c r="K71" s="20">
        <f t="array" ref="K71">IFERROR(_xll.FDS($B71,"POW(FE_ESTIMATE(SALES,MEAN,STMA,,NOW,,,'CURRENCY=USD')/FE_ESTIMATE(SALES,MEAN,LTMA,,NOW,,,'CURRENCY=USD'),0.5)-1"), "")</f>
        <v>0.18141504138046199</v>
      </c>
      <c r="L71" s="20">
        <f t="array" ref="L71">IFERROR(_xll.FDS($B71,"POW(FE_ESTIMATE(EPS,MEAN,STMA,,NOW,,,'CURRENCY=USD')/FE_ESTIMATE(EPS,MEAN,LTMA,,NOW,,,'CURRENCY=USD'),0.5)-1"), "")</f>
        <v>0.184365864080859</v>
      </c>
      <c r="M71" s="21">
        <f t="array" ref="M71">IFERROR(_xll.FDS($B71,"FF_GROSS_MGN(LTM_R,0)"), "")</f>
        <v>71.142619532929402</v>
      </c>
      <c r="N71" s="21">
        <f t="array" ref="N71">IFERROR(_xll.FDS($B71,"FF_EBITDA_OPER_MGN(LTM_R,0)"), "")</f>
        <v>-5.24741241617299</v>
      </c>
      <c r="O71" s="21">
        <f t="array" ref="O71">IFERROR(_xll.FDS($B71,"FF_NET_MGN(LTM_R,0)"), "")</f>
        <v>-3.0578868709170801</v>
      </c>
      <c r="P71" s="22">
        <f t="array" ref="P71">IFERROR(_xll.FDS($B71,"FE_VALUATION(NETDEBT_EBITDA,MEAN,NTMA,,NOW,,,'')"), "")</f>
        <v>-4.8618401999999996</v>
      </c>
      <c r="Q71" s="23">
        <f t="array" ref="Q71">IFERROR(_xll.FDS($B71,"FE_VALUATION(MCAP_FCF,MEAN,NTMA,,NOW,,,'')"), "")</f>
        <v>1.9070609999999999</v>
      </c>
      <c r="R71" s="23">
        <f t="array" ref="R71">IFERROR(_xll.FDS($B71,"FE_VALUATION(DIV_YLD,MEAN,NTMA,,NOW,,,'')"), "")</f>
        <v>0</v>
      </c>
      <c r="S71" s="21">
        <f t="array" ref="S71">IFERROR(_xll.FDS($B71,"FE_VALUATION(ROE,MEAN,NTMA,,0,,,'')" ), "")</f>
        <v>14.110321000000001</v>
      </c>
      <c r="T71" s="21">
        <f t="array" ref="T71">IFERROR(_xll.FDS($B71,"FE_VALUATION(ROIC,MEAN,NTMA,,0,,,'')" ), "")</f>
        <v>14.170832000000001</v>
      </c>
      <c r="U71" s="22">
        <f t="array" ref="U71">IFERROR(((_xll.FDS($B71,"FE_ACTUAL(ACTUAL,SALES,ANN_ROLL,0,,,,'CURRENCY=USD')")/_xll.FDS($B71,"FE_ACTUAL(ACTUAL,SALES,ANN_ROLL,-1,,,,'CURRENCY=USD')")-1)*100)+(_xll.FDS($B71,"FE_VALUATION(EBITDA_MARGIN,MEAN,ANN_ROLL,0,NOW,,,'')")  ), "")</f>
        <v>34.698714036790022</v>
      </c>
      <c r="V71" s="24">
        <f t="array" ref="V71">IFERROR(_xll.FDS($B71,"FE_VALUATION(PE,MEAN,NTMA,,0,,,'')" ), "")</f>
        <v>54.254339999999999</v>
      </c>
      <c r="W71" s="24">
        <f t="array" ref="W71">IFERROR(_xll.FDS($B71,"FE_VALUATION(P_SALESPS,MEAN,NTMA,,0,,,'')" ), "")</f>
        <v>8.6796419999999994</v>
      </c>
      <c r="X71" s="24">
        <f t="array" ref="X71">IFERROR(_xll.FDS($B71,"FE_VALUATION(FFEV_SALES,MEAN,NTMA,,0,,,'')" ), "")</f>
        <v>7.9165390000000002</v>
      </c>
      <c r="Y71" s="24">
        <f t="array" ref="Y71">IFERROR(_xll.FDS($B71,"FE_VALUATION(FFEV_EBITDA,MEAN,NTMA,,0,,,'')" ), "")</f>
        <v>39.634804000000003</v>
      </c>
      <c r="Z71" s="20">
        <f t="array" ref="Z71">IFERROR(_xll.FDS($B71,"PERCENT_CHANGE(FE_VALUATION(PE,MEAN,NTMA,,0,,,''),MAX(FE_VALUATION(PE,MEAN,NTMA,,-1AY,0,,'')))")/100,"")</f>
        <v>-0.38193731260955505</v>
      </c>
      <c r="AA71" s="20">
        <f t="array" ref="AA71">IFERROR(_xll.FDS($B71,"PERCENT_CHANGE(FE_VALUATION(FFEV_EBITDA,MEAN,NTMA,,0,,,''),MAX(FE_VALUATION(FFEV_EBITDA,MEAN,NTMA,,-1AY,0,,'')))")/100,"")</f>
        <v>-0.42181416167708102</v>
      </c>
      <c r="AB71" s="20">
        <f t="array" ref="AB71">IFERROR(_xll.FDS($B71,"FG_PRICE(0,,,USD)/P_PRICE_HIGH(-1AY,0,USD,,,""PRICE"",""INTRA"")")-1, "")</f>
        <v>-0.29728818132757695</v>
      </c>
      <c r="AC71" s="20">
        <f t="array" ref="AC71">IFERROR(_xll.FDS($B71,"RTP_PRICE_TARGET(USD)/FG_PRICE(0,,,USD)")-1, "")</f>
        <v>0.43955345428945991</v>
      </c>
      <c r="AD71" s="25">
        <f t="array" ref="AD71">IFERROR(_xll.FDS($B71,"FG_PRICE(0,,,USD)/FG_PRICE_MAVG(0,,,USD,50)")-1, "")</f>
        <v>-0.20350436669536498</v>
      </c>
      <c r="AE71" s="25">
        <f t="array" ref="AE71">IFERROR(_xll.FDS($B71,"FG_PRICE(0,,,USD)/FG_PRICE_MAVG(0,,,USD,100)")-1, "")</f>
        <v>-0.15413884887529805</v>
      </c>
      <c r="AF71" s="25">
        <f t="array" ref="AF71">IFERROR(_xll.FDS($B71,"FG_PRICE(0,,,USD)/FG_PRICE_MAVG(0,,,USD,200)")-1, "")</f>
        <v>3.2019246658639977E-2</v>
      </c>
      <c r="AG71" s="26" t="str">
        <f t="array" ref="AG71">IFERROR(_xll.FDS($B71,"FE_RATING(MEAN,TEXTONLY,0,NOW,,,'')"), "")</f>
        <v>Overweight</v>
      </c>
      <c r="AH71" s="50">
        <f>IFERROR(IF('3 — Weights'!$E$2=1,PERCENTRANK(I$4:I$91,I71),1-PERCENTRANK(I$4:I$91,I71))*100,"")</f>
        <v>57.4</v>
      </c>
      <c r="AI71" s="51">
        <f>IFERROR(IF('3 — Weights'!$E$3=1,PERCENTRANK(J$4:J$91,J71),1-PERCENTRANK(J$4:J$91,J71))*100,"")</f>
        <v>64.3</v>
      </c>
      <c r="AJ71" s="51">
        <f>IFERROR(IF('3 — Weights'!$E$4=1,PERCENTRANK(K$4:K$91,K71),1-PERCENTRANK(K$4:K$91,K71))*100,"")</f>
        <v>74.7</v>
      </c>
      <c r="AK71" s="51">
        <f>IFERROR(IF('3 — Weights'!$E$5=1,PERCENTRANK(L$4:L$91,L71),1-PERCENTRANK(L$4:L$91,L71))*100,"")</f>
        <v>59.5</v>
      </c>
      <c r="AL71" s="51">
        <f>IFERROR(IF('3 — Weights'!$E$6=1,PERCENTRANK(M$4:M$91,M71),1-PERCENTRANK(M$4:M$91,M71))*100,"")</f>
        <v>42.6</v>
      </c>
      <c r="AM71" s="51">
        <f>IFERROR(IF('3 — Weights'!$E$7=1,PERCENTRANK(N$4:N$91,N71),1-PERCENTRANK(N$4:N$91,N71))*100,"")</f>
        <v>11.600000000000001</v>
      </c>
      <c r="AN71" s="51">
        <f>IFERROR(IF('3 — Weights'!$E$8=1,PERCENTRANK(O$4:O$91,O71),1-PERCENTRANK(O$4:O$91,O71))*100,"")</f>
        <v>22.8</v>
      </c>
      <c r="AO71" s="51">
        <f>IFERROR(IF('3 — Weights'!$E$9=1,PERCENTRANK(P$4:P$91,P71),1-PERCENTRANK(P$4:P$91,P71))*100,"")</f>
        <v>92.800000000000011</v>
      </c>
      <c r="AP71" s="51">
        <f>IFERROR(IF('3 — Weights'!$E$10=1,PERCENTRANK(Q$4:Q$91,Q71),1-PERCENTRANK(Q$4:Q$91,Q71))*100,"")</f>
        <v>9.5</v>
      </c>
      <c r="AQ71" s="51">
        <f>IFERROR(IF('3 — Weights'!$E$11=1,PERCENTRANK(R$4:R$91,R71),1-PERCENTRANK(R$4:R$91,R71))*100,"")</f>
        <v>0</v>
      </c>
      <c r="AR71" s="51">
        <f>IFERROR(IF('3 — Weights'!$E$12=1,PERCENTRANK(S$4:S$91,S71),1-PERCENTRANK(S$4:S$91,S71))*100,"")</f>
        <v>24.6</v>
      </c>
      <c r="AS71" s="51">
        <f>IFERROR(IF('3 — Weights'!$E$13=1,PERCENTRANK(T$4:T$91,T71),1-PERCENTRANK(T$4:T$91,T71))*100,"")</f>
        <v>38.800000000000004</v>
      </c>
      <c r="AT71" s="51">
        <f>IFERROR(IF('3 — Weights'!$E$14=1,PERCENTRANK(U$4:U$91,U71),1-PERCENTRANK(U$4:U$91,U71))*100,"")</f>
        <v>25.6</v>
      </c>
      <c r="AU71" s="51">
        <f>IFERROR(IF('3 — Weights'!$E$15=1,PERCENTRANK(V$4:V$91,V71),1-PERCENTRANK(V$4:V$91,V71))*100,"")</f>
        <v>15.000000000000002</v>
      </c>
      <c r="AV71" s="51">
        <f>IFERROR(IF('3 — Weights'!$E$16=1,PERCENTRANK(W$4:W$91,W71),1-PERCENTRANK(W$4:W$91,W71))*100,"")</f>
        <v>16.100000000000001</v>
      </c>
      <c r="AW71" s="51">
        <f>IFERROR(IF('3 — Weights'!$E$17=1,PERCENTRANK(X$4:X$91,X71),1-PERCENTRANK(X$4:X$91,X71))*100,"")</f>
        <v>17.300000000000004</v>
      </c>
      <c r="AX71" s="51">
        <f>IFERROR(IF('3 — Weights'!$E$18=1,PERCENTRANK(Y$4:Y$91,Y71),1-PERCENTRANK(Y$4:Y$91,Y71))*100,"")</f>
        <v>14.000000000000002</v>
      </c>
      <c r="AY71" s="51">
        <f>IFERROR(IF('3 — Weights'!$E$18=1,PERCENTRANK(Z$4:Z$91,Z71),1-PERCENTRANK(Z$4:Z$91,Z71))*100,"")</f>
        <v>17.300000000000004</v>
      </c>
      <c r="AZ71" s="51">
        <f>IFERROR(IF('3 — Weights'!$E$18=1,PERCENTRANK(AA$4:AA$91,AA71),1-PERCENTRANK(AA$4:AA$91,AA71))*100,"")</f>
        <v>25.6</v>
      </c>
      <c r="BA71" s="51">
        <f>IFERROR(IF('3 — Weights'!$E$21=1,PERCENTRANK(AB$4:AB$91,AB71),1-PERCENTRANK(AB$4:AB$91,AB71))*100,"")</f>
        <v>80.400000000000006</v>
      </c>
      <c r="BB71" s="51">
        <f>IFERROR(IF('3 — Weights'!$E$22=1,PERCENTRANK(AC$4:AC$91,AC71),1-PERCENTRANK(AC$4:AC$91,AC71))*100,"")</f>
        <v>37.9</v>
      </c>
      <c r="BC71" s="51">
        <f>IFERROR(IF('3 — Weights'!$E$23=1,PERCENTRANK(AD$4:AD$91,AD71),1-PERCENTRANK(AD$4:AD$91,AD71))*100,"")</f>
        <v>58.699999999999996</v>
      </c>
      <c r="BD71" s="51">
        <f>IFERROR(IF('3 — Weights'!$E$24=1,PERCENTRANK(AE$4:AE$91,AE71),1-PERCENTRANK(AE$4:AE$91,AE71))*100,"")</f>
        <v>24.2</v>
      </c>
      <c r="BE71" s="51">
        <f>IFERROR(IF('3 — Weights'!$E$25=1,PERCENTRANK(AF$4:AF$91,AF71),1-PERCENTRANK(AF$4:AF$91,AF71))*100,"")</f>
        <v>8.0999999999999961</v>
      </c>
      <c r="BF71" s="52" cm="1">
        <f t="array" ref="BF71">IFERROR(SUMPRODUCT(TRANSPOSE(AH71:BE71), [1]!Table2[Weight
Claude]),"")</f>
        <v>40.735000000000007</v>
      </c>
      <c r="BG71" s="53" cm="1">
        <f t="array" ref="BG71">IFERROR(SUMPRODUCT(TRANSPOSE(AH71:BE71), [1]!Table2[Weight
Cape IMC]),"")</f>
        <v>40.735000000000007</v>
      </c>
    </row>
    <row r="72" spans="1:59" ht="22.5" customHeight="1" x14ac:dyDescent="0.25">
      <c r="A72" s="17">
        <f t="shared" si="1"/>
        <v>69</v>
      </c>
      <c r="B72" s="18" t="s">
        <v>215</v>
      </c>
      <c r="C72" s="18" t="s">
        <v>216</v>
      </c>
      <c r="D72" s="18" t="str">
        <f t="array" ref="D72">IFERROR(_xll.FDS($B72,"FR_RBICS_NAME_CURR(""IND"")"), "")</f>
        <v>General Enterprise Management Software</v>
      </c>
      <c r="E72" s="18" t="str">
        <f t="array" ref="E72">PROPER(IFERROR(_xll.FDS($B72,"P_DCOUNTRY"), ""))</f>
        <v>United States</v>
      </c>
      <c r="F72" s="19">
        <f t="array" ref="F72">IFERROR(_xll.FDS($B72,"FCS_EV_DAILY(MV,NOW,,,USD,M)"), "")</f>
        <v>7046.2571037300004</v>
      </c>
      <c r="G72" s="19">
        <f t="array" ref="G72">IFERROR(_xll.FDS($B72,"AVG(P_VOLUME_FRQ(-1AM,NOW,D,,6))*P_PRICE_AVG(-1AM,NOW,,USD)"), "")</f>
        <v>124.677946218004</v>
      </c>
      <c r="H72" s="20">
        <f t="array" ref="H72">IFERROR(_xll.FDS($B72,"OS_SEC_FLT_PCT(0D,,MTD,SEC)")/100, "")</f>
        <v>0.65360699999999994</v>
      </c>
      <c r="I72" s="19">
        <f t="array" ref="I72">IFERROR(_xll.FDS($B72,"FE_ACTUAL(ACTUAL,SALES,ANN_ROLL,0,,,,'CURRENCY=USD')"), "")</f>
        <v>771.87800000000004</v>
      </c>
      <c r="J72" s="19">
        <f t="array" ref="J72">IFERROR(_xll.FDS($B72,"FE_ACTUAL(ACTUAL,EPS,ANN_ROLL,0,,,,'CURRENCY=USD')"), "")</f>
        <v>0.333181</v>
      </c>
      <c r="K72" s="20">
        <f t="array" ref="K72">IFERROR(_xll.FDS($B72,"POW(FE_ESTIMATE(SALES,MEAN,STMA,,NOW,,,'CURRENCY=USD')/FE_ESTIMATE(SALES,MEAN,LTMA,,NOW,,,'CURRENCY=USD'),0.5)-1"), "")</f>
        <v>0.14108408980232501</v>
      </c>
      <c r="L72" s="20">
        <f t="array" ref="L72">IFERROR(_xll.FDS($B72,"POW(FE_ESTIMATE(EPS,MEAN,STMA,,NOW,,,'CURRENCY=USD')/FE_ESTIMATE(EPS,MEAN,LTMA,,NOW,,,'CURRENCY=USD'),0.5)-1"), "")</f>
        <v>0.22992784341196201</v>
      </c>
      <c r="M72" s="21">
        <f t="array" ref="M72">IFERROR(_xll.FDS($B72,"FF_GROSS_MGN(LTM_R,0)"), "")</f>
        <v>66.3773016144998</v>
      </c>
      <c r="N72" s="21">
        <f t="array" ref="N72">IFERROR(_xll.FDS($B72,"FF_EBITDA_OPER_MGN(LTM_R,0)"), "")</f>
        <v>-14.815788985428799</v>
      </c>
      <c r="O72" s="21">
        <f t="array" ref="O72">IFERROR(_xll.FDS($B72,"FF_NET_MGN(LTM_R,0)"), "")</f>
        <v>-23.9079779843909</v>
      </c>
      <c r="P72" s="22">
        <f t="array" ref="P72">IFERROR(_xll.FDS($B72,"FE_VALUATION(NETDEBT_EBITDA,MEAN,NTMA,,NOW,,,'')"), "")</f>
        <v>-3.8851738</v>
      </c>
      <c r="Q72" s="23">
        <f t="array" ref="Q72">IFERROR(_xll.FDS($B72,"FE_VALUATION(MCAP_FCF,MEAN,NTMA,,NOW,,,'')"), "")</f>
        <v>1.6491944999999999</v>
      </c>
      <c r="R72" s="23">
        <f t="array" ref="R72">IFERROR(_xll.FDS($B72,"FE_VALUATION(DIV_YLD,MEAN,NTMA,,NOW,,,'')"), "")</f>
        <v>0</v>
      </c>
      <c r="S72" s="21">
        <f t="array" ref="S72">IFERROR(_xll.FDS($B72,"FE_VALUATION(ROE,MEAN,NTMA,,0,,,'')" ), "")</f>
        <v>6.757479</v>
      </c>
      <c r="T72" s="21">
        <f t="array" ref="T72">IFERROR(_xll.FDS($B72,"FE_VALUATION(ROIC,MEAN,NTMA,,0,,,'')" ), "")</f>
        <v>-6.9332859999999998</v>
      </c>
      <c r="U72" s="22" t="str">
        <f t="array" ref="U72">IFERROR(((_xll.FDS($B72,"FE_ACTUAL(ACTUAL,SALES,ANN_ROLL,0,,,,'CURRENCY=USD')")/_xll.FDS($B72,"FE_ACTUAL(ACTUAL,SALES,ANN_ROLL,-1,,,,'CURRENCY=USD')")-1)*100)+(_xll.FDS($B72,"FE_VALUATION(EBITDA_MARGIN,MEAN,ANN_ROLL,0,NOW,,,'')")  ), "")</f>
        <v/>
      </c>
      <c r="V72" s="24">
        <f t="array" ref="V72">IFERROR(_xll.FDS($B72,"FE_VALUATION(PE,MEAN,NTMA,,0,,,'')" ), "")</f>
        <v>57.385300000000001</v>
      </c>
      <c r="W72" s="24">
        <f t="array" ref="W72">IFERROR(_xll.FDS($B72,"FE_VALUATION(P_SALESPS,MEAN,NTMA,,0,,,'')" ), "")</f>
        <v>5.4381269999999997</v>
      </c>
      <c r="X72" s="24">
        <f t="array" ref="X72">IFERROR(_xll.FDS($B72,"FE_VALUATION(FFEV_SALES,MEAN,NTMA,,0,,,'')" ), "")</f>
        <v>5.1135282999999996</v>
      </c>
      <c r="Y72" s="24">
        <f t="array" ref="Y72">IFERROR(_xll.FDS($B72,"FE_VALUATION(FFEV_EBITDA,MEAN,NTMA,,0,,,'')" ), "")</f>
        <v>43.009968000000001</v>
      </c>
      <c r="Z72" s="20">
        <f t="array" ref="Z72">IFERROR(_xll.FDS($B72,"PERCENT_CHANGE(FE_VALUATION(PE,MEAN,NTMA,,0,,,''),MAX(FE_VALUATION(PE,MEAN,NTMA,,-1AY,0,,'')))")/100,"")</f>
        <v>-0.77634431718571306</v>
      </c>
      <c r="AA72" s="20">
        <f t="array" ref="AA72">IFERROR(_xll.FDS($B72,"PERCENT_CHANGE(FE_VALUATION(FFEV_EBITDA,MEAN,NTMA,,0,,,''),MAX(FE_VALUATION(FFEV_EBITDA,MEAN,NTMA,,-1AY,0,,'')))")/100,"")</f>
        <v>-0.58380260326294708</v>
      </c>
      <c r="AB72" s="20">
        <f t="array" ref="AB72">IFERROR(_xll.FDS($B72,"FG_PRICE(0,,,USD)/P_PRICE_HIGH(-1AY,0,USD,,,""PRICE"",""INTRA"")")-1, "")</f>
        <v>-0.51054595294296801</v>
      </c>
      <c r="AC72" s="20">
        <f t="array" ref="AC72">IFERROR(_xll.FDS($B72,"RTP_PRICE_TARGET(USD)/FG_PRICE(0,,,USD)")-1, "")</f>
        <v>1.05059894212819</v>
      </c>
      <c r="AD72" s="25">
        <f t="array" ref="AD72">IFERROR(_xll.FDS($B72,"FG_PRICE(0,,,USD)/FG_PRICE_MAVG(0,,,USD,50)")-1, "")</f>
        <v>-0.27491274813482902</v>
      </c>
      <c r="AE72" s="25">
        <f t="array" ref="AE72">IFERROR(_xll.FDS($B72,"FG_PRICE(0,,,USD)/FG_PRICE_MAVG(0,,,USD,100)")-1, "")</f>
        <v>-0.30025130209538198</v>
      </c>
      <c r="AF72" s="25">
        <f t="array" ref="AF72">IFERROR(_xll.FDS($B72,"FG_PRICE(0,,,USD)/FG_PRICE_MAVG(0,,,USD,200)")-1, "")</f>
        <v>-0.36647043807958102</v>
      </c>
      <c r="AG72" s="26" t="str">
        <f t="array" ref="AG72">IFERROR(_xll.FDS($B72,"FE_RATING(MEAN,TEXTONLY,0,NOW,,,'')"), "")</f>
        <v>Buy</v>
      </c>
      <c r="AH72" s="50">
        <f>IFERROR(IF('3 — Weights'!$E$2=1,PERCENTRANK(I$4:I$91,I72),1-PERCENTRANK(I$4:I$91,I72))*100,"")</f>
        <v>19.5</v>
      </c>
      <c r="AI72" s="51">
        <f>IFERROR(IF('3 — Weights'!$E$3=1,PERCENTRANK(J$4:J$91,J72),1-PERCENTRANK(J$4:J$91,J72))*100,"")</f>
        <v>16</v>
      </c>
      <c r="AJ72" s="51">
        <f>IFERROR(IF('3 — Weights'!$E$4=1,PERCENTRANK(K$4:K$91,K72),1-PERCENTRANK(K$4:K$91,K72))*100,"")</f>
        <v>55.1</v>
      </c>
      <c r="AK72" s="51">
        <f>IFERROR(IF('3 — Weights'!$E$5=1,PERCENTRANK(L$4:L$91,L72),1-PERCENTRANK(L$4:L$91,L72))*100,"")</f>
        <v>71.399999999999991</v>
      </c>
      <c r="AL72" s="51">
        <f>IFERROR(IF('3 — Weights'!$E$6=1,PERCENTRANK(M$4:M$91,M72),1-PERCENTRANK(M$4:M$91,M72))*100,"")</f>
        <v>34.1</v>
      </c>
      <c r="AM72" s="51">
        <f>IFERROR(IF('3 — Weights'!$E$7=1,PERCENTRANK(N$4:N$91,N72),1-PERCENTRANK(N$4:N$91,N72))*100,"")</f>
        <v>7.7</v>
      </c>
      <c r="AN72" s="51">
        <f>IFERROR(IF('3 — Weights'!$E$8=1,PERCENTRANK(O$4:O$91,O72),1-PERCENTRANK(O$4:O$91,O72))*100,"")</f>
        <v>6</v>
      </c>
      <c r="AO72" s="51">
        <f>IFERROR(IF('3 — Weights'!$E$9=1,PERCENTRANK(P$4:P$91,P72),1-PERCENTRANK(P$4:P$91,P72))*100,"")</f>
        <v>89.2</v>
      </c>
      <c r="AP72" s="51">
        <f>IFERROR(IF('3 — Weights'!$E$10=1,PERCENTRANK(Q$4:Q$91,Q72),1-PERCENTRANK(Q$4:Q$91,Q72))*100,"")</f>
        <v>7.1</v>
      </c>
      <c r="AQ72" s="51">
        <f>IFERROR(IF('3 — Weights'!$E$11=1,PERCENTRANK(R$4:R$91,R72),1-PERCENTRANK(R$4:R$91,R72))*100,"")</f>
        <v>0</v>
      </c>
      <c r="AR72" s="51">
        <f>IFERROR(IF('3 — Weights'!$E$12=1,PERCENTRANK(S$4:S$91,S72),1-PERCENTRANK(S$4:S$91,S72))*100,"")</f>
        <v>8.6</v>
      </c>
      <c r="AS72" s="51">
        <f>IFERROR(IF('3 — Weights'!$E$13=1,PERCENTRANK(T$4:T$91,T72),1-PERCENTRANK(T$4:T$91,T72))*100,"")</f>
        <v>1.3</v>
      </c>
      <c r="AT72" s="51" t="str">
        <f>IFERROR(IF('3 — Weights'!$E$14=1,PERCENTRANK(U$4:U$91,U72),1-PERCENTRANK(U$4:U$91,U72))*100,"")</f>
        <v/>
      </c>
      <c r="AU72" s="51">
        <f>IFERROR(IF('3 — Weights'!$E$15=1,PERCENTRANK(V$4:V$91,V72),1-PERCENTRANK(V$4:V$91,V72))*100,"")</f>
        <v>12.7</v>
      </c>
      <c r="AV72" s="51">
        <f>IFERROR(IF('3 — Weights'!$E$16=1,PERCENTRANK(W$4:W$91,W72),1-PERCENTRANK(W$4:W$91,W72))*100,"")</f>
        <v>40.300000000000004</v>
      </c>
      <c r="AW72" s="51">
        <f>IFERROR(IF('3 — Weights'!$E$17=1,PERCENTRANK(X$4:X$91,X72),1-PERCENTRANK(X$4:X$91,X72))*100,"")</f>
        <v>46</v>
      </c>
      <c r="AX72" s="51">
        <f>IFERROR(IF('3 — Weights'!$E$18=1,PERCENTRANK(Y$4:Y$91,Y72),1-PERCENTRANK(Y$4:Y$91,Y72))*100,"")</f>
        <v>10.499999999999998</v>
      </c>
      <c r="AY72" s="51">
        <f>IFERROR(IF('3 — Weights'!$E$18=1,PERCENTRANK(Z$4:Z$91,Z72),1-PERCENTRANK(Z$4:Z$91,Z72))*100,"")</f>
        <v>97.8</v>
      </c>
      <c r="AZ72" s="51">
        <f>IFERROR(IF('3 — Weights'!$E$18=1,PERCENTRANK(AA$4:AA$91,AA72),1-PERCENTRANK(AA$4:AA$91,AA72))*100,"")</f>
        <v>73.3</v>
      </c>
      <c r="BA72" s="51">
        <f>IFERROR(IF('3 — Weights'!$E$21=1,PERCENTRANK(AB$4:AB$91,AB72),1-PERCENTRANK(AB$4:AB$91,AB72))*100,"")</f>
        <v>26.400000000000002</v>
      </c>
      <c r="BB72" s="51">
        <f>IFERROR(IF('3 — Weights'!$E$22=1,PERCENTRANK(AC$4:AC$91,AC72),1-PERCENTRANK(AC$4:AC$91,AC72))*100,"")</f>
        <v>95.399999999999991</v>
      </c>
      <c r="BC72" s="51">
        <f>IFERROR(IF('3 — Weights'!$E$23=1,PERCENTRANK(AD$4:AD$91,AD72),1-PERCENTRANK(AD$4:AD$91,AD72))*100,"")</f>
        <v>85.1</v>
      </c>
      <c r="BD72" s="51">
        <f>IFERROR(IF('3 — Weights'!$E$24=1,PERCENTRANK(AE$4:AE$91,AE72),1-PERCENTRANK(AE$4:AE$91,AE72))*100,"")</f>
        <v>71.300000000000011</v>
      </c>
      <c r="BE72" s="51">
        <f>IFERROR(IF('3 — Weights'!$E$25=1,PERCENTRANK(AF$4:AF$91,AF72),1-PERCENTRANK(AF$4:AF$91,AF72))*100,"")</f>
        <v>77.100000000000009</v>
      </c>
      <c r="BF72" s="52" cm="1">
        <f t="array" ref="BF72">IFERROR(SUMPRODUCT(TRANSPOSE(AH72:BE72), [1]!Table2[Weight
Claude]),"")</f>
        <v>40.740000000000009</v>
      </c>
      <c r="BG72" s="53" cm="1">
        <f t="array" ref="BG72">IFERROR(SUMPRODUCT(TRANSPOSE(AH72:BE72), [1]!Table2[Weight
Cape IMC]),"")</f>
        <v>40.740000000000009</v>
      </c>
    </row>
    <row r="73" spans="1:59" ht="22.5" customHeight="1" x14ac:dyDescent="0.25">
      <c r="A73" s="17">
        <f t="shared" si="1"/>
        <v>72</v>
      </c>
      <c r="B73" s="18" t="s">
        <v>217</v>
      </c>
      <c r="C73" s="18" t="s">
        <v>218</v>
      </c>
      <c r="D73" s="18" t="str">
        <f t="array" ref="D73">IFERROR(_xll.FDS($B73,"FR_RBICS_NAME_CURR(""IND"")"), "")</f>
        <v>Finance Industry Software</v>
      </c>
      <c r="E73" s="18" t="str">
        <f t="array" ref="E73">PROPER(IFERROR(_xll.FDS($B73,"P_DCOUNTRY"), ""))</f>
        <v>United States</v>
      </c>
      <c r="F73" s="19">
        <f t="array" ref="F73">IFERROR(_xll.FDS($B73,"FCS_EV_DAILY(MV,NOW,,,USD,M)"), "")</f>
        <v>1869.50610777</v>
      </c>
      <c r="G73" s="19">
        <f t="array" ref="G73">IFERROR(_xll.FDS($B73,"AVG(P_VOLUME_FRQ(-1AM,NOW,D,,6))*P_PRICE_AVG(-1AM,NOW,,USD)"), "")</f>
        <v>48.056630562962098</v>
      </c>
      <c r="H73" s="20">
        <f t="array" ref="H73">IFERROR(_xll.FDS($B73,"OS_SEC_FLT_PCT(0D,,MTD,SEC)")/100, "")</f>
        <v>0.95576700000000003</v>
      </c>
      <c r="I73" s="19">
        <f t="array" ref="I73">IFERROR(_xll.FDS($B73,"FE_ACTUAL(ACTUAL,SALES,ANN_ROLL,0,,,,'CURRENCY=USD')"), "")</f>
        <v>540.65700000000004</v>
      </c>
      <c r="J73" s="19">
        <f t="array" ref="J73">IFERROR(_xll.FDS($B73,"FE_ACTUAL(ACTUAL,EPS,ANN_ROLL,0,,,,'CURRENCY=USD')"), "")</f>
        <v>0.65</v>
      </c>
      <c r="K73" s="20">
        <f t="array" ref="K73">IFERROR(_xll.FDS($B73,"POW(FE_ESTIMATE(SALES,MEAN,STMA,,NOW,,,'CURRENCY=USD')/FE_ESTIMATE(SALES,MEAN,LTMA,,NOW,,,'CURRENCY=USD'),0.5)-1"), "")</f>
        <v>8.41828259108333E-2</v>
      </c>
      <c r="L73" s="20">
        <f t="array" ref="L73">IFERROR(_xll.FDS($B73,"POW(FE_ESTIMATE(EPS,MEAN,STMA,,NOW,,,'CURRENCY=USD')/FE_ESTIMATE(EPS,MEAN,LTMA,,NOW,,,'CURRENCY=USD'),0.5)-1"), "")</f>
        <v>0.16879690280219301</v>
      </c>
      <c r="M73" s="21">
        <f t="array" ref="M73">IFERROR(_xll.FDS($B73,"FF_GROSS_MGN(LTM_R,0)"), "")</f>
        <v>56.712277381348201</v>
      </c>
      <c r="N73" s="21">
        <f t="array" ref="N73">IFERROR(_xll.FDS($B73,"FF_EBITDA_OPER_MGN(LTM_R,0)"), "")</f>
        <v>9.2322906809210803</v>
      </c>
      <c r="O73" s="21">
        <f t="array" ref="O73">IFERROR(_xll.FDS($B73,"FF_NET_MGN(LTM_R,0)"), "")</f>
        <v>-3.7112628626478101</v>
      </c>
      <c r="P73" s="22">
        <f t="array" ref="P73">IFERROR(_xll.FDS($B73,"FE_VALUATION(NETDEBT_EBITDA,MEAN,NTMA,,NOW,,,'')"), "")</f>
        <v>-6.7169233999999994E-2</v>
      </c>
      <c r="Q73" s="23">
        <f t="array" ref="Q73">IFERROR(_xll.FDS($B73,"FE_VALUATION(MCAP_FCF,MEAN,NTMA,,NOW,,,'')"), "")</f>
        <v>6.6765404000000004</v>
      </c>
      <c r="R73" s="23">
        <f t="array" ref="R73">IFERROR(_xll.FDS($B73,"FE_VALUATION(DIV_YLD,MEAN,NTMA,,NOW,,,'')"), "")</f>
        <v>0</v>
      </c>
      <c r="S73" s="21">
        <f t="array" ref="S73">IFERROR(_xll.FDS($B73,"FE_VALUATION(ROE,MEAN,NTMA,,0,,,'')" ), "")</f>
        <v>10.837655</v>
      </c>
      <c r="T73" s="21">
        <f t="array" ref="T73">IFERROR(_xll.FDS($B73,"FE_VALUATION(ROIC,MEAN,NTMA,,0,,,'')" ), "")</f>
        <v>8.9774089999999998</v>
      </c>
      <c r="U73" s="22">
        <f t="array" ref="U73">IFERROR(((_xll.FDS($B73,"FE_ACTUAL(ACTUAL,SALES,ANN_ROLL,0,,,,'CURRENCY=USD')")/_xll.FDS($B73,"FE_ACTUAL(ACTUAL,SALES,ANN_ROLL,-1,,,,'CURRENCY=USD')")-1)*100)+(_xll.FDS($B73,"FE_VALUATION(EBITDA_MARGIN,MEAN,ANN_ROLL,0,NOW,,,'')")  ), "")</f>
        <v>32.36524801859224</v>
      </c>
      <c r="V73" s="24">
        <f t="array" ref="V73">IFERROR(_xll.FDS($B73,"FE_VALUATION(PE,MEAN,NTMA,,0,,,'')" ), "")</f>
        <v>14.730273</v>
      </c>
      <c r="W73" s="24">
        <f t="array" ref="W73">IFERROR(_xll.FDS($B73,"FE_VALUATION(P_SALESPS,MEAN,NTMA,,0,,,'')" ), "")</f>
        <v>2.7382946000000001</v>
      </c>
      <c r="X73" s="24">
        <f t="array" ref="X73">IFERROR(_xll.FDS($B73,"FE_VALUATION(FFEV_SALES,MEAN,NTMA,,0,,,'')" ), "")</f>
        <v>3.0673332000000002</v>
      </c>
      <c r="Y73" s="24">
        <f t="array" ref="Y73">IFERROR(_xll.FDS($B73,"FE_VALUATION(FFEV_EBITDA,MEAN,NTMA,,0,,,'')" ), "")</f>
        <v>11.949441999999999</v>
      </c>
      <c r="Z73" s="20">
        <f t="array" ref="Z73">IFERROR(_xll.FDS($B73,"PERCENT_CHANGE(FE_VALUATION(PE,MEAN,NTMA,,0,,,''),MAX(FE_VALUATION(PE,MEAN,NTMA,,-1AY,0,,'')))")/100,"")</f>
        <v>-0.61395059209525404</v>
      </c>
      <c r="AA73" s="20">
        <f t="array" ref="AA73">IFERROR(_xll.FDS($B73,"PERCENT_CHANGE(FE_VALUATION(FFEV_EBITDA,MEAN,NTMA,,0,,,''),MAX(FE_VALUATION(FFEV_EBITDA,MEAN,NTMA,,-1AY,0,,'')))")/100,"")</f>
        <v>-0.57922317590627204</v>
      </c>
      <c r="AB73" s="20">
        <f t="array" ref="AB73">IFERROR(_xll.FDS($B73,"FG_PRICE(0,,,USD)/P_PRICE_HIGH(-1AY,0,USD,,,""PRICE"",""INTRA"")")-1, "")</f>
        <v>-0.54716981132075504</v>
      </c>
      <c r="AC73" s="20">
        <f t="array" ref="AC73">IFERROR(_xll.FDS($B73,"RTP_PRICE_TARGET(USD)/FG_PRICE(0,,,USD)")-1, "")</f>
        <v>1.1484375</v>
      </c>
      <c r="AD73" s="25">
        <f t="array" ref="AD73">IFERROR(_xll.FDS($B73,"FG_PRICE(0,,,USD)/FG_PRICE_MAVG(0,,,USD,50)")-1, "")</f>
        <v>-0.31177553845947004</v>
      </c>
      <c r="AE73" s="25">
        <f t="array" ref="AE73">IFERROR(_xll.FDS($B73,"FG_PRICE(0,,,USD)/FG_PRICE_MAVG(0,,,USD,100)")-1, "")</f>
        <v>-0.35520839236576796</v>
      </c>
      <c r="AF73" s="25">
        <f t="array" ref="AF73">IFERROR(_xll.FDS($B73,"FG_PRICE(0,,,USD)/FG_PRICE_MAVG(0,,,USD,200)")-1, "")</f>
        <v>-0.40901537806625199</v>
      </c>
      <c r="AG73" s="26" t="str">
        <f t="array" ref="AG73">IFERROR(_xll.FDS($B73,"FE_RATING(MEAN,TEXTONLY,0,NOW,,,'')"), "")</f>
        <v>Overweight</v>
      </c>
      <c r="AH73" s="50">
        <f>IFERROR(IF('3 — Weights'!$E$2=1,PERCENTRANK(I$4:I$91,I73),1-PERCENTRANK(I$4:I$91,I73))*100,"")</f>
        <v>8</v>
      </c>
      <c r="AI73" s="51">
        <f>IFERROR(IF('3 — Weights'!$E$3=1,PERCENTRANK(J$4:J$91,J73),1-PERCENTRANK(J$4:J$91,J73))*100,"")</f>
        <v>26.400000000000002</v>
      </c>
      <c r="AJ73" s="51">
        <f>IFERROR(IF('3 — Weights'!$E$4=1,PERCENTRANK(K$4:K$91,K73),1-PERCENTRANK(K$4:K$91,K73))*100,"")</f>
        <v>24.099999999999998</v>
      </c>
      <c r="AK73" s="51">
        <f>IFERROR(IF('3 — Weights'!$E$5=1,PERCENTRANK(L$4:L$91,L73),1-PERCENTRANK(L$4:L$91,L73))*100,"")</f>
        <v>53.5</v>
      </c>
      <c r="AL73" s="51">
        <f>IFERROR(IF('3 — Weights'!$E$6=1,PERCENTRANK(M$4:M$91,M73),1-PERCENTRANK(M$4:M$91,M73))*100,"")</f>
        <v>17</v>
      </c>
      <c r="AM73" s="51">
        <f>IFERROR(IF('3 — Weights'!$E$7=1,PERCENTRANK(N$4:N$91,N73),1-PERCENTRANK(N$4:N$91,N73))*100,"")</f>
        <v>32.4</v>
      </c>
      <c r="AN73" s="51">
        <f>IFERROR(IF('3 — Weights'!$E$8=1,PERCENTRANK(O$4:O$91,O73),1-PERCENTRANK(O$4:O$91,O73))*100,"")</f>
        <v>19.2</v>
      </c>
      <c r="AO73" s="51">
        <f>IFERROR(IF('3 — Weights'!$E$9=1,PERCENTRANK(P$4:P$91,P73),1-PERCENTRANK(P$4:P$91,P73))*100,"")</f>
        <v>26.6</v>
      </c>
      <c r="AP73" s="51">
        <f>IFERROR(IF('3 — Weights'!$E$10=1,PERCENTRANK(Q$4:Q$91,Q73),1-PERCENTRANK(Q$4:Q$91,Q73))*100,"")</f>
        <v>69</v>
      </c>
      <c r="AQ73" s="51">
        <f>IFERROR(IF('3 — Weights'!$E$11=1,PERCENTRANK(R$4:R$91,R73),1-PERCENTRANK(R$4:R$91,R73))*100,"")</f>
        <v>0</v>
      </c>
      <c r="AR73" s="51">
        <f>IFERROR(IF('3 — Weights'!$E$12=1,PERCENTRANK(S$4:S$91,S73),1-PERCENTRANK(S$4:S$91,S73))*100,"")</f>
        <v>14.799999999999999</v>
      </c>
      <c r="AS73" s="51">
        <f>IFERROR(IF('3 — Weights'!$E$13=1,PERCENTRANK(T$4:T$91,T73),1-PERCENTRANK(T$4:T$91,T73))*100,"")</f>
        <v>23.599999999999998</v>
      </c>
      <c r="AT73" s="51">
        <f>IFERROR(IF('3 — Weights'!$E$14=1,PERCENTRANK(U$4:U$91,U73),1-PERCENTRANK(U$4:U$91,U73))*100,"")</f>
        <v>14.6</v>
      </c>
      <c r="AU73" s="51">
        <f>IFERROR(IF('3 — Weights'!$E$15=1,PERCENTRANK(V$4:V$91,V73),1-PERCENTRANK(V$4:V$91,V73))*100,"")</f>
        <v>78.2</v>
      </c>
      <c r="AV73" s="51">
        <f>IFERROR(IF('3 — Weights'!$E$16=1,PERCENTRANK(W$4:W$91,W73),1-PERCENTRANK(W$4:W$91,W73))*100,"")</f>
        <v>82.800000000000011</v>
      </c>
      <c r="AW73" s="51">
        <f>IFERROR(IF('3 — Weights'!$E$17=1,PERCENTRANK(X$4:X$91,X73),1-PERCENTRANK(X$4:X$91,X73))*100,"")</f>
        <v>73.599999999999994</v>
      </c>
      <c r="AX73" s="51">
        <f>IFERROR(IF('3 — Weights'!$E$18=1,PERCENTRANK(Y$4:Y$91,Y73),1-PERCENTRANK(Y$4:Y$91,Y73))*100,"")</f>
        <v>67.5</v>
      </c>
      <c r="AY73" s="51">
        <f>IFERROR(IF('3 — Weights'!$E$18=1,PERCENTRANK(Z$4:Z$91,Z73),1-PERCENTRANK(Z$4:Z$91,Z73))*100,"")</f>
        <v>79.400000000000006</v>
      </c>
      <c r="AZ73" s="51">
        <f>IFERROR(IF('3 — Weights'!$E$18=1,PERCENTRANK(AA$4:AA$91,AA73),1-PERCENTRANK(AA$4:AA$91,AA73))*100,"")</f>
        <v>71</v>
      </c>
      <c r="BA73" s="51">
        <f>IFERROR(IF('3 — Weights'!$E$21=1,PERCENTRANK(AB$4:AB$91,AB73),1-PERCENTRANK(AB$4:AB$91,AB73))*100,"")</f>
        <v>14.899999999999999</v>
      </c>
      <c r="BB73" s="51">
        <f>IFERROR(IF('3 — Weights'!$E$22=1,PERCENTRANK(AC$4:AC$91,AC73),1-PERCENTRANK(AC$4:AC$91,AC73))*100,"")</f>
        <v>98.8</v>
      </c>
      <c r="BC73" s="51">
        <f>IFERROR(IF('3 — Weights'!$E$23=1,PERCENTRANK(AD$4:AD$91,AD73),1-PERCENTRANK(AD$4:AD$91,AD73))*100,"")</f>
        <v>94.3</v>
      </c>
      <c r="BD73" s="51">
        <f>IFERROR(IF('3 — Weights'!$E$24=1,PERCENTRANK(AE$4:AE$91,AE73),1-PERCENTRANK(AE$4:AE$91,AE73))*100,"")</f>
        <v>88.6</v>
      </c>
      <c r="BE73" s="51">
        <f>IFERROR(IF('3 — Weights'!$E$25=1,PERCENTRANK(AF$4:AF$91,AF73),1-PERCENTRANK(AF$4:AF$91,AF73))*100,"")</f>
        <v>85.1</v>
      </c>
      <c r="BF73" s="52" cm="1">
        <f t="array" ref="BF73">IFERROR(SUMPRODUCT(TRANSPOSE(AH73:BE73), [1]!Table2[Weight
Claude]),"")</f>
        <v>40.29</v>
      </c>
      <c r="BG73" s="53" cm="1">
        <f t="array" ref="BG73">IFERROR(SUMPRODUCT(TRANSPOSE(AH73:BE73), [1]!Table2[Weight
Cape IMC]),"")</f>
        <v>40.29</v>
      </c>
    </row>
    <row r="74" spans="1:59" ht="22.5" customHeight="1" x14ac:dyDescent="0.25">
      <c r="A74" s="17">
        <f t="shared" si="1"/>
        <v>68</v>
      </c>
      <c r="B74" s="18" t="s">
        <v>219</v>
      </c>
      <c r="C74" s="18" t="s">
        <v>220</v>
      </c>
      <c r="D74" s="18" t="str">
        <f t="array" ref="D74">IFERROR(_xll.FDS($B74,"FR_RBICS_NAME_CURR(""IND"")"), "")</f>
        <v>Electronic Design Automation Software</v>
      </c>
      <c r="E74" s="18" t="str">
        <f t="array" ref="E74">PROPER(IFERROR(_xll.FDS($B74,"P_DCOUNTRY"), ""))</f>
        <v>United States</v>
      </c>
      <c r="F74" s="19">
        <f t="array" ref="F74">IFERROR(_xll.FDS($B74,"FCS_EV_DAILY(MV,NOW,,,USD,M)"), "")</f>
        <v>10916.65218377</v>
      </c>
      <c r="G74" s="19">
        <f t="array" ref="G74">IFERROR(_xll.FDS($B74,"AVG(P_VOLUME_FRQ(-1AM,NOW,D,,6))*P_PRICE_AVG(-1AM,NOW,,USD)"), "")</f>
        <v>320.30582711459499</v>
      </c>
      <c r="H74" s="20">
        <f t="array" ref="H74">IFERROR(_xll.FDS($B74,"OS_SEC_FLT_PCT(0D,,MTD,SEC)")/100, "")</f>
        <v>0.99175999999999997</v>
      </c>
      <c r="I74" s="19">
        <f t="array" ref="I74">IFERROR(_xll.FDS($B74,"FE_ACTUAL(ACTUAL,SALES,ANN_ROLL,0,,,,'CURRENCY=USD')"), "")</f>
        <v>705.69299999999998</v>
      </c>
      <c r="J74" s="19">
        <f t="array" ref="J74">IFERROR(_xll.FDS($B74,"FE_ACTUAL(ACTUAL,EPS,ANN_ROLL,0,,,,'CURRENCY=USD')"), "")</f>
        <v>2.4989569999999999</v>
      </c>
      <c r="K74" s="20">
        <f t="array" ref="K74">IFERROR(_xll.FDS($B74,"POW(FE_ESTIMATE(SALES,MEAN,STMA,,NOW,,,'CURRENCY=USD')/FE_ESTIMATE(SALES,MEAN,LTMA,,NOW,,,'CURRENCY=USD'),0.5)-1"), "")</f>
        <v>0.15539958455938499</v>
      </c>
      <c r="L74" s="20">
        <f t="array" ref="L74">IFERROR(_xll.FDS($B74,"POW(FE_ESTIMATE(EPS,MEAN,STMA,,NOW,,,'CURRENCY=USD')/FE_ESTIMATE(EPS,MEAN,LTMA,,NOW,,,'CURRENCY=USD'),0.5)-1"), "")</f>
        <v>0.18823722378992999</v>
      </c>
      <c r="M74" s="21">
        <f t="array" ref="M74">IFERROR(_xll.FDS($B74,"FF_GROSS_MGN(LTM_R,0)"), "")</f>
        <v>74.630103302573403</v>
      </c>
      <c r="N74" s="21">
        <f t="array" ref="N74">IFERROR(_xll.FDS($B74,"FF_EBITDA_OPER_MGN(LTM_R,0)"), "")</f>
        <v>42.7070644263245</v>
      </c>
      <c r="O74" s="21">
        <f t="array" ref="O74">IFERROR(_xll.FDS($B74,"FF_NET_MGN(LTM_R,0)"), "")</f>
        <v>32.567160804375199</v>
      </c>
      <c r="P74" s="22" t="str">
        <f t="array" ref="P74">IFERROR(_xll.FDS($B74,"FE_VALUATION(NETDEBT_EBITDA,MEAN,NTMA,,NOW,,,'')"), "")</f>
        <v/>
      </c>
      <c r="Q74" s="23">
        <f t="array" ref="Q74">IFERROR(_xll.FDS($B74,"FE_VALUATION(MCAP_FCF,MEAN,NTMA,,NOW,,,'')"), "")</f>
        <v>2.9966881000000001</v>
      </c>
      <c r="R74" s="23" t="str">
        <f t="array" ref="R74">IFERROR(_xll.FDS($B74,"FE_VALUATION(DIV_YLD,MEAN,NTMA,,NOW,,,'')"), "")</f>
        <v/>
      </c>
      <c r="S74" s="21">
        <f t="array" ref="S74">IFERROR(_xll.FDS($B74,"FE_VALUATION(ROE,MEAN,NTMA,,0,,,'')" ), "")</f>
        <v>18.879816000000002</v>
      </c>
      <c r="T74" s="21" t="str">
        <f t="array" ref="T74">IFERROR(_xll.FDS($B74,"FE_VALUATION(ROIC,MEAN,NTMA,,0,,,'')" ), "")</f>
        <v/>
      </c>
      <c r="U74" s="22">
        <f t="array" ref="U74">IFERROR(((_xll.FDS($B74,"FE_ACTUAL(ACTUAL,SALES,ANN_ROLL,0,,,,'CURRENCY=USD')")/_xll.FDS($B74,"FE_ACTUAL(ACTUAL,SALES,ANN_ROLL,-1,,,,'CURRENCY=USD')")-1)*100)+(_xll.FDS($B74,"FE_VALUATION(EBITDA_MARGIN,MEAN,ANN_ROLL,0,NOW,,,'')")  ), "")</f>
        <v>70.358279401211959</v>
      </c>
      <c r="V74" s="24">
        <f t="array" ref="V74">IFERROR(_xll.FDS($B74,"FE_VALUATION(PE,MEAN,NTMA,,0,,,'')" ), "")</f>
        <v>32.422553999999998</v>
      </c>
      <c r="W74" s="24">
        <f t="array" ref="W74">IFERROR(_xll.FDS($B74,"FE_VALUATION(P_SALESPS,MEAN,NTMA,,0,,,'')" ), "")</f>
        <v>12.868228</v>
      </c>
      <c r="X74" s="24">
        <f t="array" ref="X74">IFERROR(_xll.FDS($B74,"FE_VALUATION(FFEV_SALES,MEAN,NTMA,,0,,,'')" ), "")</f>
        <v>12.148227</v>
      </c>
      <c r="Y74" s="24">
        <f t="array" ref="Y74">IFERROR(_xll.FDS($B74,"FE_VALUATION(FFEV_EBITDA,MEAN,NTMA,,0,,,'')" ), "")</f>
        <v>24.032450000000001</v>
      </c>
      <c r="Z74" s="20">
        <f t="array" ref="Z74">IFERROR(_xll.FDS($B74,"PERCENT_CHANGE(FE_VALUATION(PE,MEAN,NTMA,,0,,,''),MAX(FE_VALUATION(PE,MEAN,NTMA,,-1AY,0,,'')))")/100,"")</f>
        <v>-0.223626958816631</v>
      </c>
      <c r="AA74" s="20">
        <f t="array" ref="AA74">IFERROR(_xll.FDS($B74,"PERCENT_CHANGE(FE_VALUATION(FFEV_EBITDA,MEAN,NTMA,,0,,,''),MAX(FE_VALUATION(FFEV_EBITDA,MEAN,NTMA,,-1AY,0,,'')))")/100,"")</f>
        <v>-0.210731576911178</v>
      </c>
      <c r="AB74" s="20">
        <f t="array" ref="AB74">IFERROR(_xll.FDS($B74,"FG_PRICE(0,,,USD)/P_PRICE_HIGH(-1AY,0,USD,,,""PRICE"",""INTRA"")")-1, "")</f>
        <v>-0.27388581952117896</v>
      </c>
      <c r="AC74" s="20">
        <f t="array" ref="AC74">IFERROR(_xll.FDS($B74,"RTP_PRICE_TARGET(USD)/FG_PRICE(0,,,USD)")-1, "")</f>
        <v>0.20599573906867996</v>
      </c>
      <c r="AD74" s="25">
        <f t="array" ref="AD74">IFERROR(_xll.FDS($B74,"FG_PRICE(0,,,USD)/FG_PRICE_MAVG(0,,,USD,50)")-1, "")</f>
        <v>-3.4252346520879051E-2</v>
      </c>
      <c r="AE74" s="25">
        <f t="array" ref="AE74">IFERROR(_xll.FDS($B74,"FG_PRICE(0,,,USD)/FG_PRICE_MAVG(0,,,USD,100)")-1, "")</f>
        <v>-2.1542056469043946E-2</v>
      </c>
      <c r="AF74" s="25">
        <f t="array" ref="AF74">IFERROR(_xll.FDS($B74,"FG_PRICE(0,,,USD)/FG_PRICE_MAVG(0,,,USD,200)")-1, "")</f>
        <v>0.1542816859515399</v>
      </c>
      <c r="AG74" s="26" t="str">
        <f t="array" ref="AG74">IFERROR(_xll.FDS($B74,"FE_RATING(MEAN,TEXTONLY,0,NOW,,,'')"), "")</f>
        <v>Overweight</v>
      </c>
      <c r="AH74" s="50">
        <f>IFERROR(IF('3 — Weights'!$E$2=1,PERCENTRANK(I$4:I$91,I74),1-PERCENTRANK(I$4:I$91,I74))*100,"")</f>
        <v>13.700000000000001</v>
      </c>
      <c r="AI74" s="51">
        <f>IFERROR(IF('3 — Weights'!$E$3=1,PERCENTRANK(J$4:J$91,J74),1-PERCENTRANK(J$4:J$91,J74))*100,"")</f>
        <v>50.5</v>
      </c>
      <c r="AJ74" s="51">
        <f>IFERROR(IF('3 — Weights'!$E$4=1,PERCENTRANK(K$4:K$91,K74),1-PERCENTRANK(K$4:K$91,K74))*100,"")</f>
        <v>59.699999999999996</v>
      </c>
      <c r="AK74" s="51">
        <f>IFERROR(IF('3 — Weights'!$E$5=1,PERCENTRANK(L$4:L$91,L74),1-PERCENTRANK(L$4:L$91,L74))*100,"")</f>
        <v>61.9</v>
      </c>
      <c r="AL74" s="51">
        <f>IFERROR(IF('3 — Weights'!$E$6=1,PERCENTRANK(M$4:M$91,M74),1-PERCENTRANK(M$4:M$91,M74))*100,"")</f>
        <v>54.800000000000004</v>
      </c>
      <c r="AM74" s="51">
        <f>IFERROR(IF('3 — Weights'!$E$7=1,PERCENTRANK(N$4:N$91,N74),1-PERCENTRANK(N$4:N$91,N74))*100,"")</f>
        <v>89.600000000000009</v>
      </c>
      <c r="AN74" s="51">
        <f>IFERROR(IF('3 — Weights'!$E$8=1,PERCENTRANK(O$4:O$91,O74),1-PERCENTRANK(O$4:O$91,O74))*100,"")</f>
        <v>92.7</v>
      </c>
      <c r="AO74" s="51" t="str">
        <f>IFERROR(IF('3 — Weights'!$E$9=1,PERCENTRANK(P$4:P$91,P74),1-PERCENTRANK(P$4:P$91,P74))*100,"")</f>
        <v/>
      </c>
      <c r="AP74" s="51">
        <f>IFERROR(IF('3 — Weights'!$E$10=1,PERCENTRANK(Q$4:Q$91,Q74),1-PERCENTRANK(Q$4:Q$91,Q74))*100,"")</f>
        <v>22.6</v>
      </c>
      <c r="AQ74" s="51" t="str">
        <f>IFERROR(IF('3 — Weights'!$E$11=1,PERCENTRANK(R$4:R$91,R74),1-PERCENTRANK(R$4:R$91,R74))*100,"")</f>
        <v/>
      </c>
      <c r="AR74" s="51">
        <f>IFERROR(IF('3 — Weights'!$E$12=1,PERCENTRANK(S$4:S$91,S74),1-PERCENTRANK(S$4:S$91,S74))*100,"")</f>
        <v>41.9</v>
      </c>
      <c r="AS74" s="51" t="str">
        <f>IFERROR(IF('3 — Weights'!$E$13=1,PERCENTRANK(T$4:T$91,T74),1-PERCENTRANK(T$4:T$91,T74))*100,"")</f>
        <v/>
      </c>
      <c r="AT74" s="51">
        <f>IFERROR(IF('3 — Weights'!$E$14=1,PERCENTRANK(U$4:U$91,U74),1-PERCENTRANK(U$4:U$91,U74))*100,"")</f>
        <v>91.4</v>
      </c>
      <c r="AU74" s="51">
        <f>IFERROR(IF('3 — Weights'!$E$15=1,PERCENTRANK(V$4:V$91,V74),1-PERCENTRANK(V$4:V$91,V74))*100,"")</f>
        <v>29.900000000000006</v>
      </c>
      <c r="AV74" s="51">
        <f>IFERROR(IF('3 — Weights'!$E$16=1,PERCENTRANK(W$4:W$91,W74),1-PERCENTRANK(W$4:W$91,W74))*100,"")</f>
        <v>8.0999999999999961</v>
      </c>
      <c r="AW74" s="51">
        <f>IFERROR(IF('3 — Weights'!$E$17=1,PERCENTRANK(X$4:X$91,X74),1-PERCENTRANK(X$4:X$91,X74))*100,"")</f>
        <v>9.1999999999999975</v>
      </c>
      <c r="AX74" s="51">
        <f>IFERROR(IF('3 — Weights'!$E$18=1,PERCENTRANK(Y$4:Y$91,Y74),1-PERCENTRANK(Y$4:Y$91,Y74))*100,"")</f>
        <v>24.5</v>
      </c>
      <c r="AY74" s="51">
        <f>IFERROR(IF('3 — Weights'!$E$18=1,PERCENTRANK(Z$4:Z$91,Z74),1-PERCENTRANK(Z$4:Z$91,Z74))*100,"")</f>
        <v>2.300000000000002</v>
      </c>
      <c r="AZ74" s="51">
        <f>IFERROR(IF('3 — Weights'!$E$18=1,PERCENTRANK(AA$4:AA$91,AA74),1-PERCENTRANK(AA$4:AA$91,AA74))*100,"")</f>
        <v>2.4000000000000021</v>
      </c>
      <c r="BA74" s="51">
        <f>IFERROR(IF('3 — Weights'!$E$21=1,PERCENTRANK(AB$4:AB$91,AB74),1-PERCENTRANK(AB$4:AB$91,AB74))*100,"")</f>
        <v>83.899999999999991</v>
      </c>
      <c r="BB74" s="51">
        <f>IFERROR(IF('3 — Weights'!$E$22=1,PERCENTRANK(AC$4:AC$91,AC74),1-PERCENTRANK(AC$4:AC$91,AC74))*100,"")</f>
        <v>9.1</v>
      </c>
      <c r="BC74" s="51">
        <f>IFERROR(IF('3 — Weights'!$E$23=1,PERCENTRANK(AD$4:AD$91,AD74),1-PERCENTRANK(AD$4:AD$91,AD74))*100,"")</f>
        <v>15.000000000000002</v>
      </c>
      <c r="BD74" s="51">
        <f>IFERROR(IF('3 — Weights'!$E$24=1,PERCENTRANK(AE$4:AE$91,AE74),1-PERCENTRANK(AE$4:AE$91,AE74))*100,"")</f>
        <v>6.899999999999995</v>
      </c>
      <c r="BE74" s="51">
        <f>IFERROR(IF('3 — Weights'!$E$25=1,PERCENTRANK(AF$4:AF$91,AF74),1-PERCENTRANK(AF$4:AF$91,AF74))*100,"")</f>
        <v>2.300000000000002</v>
      </c>
      <c r="BF74" s="52" cm="1">
        <f t="array" ref="BF74">IFERROR(SUMPRODUCT(TRANSPOSE(AH74:BE74), [1]!Table2[Weight
Claude]),"")</f>
        <v>40.795000000000002</v>
      </c>
      <c r="BG74" s="53" cm="1">
        <f t="array" ref="BG74">IFERROR(SUMPRODUCT(TRANSPOSE(AH74:BE74), [1]!Table2[Weight
Cape IMC]),"")</f>
        <v>40.795000000000002</v>
      </c>
    </row>
    <row r="75" spans="1:59" ht="22.5" customHeight="1" x14ac:dyDescent="0.25">
      <c r="A75" s="17">
        <f t="shared" si="1"/>
        <v>74</v>
      </c>
      <c r="B75" s="18" t="s">
        <v>221</v>
      </c>
      <c r="C75" s="18" t="s">
        <v>222</v>
      </c>
      <c r="D75" s="18" t="str">
        <f t="array" ref="D75">IFERROR(_xll.FDS($B75,"FR_RBICS_NAME_CURR(""IND"")"), "")</f>
        <v>Industry-Specific Software</v>
      </c>
      <c r="E75" s="18" t="str">
        <f t="array" ref="E75">PROPER(IFERROR(_xll.FDS($B75,"P_DCOUNTRY"), ""))</f>
        <v>United States</v>
      </c>
      <c r="F75" s="19">
        <f t="array" ref="F75">IFERROR(_xll.FDS($B75,"FCS_EV_DAILY(MV,NOW,,,USD,M)"), "")</f>
        <v>16258.03300388</v>
      </c>
      <c r="G75" s="19">
        <f t="array" ref="G75">IFERROR(_xll.FDS($B75,"AVG(P_VOLUME_FRQ(-1AM,NOW,D,,6))*P_PRICE_AVG(-1AM,NOW,,USD)"), "")</f>
        <v>159.32283504594201</v>
      </c>
      <c r="H75" s="20">
        <f t="array" ref="H75">IFERROR(_xll.FDS($B75,"OS_SEC_FLT_PCT(0D,,MTD,SEC)")/100, "")</f>
        <v>0.99640799999999996</v>
      </c>
      <c r="I75" s="19">
        <f t="array" ref="I75">IFERROR(_xll.FDS($B75,"FE_ACTUAL(ACTUAL,SALES,ANN_ROLL,0,,,,'CURRENCY=USD')"), "")</f>
        <v>3587.3</v>
      </c>
      <c r="J75" s="19">
        <f t="array" ref="J75">IFERROR(_xll.FDS($B75,"FE_ACTUAL(ACTUAL,EPS,ANN_ROLL,0,,,,'CURRENCY=USD')"), "")</f>
        <v>3.13</v>
      </c>
      <c r="K75" s="20">
        <f t="array" ref="K75">IFERROR(_xll.FDS($B75,"POW(FE_ESTIMATE(SALES,MEAN,STMA,,NOW,,,'CURRENCY=USD')/FE_ESTIMATE(SALES,MEAN,LTMA,,NOW,,,'CURRENCY=USD'),0.5)-1"), "")</f>
        <v>8.2960294747688401E-2</v>
      </c>
      <c r="L75" s="20">
        <f t="array" ref="L75">IFERROR(_xll.FDS($B75,"POW(FE_ESTIMATE(EPS,MEAN,STMA,,NOW,,,'CURRENCY=USD')/FE_ESTIMATE(EPS,MEAN,LTMA,,NOW,,,'CURRENCY=USD'),0.5)-1"), "")</f>
        <v>0.14767525894740799</v>
      </c>
      <c r="M75" s="21">
        <f t="array" ref="M75">IFERROR(_xll.FDS($B75,"FF_GROSS_MGN(LTM_R,0)"), "")</f>
        <v>66.097064644718898</v>
      </c>
      <c r="N75" s="21">
        <f t="array" ref="N75">IFERROR(_xll.FDS($B75,"FF_EBITDA_OPER_MGN(LTM_R,0)"), "")</f>
        <v>23.1148774844591</v>
      </c>
      <c r="O75" s="21">
        <f t="array" ref="O75">IFERROR(_xll.FDS($B75,"FF_NET_MGN(LTM_R,0)"), "")</f>
        <v>11.819474256404501</v>
      </c>
      <c r="P75" s="22">
        <f t="array" ref="P75">IFERROR(_xll.FDS($B75,"FE_VALUATION(NETDEBT_EBITDA,MEAN,NTMA,,NOW,,,'')"), "")</f>
        <v>0.21126547000000001</v>
      </c>
      <c r="Q75" s="23">
        <f t="array" ref="Q75">IFERROR(_xll.FDS($B75,"FE_VALUATION(MCAP_FCF,MEAN,NTMA,,NOW,,,'')"), "")</f>
        <v>5.3979860000000004</v>
      </c>
      <c r="R75" s="23" t="str">
        <f t="array" ref="R75">IFERROR(_xll.FDS($B75,"FE_VALUATION(DIV_YLD,MEAN,NTMA,,NOW,,,'')"), "")</f>
        <v/>
      </c>
      <c r="S75" s="21">
        <f t="array" ref="S75">IFERROR(_xll.FDS($B75,"FE_VALUATION(ROE,MEAN,NTMA,,0,,,'')" ), "")</f>
        <v>13.422867999999999</v>
      </c>
      <c r="T75" s="21">
        <f t="array" ref="T75">IFERROR(_xll.FDS($B75,"FE_VALUATION(ROIC,MEAN,NTMA,,0,,,'')" ), "")</f>
        <v>11.315562</v>
      </c>
      <c r="U75" s="22">
        <f t="array" ref="U75">IFERROR(((_xll.FDS($B75,"FE_ACTUAL(ACTUAL,SALES,ANN_ROLL,0,,,,'CURRENCY=USD')")/_xll.FDS($B75,"FE_ACTUAL(ACTUAL,SALES,ANN_ROLL,-1,,,,'CURRENCY=USD')")-1)*100)+(_xll.FDS($B75,"FE_VALUATION(EBITDA_MARGIN,MEAN,ANN_ROLL,0,NOW,,,'')")  ), "")</f>
        <v>26.400483571416931</v>
      </c>
      <c r="V75" s="24">
        <f t="array" ref="V75">IFERROR(_xll.FDS($B75,"FE_VALUATION(PE,MEAN,NTMA,,0,,,'')" ), "")</f>
        <v>18.511306999999999</v>
      </c>
      <c r="W75" s="24">
        <f t="array" ref="W75">IFERROR(_xll.FDS($B75,"FE_VALUATION(P_SALESPS,MEAN,NTMA,,0,,,'')" ), "")</f>
        <v>4.0627912999999998</v>
      </c>
      <c r="X75" s="24">
        <f t="array" ref="X75">IFERROR(_xll.FDS($B75,"FE_VALUATION(FFEV_SALES,MEAN,NTMA,,0,,,'')" ), "")</f>
        <v>4.4152822</v>
      </c>
      <c r="Y75" s="24">
        <f t="array" ref="Y75">IFERROR(_xll.FDS($B75,"FE_VALUATION(FFEV_EBITDA,MEAN,NTMA,,0,,,'')" ), "")</f>
        <v>14.929039</v>
      </c>
      <c r="Z75" s="20">
        <f t="array" ref="Z75">IFERROR(_xll.FDS($B75,"PERCENT_CHANGE(FE_VALUATION(PE,MEAN,NTMA,,0,,,''),MAX(FE_VALUATION(PE,MEAN,NTMA,,-1AY,0,,'')))")/100,"")</f>
        <v>-0.324135445523212</v>
      </c>
      <c r="AA75" s="20">
        <f t="array" ref="AA75">IFERROR(_xll.FDS($B75,"PERCENT_CHANGE(FE_VALUATION(FFEV_EBITDA,MEAN,NTMA,,0,,,''),MAX(FE_VALUATION(FFEV_EBITDA,MEAN,NTMA,,-1AY,0,,'')))")/100,"")</f>
        <v>-0.29595165003384899</v>
      </c>
      <c r="AB75" s="20">
        <f t="array" ref="AB75">IFERROR(_xll.FDS($B75,"FG_PRICE(0,,,USD)/P_PRICE_HIGH(-1AY,0,USD,,,""PRICE"",""INTRA"")")-1, "")</f>
        <v>-0.23725714285714306</v>
      </c>
      <c r="AC75" s="20">
        <f t="array" ref="AC75">IFERROR(_xll.FDS($B75,"RTP_PRICE_TARGET(USD)/FG_PRICE(0,,,USD)")-1, "")</f>
        <v>0.39846173209469993</v>
      </c>
      <c r="AD75" s="25">
        <f t="array" ref="AD75">IFERROR(_xll.FDS($B75,"FG_PRICE(0,,,USD)/FG_PRICE_MAVG(0,,,USD,50)")-1, "")</f>
        <v>-9.5144093625606052E-2</v>
      </c>
      <c r="AE75" s="25">
        <f t="array" ref="AE75">IFERROR(_xll.FDS($B75,"FG_PRICE(0,,,USD)/FG_PRICE_MAVG(0,,,USD,100)")-1, "")</f>
        <v>-0.12908445557991499</v>
      </c>
      <c r="AF75" s="25">
        <f t="array" ref="AF75">IFERROR(_xll.FDS($B75,"FG_PRICE(0,,,USD)/FG_PRICE_MAVG(0,,,USD,200)")-1, "")</f>
        <v>-0.13731626768944405</v>
      </c>
      <c r="AG75" s="26" t="str">
        <f t="array" ref="AG75">IFERROR(_xll.FDS($B75,"FE_RATING(MEAN,TEXTONLY,0,NOW,,,'')"), "")</f>
        <v>Buy</v>
      </c>
      <c r="AH75" s="50">
        <f>IFERROR(IF('3 — Weights'!$E$2=1,PERCENTRANK(I$4:I$91,I75),1-PERCENTRANK(I$4:I$91,I75))*100,"")</f>
        <v>71.2</v>
      </c>
      <c r="AI75" s="51">
        <f>IFERROR(IF('3 — Weights'!$E$3=1,PERCENTRANK(J$4:J$91,J75),1-PERCENTRANK(J$4:J$91,J75))*100,"")</f>
        <v>56.3</v>
      </c>
      <c r="AJ75" s="51">
        <f>IFERROR(IF('3 — Weights'!$E$4=1,PERCENTRANK(K$4:K$91,K75),1-PERCENTRANK(K$4:K$91,K75))*100,"")</f>
        <v>21.8</v>
      </c>
      <c r="AK75" s="51">
        <f>IFERROR(IF('3 — Weights'!$E$5=1,PERCENTRANK(L$4:L$91,L75),1-PERCENTRANK(L$4:L$91,L75))*100,"")</f>
        <v>41.6</v>
      </c>
      <c r="AL75" s="51">
        <f>IFERROR(IF('3 — Weights'!$E$6=1,PERCENTRANK(M$4:M$91,M75),1-PERCENTRANK(M$4:M$91,M75))*100,"")</f>
        <v>31.7</v>
      </c>
      <c r="AM75" s="51">
        <f>IFERROR(IF('3 — Weights'!$E$7=1,PERCENTRANK(N$4:N$91,N75),1-PERCENTRANK(N$4:N$91,N75))*100,"")</f>
        <v>58.4</v>
      </c>
      <c r="AN75" s="51">
        <f>IFERROR(IF('3 — Weights'!$E$8=1,PERCENTRANK(O$4:O$91,O75),1-PERCENTRANK(O$4:O$91,O75))*100,"")</f>
        <v>51.800000000000004</v>
      </c>
      <c r="AO75" s="51">
        <f>IFERROR(IF('3 — Weights'!$E$9=1,PERCENTRANK(P$4:P$91,P75),1-PERCENTRANK(P$4:P$91,P75))*100,"")</f>
        <v>25.4</v>
      </c>
      <c r="AP75" s="51">
        <f>IFERROR(IF('3 — Weights'!$E$10=1,PERCENTRANK(Q$4:Q$91,Q75),1-PERCENTRANK(Q$4:Q$91,Q75))*100,"")</f>
        <v>52.300000000000004</v>
      </c>
      <c r="AQ75" s="51" t="str">
        <f>IFERROR(IF('3 — Weights'!$E$11=1,PERCENTRANK(R$4:R$91,R75),1-PERCENTRANK(R$4:R$91,R75))*100,"")</f>
        <v/>
      </c>
      <c r="AR75" s="51">
        <f>IFERROR(IF('3 — Weights'!$E$12=1,PERCENTRANK(S$4:S$91,S75),1-PERCENTRANK(S$4:S$91,S75))*100,"")</f>
        <v>22.2</v>
      </c>
      <c r="AS75" s="51">
        <f>IFERROR(IF('3 — Weights'!$E$13=1,PERCENTRANK(T$4:T$91,T75),1-PERCENTRANK(T$4:T$91,T75))*100,"")</f>
        <v>26.3</v>
      </c>
      <c r="AT75" s="51">
        <f>IFERROR(IF('3 — Weights'!$E$14=1,PERCENTRANK(U$4:U$91,U75),1-PERCENTRANK(U$4:U$91,U75))*100,"")</f>
        <v>7.3</v>
      </c>
      <c r="AU75" s="51">
        <f>IFERROR(IF('3 — Weights'!$E$15=1,PERCENTRANK(V$4:V$91,V75),1-PERCENTRANK(V$4:V$91,V75))*100,"")</f>
        <v>62.1</v>
      </c>
      <c r="AV75" s="51">
        <f>IFERROR(IF('3 — Weights'!$E$16=1,PERCENTRANK(W$4:W$91,W75),1-PERCENTRANK(W$4:W$91,W75))*100,"")</f>
        <v>59.8</v>
      </c>
      <c r="AW75" s="51">
        <f>IFERROR(IF('3 — Weights'!$E$17=1,PERCENTRANK(X$4:X$91,X75),1-PERCENTRANK(X$4:X$91,X75))*100,"")</f>
        <v>55.2</v>
      </c>
      <c r="AX75" s="51">
        <f>IFERROR(IF('3 — Weights'!$E$18=1,PERCENTRANK(Y$4:Y$91,Y75),1-PERCENTRANK(Y$4:Y$91,Y75))*100,"")</f>
        <v>48.9</v>
      </c>
      <c r="AY75" s="51">
        <f>IFERROR(IF('3 — Weights'!$E$18=1,PERCENTRANK(Z$4:Z$91,Z75),1-PERCENTRANK(Z$4:Z$91,Z75))*100,"")</f>
        <v>13.8</v>
      </c>
      <c r="AZ75" s="51">
        <f>IFERROR(IF('3 — Weights'!$E$18=1,PERCENTRANK(AA$4:AA$91,AA75),1-PERCENTRANK(AA$4:AA$91,AA75))*100,"")</f>
        <v>14.000000000000002</v>
      </c>
      <c r="BA75" s="51">
        <f>IFERROR(IF('3 — Weights'!$E$21=1,PERCENTRANK(AB$4:AB$91,AB75),1-PERCENTRANK(AB$4:AB$91,AB75))*100,"")</f>
        <v>89.600000000000009</v>
      </c>
      <c r="BB75" s="51">
        <f>IFERROR(IF('3 — Weights'!$E$22=1,PERCENTRANK(AC$4:AC$91,AC75),1-PERCENTRANK(AC$4:AC$91,AC75))*100,"")</f>
        <v>31</v>
      </c>
      <c r="BC75" s="51">
        <f>IFERROR(IF('3 — Weights'!$E$23=1,PERCENTRANK(AD$4:AD$91,AD75),1-PERCENTRANK(AD$4:AD$91,AD75))*100,"")</f>
        <v>21.9</v>
      </c>
      <c r="BD75" s="51">
        <f>IFERROR(IF('3 — Weights'!$E$24=1,PERCENTRANK(AE$4:AE$91,AE75),1-PERCENTRANK(AE$4:AE$91,AE75))*100,"")</f>
        <v>19.599999999999994</v>
      </c>
      <c r="BE75" s="51">
        <f>IFERROR(IF('3 — Weights'!$E$25=1,PERCENTRANK(AF$4:AF$91,AF75),1-PERCENTRANK(AF$4:AF$91,AF75))*100,"")</f>
        <v>18.400000000000006</v>
      </c>
      <c r="BF75" s="52" cm="1">
        <f t="array" ref="BF75">IFERROR(SUMPRODUCT(TRANSPOSE(AH75:BE75), [1]!Table2[Weight
Claude]),"")</f>
        <v>40.055000000000007</v>
      </c>
      <c r="BG75" s="53" cm="1">
        <f t="array" ref="BG75">IFERROR(SUMPRODUCT(TRANSPOSE(AH75:BE75), [1]!Table2[Weight
Cape IMC]),"")</f>
        <v>40.055000000000007</v>
      </c>
    </row>
    <row r="76" spans="1:59" ht="22.5" customHeight="1" x14ac:dyDescent="0.25">
      <c r="A76" s="17">
        <f t="shared" si="1"/>
        <v>71</v>
      </c>
      <c r="B76" s="18" t="s">
        <v>223</v>
      </c>
      <c r="C76" s="18" t="s">
        <v>224</v>
      </c>
      <c r="D76" s="18" t="str">
        <f t="array" ref="D76">IFERROR(_xll.FDS($B76,"FR_RBICS_NAME_CURR(""IND"")"), "")</f>
        <v>Data Storage Infrastructure Software</v>
      </c>
      <c r="E76" s="18" t="str">
        <f t="array" ref="E76">PROPER(IFERROR(_xll.FDS($B76,"P_DCOUNTRY"), ""))</f>
        <v>United States</v>
      </c>
      <c r="F76" s="19">
        <f t="array" ref="F76">IFERROR(_xll.FDS($B76,"FCS_EV_DAILY(MV,NOW,,,USD,M)"), "")</f>
        <v>11861.88761458</v>
      </c>
      <c r="G76" s="19">
        <f t="array" ref="G76">IFERROR(_xll.FDS($B76,"AVG(P_VOLUME_FRQ(-1AM,NOW,D,,6))*P_PRICE_AVG(-1AM,NOW,,USD)"), "")</f>
        <v>533.35094351964301</v>
      </c>
      <c r="H76" s="20">
        <f t="array" ref="H76">IFERROR(_xll.FDS($B76,"OS_SEC_FLT_PCT(0D,,MTD,SEC)")/100, "")</f>
        <v>0.98586299999999993</v>
      </c>
      <c r="I76" s="19">
        <f t="array" ref="I76">IFERROR(_xll.FDS($B76,"FE_ACTUAL(ACTUAL,SALES,ANN_ROLL,0,,,,'CURRENCY=USD')"), "")</f>
        <v>1166.748</v>
      </c>
      <c r="J76" s="19">
        <f t="array" ref="J76">IFERROR(_xll.FDS($B76,"FE_ACTUAL(ACTUAL,EPS,ANN_ROLL,0,,,,'CURRENCY=USD')"), "")</f>
        <v>0.42</v>
      </c>
      <c r="K76" s="20">
        <f t="array" ref="K76">IFERROR(_xll.FDS($B76,"POW(FE_ESTIMATE(SALES,MEAN,STMA,,NOW,,,'CURRENCY=USD')/FE_ESTIMATE(SALES,MEAN,LTMA,,NOW,,,'CURRENCY=USD'),0.5)-1"), "")</f>
        <v>0.16552035589259401</v>
      </c>
      <c r="L76" s="20">
        <f t="array" ref="L76">IFERROR(_xll.FDS($B76,"POW(FE_ESTIMATE(EPS,MEAN,STMA,,NOW,,,'CURRENCY=USD')/FE_ESTIMATE(EPS,MEAN,LTMA,,NOW,,,'CURRENCY=USD'),0.5)-1"), "")</f>
        <v>0.268024092831047</v>
      </c>
      <c r="M76" s="21">
        <f t="array" ref="M76">IFERROR(_xll.FDS($B76,"FF_GROSS_MGN(LTM_R,0)"), "")</f>
        <v>74.235653285885206</v>
      </c>
      <c r="N76" s="21">
        <f t="array" ref="N76">IFERROR(_xll.FDS($B76,"FF_EBITDA_OPER_MGN(LTM_R,0)"), "")</f>
        <v>-28.739110759135599</v>
      </c>
      <c r="O76" s="21">
        <f t="array" ref="O76">IFERROR(_xll.FDS($B76,"FF_NET_MGN(LTM_R,0)"), "")</f>
        <v>-25.307521418506798</v>
      </c>
      <c r="P76" s="22">
        <f t="array" ref="P76">IFERROR(_xll.FDS($B76,"FE_VALUATION(NETDEBT_EBITDA,MEAN,NTMA,,NOW,,,'')"), "")</f>
        <v>-8.3954489999999993</v>
      </c>
      <c r="Q76" s="23">
        <f t="array" ref="Q76">IFERROR(_xll.FDS($B76,"FE_VALUATION(MCAP_FCF,MEAN,NTMA,,NOW,,,'')"), "")</f>
        <v>1.2147428</v>
      </c>
      <c r="R76" s="23">
        <f t="array" ref="R76">IFERROR(_xll.FDS($B76,"FE_VALUATION(DIV_YLD,MEAN,NTMA,,NOW,,,'')"), "")</f>
        <v>0</v>
      </c>
      <c r="S76" s="21">
        <f t="array" ref="S76">IFERROR(_xll.FDS($B76,"FE_VALUATION(ROE,MEAN,NTMA,,0,,,'')" ), "")</f>
        <v>14.275743500000001</v>
      </c>
      <c r="T76" s="21">
        <f t="array" ref="T76">IFERROR(_xll.FDS($B76,"FE_VALUATION(ROIC,MEAN,NTMA,,0,,,'')" ), "")</f>
        <v>8.4914874999999999</v>
      </c>
      <c r="U76" s="22">
        <f t="array" ref="U76">IFERROR(((_xll.FDS($B76,"FE_ACTUAL(ACTUAL,SALES,ANN_ROLL,0,,,,'CURRENCY=USD')")/_xll.FDS($B76,"FE_ACTUAL(ACTUAL,SALES,ANN_ROLL,-1,,,,'CURRENCY=USD')")-1)*100)+(_xll.FDS($B76,"FE_VALUATION(EBITDA_MARGIN,MEAN,ANN_ROLL,0,NOW,,,'')")  ), "")</f>
        <v>30.936255455783368</v>
      </c>
      <c r="V76" s="24">
        <f t="array" ref="V76">IFERROR(_xll.FDS($B76,"FE_VALUATION(PE,MEAN,NTMA,,0,,,'')" ), "")</f>
        <v>58.508892000000003</v>
      </c>
      <c r="W76" s="24">
        <f t="array" ref="W76">IFERROR(_xll.FDS($B76,"FE_VALUATION(P_SALESPS,MEAN,NTMA,,0,,,'')" ), "")</f>
        <v>7.8478909999999997</v>
      </c>
      <c r="X76" s="24">
        <f t="array" ref="X76">IFERROR(_xll.FDS($B76,"FE_VALUATION(FFEV_SALES,MEAN,NTMA,,0,,,'')" ), "")</f>
        <v>6.8581357000000001</v>
      </c>
      <c r="Y76" s="24">
        <f t="array" ref="Y76">IFERROR(_xll.FDS($B76,"FE_VALUATION(FFEV_EBITDA,MEAN,NTMA,,0,,,'')" ), "")</f>
        <v>56.876404000000001</v>
      </c>
      <c r="Z76" s="20">
        <f t="array" ref="Z76">IFERROR(_xll.FDS($B76,"PERCENT_CHANGE(FE_VALUATION(PE,MEAN,NTMA,,0,,,''),MAX(FE_VALUATION(PE,MEAN,NTMA,,-1AY,0,,'')))")/100,"")</f>
        <v>-0.30644369395012699</v>
      </c>
      <c r="AA76" s="20">
        <f t="array" ref="AA76">IFERROR(_xll.FDS($B76,"PERCENT_CHANGE(FE_VALUATION(FFEV_EBITDA,MEAN,NTMA,,0,,,''),MAX(FE_VALUATION(FFEV_EBITDA,MEAN,NTMA,,-1AY,0,,'')))")/100,"")</f>
        <v>-0.36053818745816502</v>
      </c>
      <c r="AB76" s="20">
        <f t="array" ref="AB76">IFERROR(_xll.FDS($B76,"FG_PRICE(0,,,USD)/P_PRICE_HIGH(-1AY,0,USD,,,""PRICE"",""INTRA"")")-1, "")</f>
        <v>-7.2121212121212031E-2</v>
      </c>
      <c r="AC76" s="20">
        <f t="array" ref="AC76">IFERROR(_xll.FDS($B76,"RTP_PRICE_TARGET(USD)/FG_PRICE(0,,,USD)")-1, "")</f>
        <v>1.2410189418680106E-2</v>
      </c>
      <c r="AD76" s="25">
        <f t="array" ref="AD76">IFERROR(_xll.FDS($B76,"FG_PRICE(0,,,USD)/FG_PRICE_MAVG(0,,,USD,50)")-1, "")</f>
        <v>8.1919713412699213E-3</v>
      </c>
      <c r="AE76" s="25">
        <f t="array" ref="AE76">IFERROR(_xll.FDS($B76,"FG_PRICE(0,,,USD)/FG_PRICE_MAVG(0,,,USD,100)")-1, "")</f>
        <v>0.14732353624448002</v>
      </c>
      <c r="AF76" s="25">
        <f t="array" ref="AF76">IFERROR(_xll.FDS($B76,"FG_PRICE(0,,,USD)/FG_PRICE_MAVG(0,,,USD,200)")-1, "")</f>
        <v>0.2645368045460601</v>
      </c>
      <c r="AG76" s="26" t="str">
        <f t="array" ref="AG76">IFERROR(_xll.FDS($B76,"FE_RATING(MEAN,TEXTONLY,0,NOW,,,'')"), "")</f>
        <v>Hold</v>
      </c>
      <c r="AH76" s="50">
        <f>IFERROR(IF('3 — Weights'!$E$2=1,PERCENTRANK(I$4:I$91,I76),1-PERCENTRANK(I$4:I$91,I76))*100,"")</f>
        <v>37.9</v>
      </c>
      <c r="AI76" s="51">
        <f>IFERROR(IF('3 — Weights'!$E$3=1,PERCENTRANK(J$4:J$91,J76),1-PERCENTRANK(J$4:J$91,J76))*100,"")</f>
        <v>18.3</v>
      </c>
      <c r="AJ76" s="51">
        <f>IFERROR(IF('3 — Weights'!$E$4=1,PERCENTRANK(K$4:K$91,K76),1-PERCENTRANK(K$4:K$91,K76))*100,"")</f>
        <v>65.5</v>
      </c>
      <c r="AK76" s="51">
        <f>IFERROR(IF('3 — Weights'!$E$5=1,PERCENTRANK(L$4:L$91,L76),1-PERCENTRANK(L$4:L$91,L76))*100,"")</f>
        <v>77.3</v>
      </c>
      <c r="AL76" s="51">
        <f>IFERROR(IF('3 — Weights'!$E$6=1,PERCENTRANK(M$4:M$91,M76),1-PERCENTRANK(M$4:M$91,M76))*100,"")</f>
        <v>51.2</v>
      </c>
      <c r="AM76" s="51">
        <f>IFERROR(IF('3 — Weights'!$E$7=1,PERCENTRANK(N$4:N$91,N76),1-PERCENTRANK(N$4:N$91,N76))*100,"")</f>
        <v>1.2</v>
      </c>
      <c r="AN76" s="51">
        <f>IFERROR(IF('3 — Weights'!$E$8=1,PERCENTRANK(O$4:O$91,O76),1-PERCENTRANK(O$4:O$91,O76))*100,"")</f>
        <v>4.8</v>
      </c>
      <c r="AO76" s="51">
        <f>IFERROR(IF('3 — Weights'!$E$9=1,PERCENTRANK(P$4:P$91,P76),1-PERCENTRANK(P$4:P$91,P76))*100,"")</f>
        <v>97.6</v>
      </c>
      <c r="AP76" s="51">
        <f>IFERROR(IF('3 — Weights'!$E$10=1,PERCENTRANK(Q$4:Q$91,Q76),1-PERCENTRANK(Q$4:Q$91,Q76))*100,"")</f>
        <v>4.7</v>
      </c>
      <c r="AQ76" s="51">
        <f>IFERROR(IF('3 — Weights'!$E$11=1,PERCENTRANK(R$4:R$91,R76),1-PERCENTRANK(R$4:R$91,R76))*100,"")</f>
        <v>0</v>
      </c>
      <c r="AR76" s="51">
        <f>IFERROR(IF('3 — Weights'!$E$12=1,PERCENTRANK(S$4:S$91,S76),1-PERCENTRANK(S$4:S$91,S76))*100,"")</f>
        <v>25.900000000000002</v>
      </c>
      <c r="AS76" s="51">
        <f>IFERROR(IF('3 — Weights'!$E$13=1,PERCENTRANK(T$4:T$91,T76),1-PERCENTRANK(T$4:T$91,T76))*100,"")</f>
        <v>20.8</v>
      </c>
      <c r="AT76" s="51">
        <f>IFERROR(IF('3 — Weights'!$E$14=1,PERCENTRANK(U$4:U$91,U76),1-PERCENTRANK(U$4:U$91,U76))*100,"")</f>
        <v>13.4</v>
      </c>
      <c r="AU76" s="51">
        <f>IFERROR(IF('3 — Weights'!$E$15=1,PERCENTRANK(V$4:V$91,V76),1-PERCENTRANK(V$4:V$91,V76))*100,"")</f>
        <v>11.5</v>
      </c>
      <c r="AV76" s="51">
        <f>IFERROR(IF('3 — Weights'!$E$16=1,PERCENTRANK(W$4:W$91,W76),1-PERCENTRANK(W$4:W$91,W76))*100,"")</f>
        <v>21.9</v>
      </c>
      <c r="AW76" s="51">
        <f>IFERROR(IF('3 — Weights'!$E$17=1,PERCENTRANK(X$4:X$91,X76),1-PERCENTRANK(X$4:X$91,X76))*100,"")</f>
        <v>25.3</v>
      </c>
      <c r="AX76" s="51">
        <f>IFERROR(IF('3 — Weights'!$E$18=1,PERCENTRANK(Y$4:Y$91,Y76),1-PERCENTRANK(Y$4:Y$91,Y76))*100,"")</f>
        <v>6.9999999999999947</v>
      </c>
      <c r="AY76" s="51">
        <f>IFERROR(IF('3 — Weights'!$E$18=1,PERCENTRANK(Z$4:Z$91,Z76),1-PERCENTRANK(Z$4:Z$91,Z76))*100,"")</f>
        <v>9.1999999999999975</v>
      </c>
      <c r="AZ76" s="51">
        <f>IFERROR(IF('3 — Weights'!$E$18=1,PERCENTRANK(AA$4:AA$91,AA76),1-PERCENTRANK(AA$4:AA$91,AA76))*100,"")</f>
        <v>16.300000000000004</v>
      </c>
      <c r="BA76" s="51">
        <f>IFERROR(IF('3 — Weights'!$E$21=1,PERCENTRANK(AB$4:AB$91,AB76),1-PERCENTRANK(AB$4:AB$91,AB76))*100,"")</f>
        <v>98.8</v>
      </c>
      <c r="BB76" s="51">
        <f>IFERROR(IF('3 — Weights'!$E$22=1,PERCENTRANK(AC$4:AC$91,AC76),1-PERCENTRANK(AC$4:AC$91,AC76))*100,"")</f>
        <v>0</v>
      </c>
      <c r="BC76" s="51">
        <f>IFERROR(IF('3 — Weights'!$E$23=1,PERCENTRANK(AD$4:AD$91,AD76),1-PERCENTRANK(AD$4:AD$91,AD76))*100,"")</f>
        <v>5.8000000000000052</v>
      </c>
      <c r="BD76" s="51">
        <f>IFERROR(IF('3 — Weights'!$E$24=1,PERCENTRANK(AE$4:AE$91,AE76),1-PERCENTRANK(AE$4:AE$91,AE76))*100,"")</f>
        <v>1.2000000000000011</v>
      </c>
      <c r="BE76" s="51">
        <f>IFERROR(IF('3 — Weights'!$E$25=1,PERCENTRANK(AF$4:AF$91,AF76),1-PERCENTRANK(AF$4:AF$91,AF76))*100,"")</f>
        <v>1.2000000000000011</v>
      </c>
      <c r="BF76" s="52" cm="1">
        <f t="array" ref="BF76">IFERROR(SUMPRODUCT(TRANSPOSE(AH76:BE76), [1]!Table2[Weight
Claude]),"")</f>
        <v>40.320000000000007</v>
      </c>
      <c r="BG76" s="53" cm="1">
        <f t="array" ref="BG76">IFERROR(SUMPRODUCT(TRANSPOSE(AH76:BE76), [1]!Table2[Weight
Cape IMC]),"")</f>
        <v>40.320000000000007</v>
      </c>
    </row>
    <row r="77" spans="1:59" ht="22.5" customHeight="1" x14ac:dyDescent="0.25">
      <c r="A77" s="17">
        <f t="shared" si="1"/>
        <v>73</v>
      </c>
      <c r="B77" s="18" t="s">
        <v>225</v>
      </c>
      <c r="C77" s="18" t="s">
        <v>226</v>
      </c>
      <c r="D77" s="18" t="str">
        <f t="array" ref="D77">IFERROR(_xll.FDS($B77,"FR_RBICS_NAME_CURR(""IND"")"), "")</f>
        <v>Finance Industry Software</v>
      </c>
      <c r="E77" s="18" t="str">
        <f t="array" ref="E77">PROPER(IFERROR(_xll.FDS($B77,"P_DCOUNTRY"), ""))</f>
        <v>United States</v>
      </c>
      <c r="F77" s="19">
        <f t="array" ref="F77">IFERROR(_xll.FDS($B77,"FCS_EV_DAILY(MV,NOW,,,USD,M)"), "")</f>
        <v>17792.96534911</v>
      </c>
      <c r="G77" s="19">
        <f t="array" ref="G77">IFERROR(_xll.FDS($B77,"AVG(P_VOLUME_FRQ(-1AM,NOW,D,,6))*P_PRICE_AVG(-1AM,NOW,,USD)"), "")</f>
        <v>201.779776498133</v>
      </c>
      <c r="H77" s="20">
        <f t="array" ref="H77">IFERROR(_xll.FDS($B77,"OS_SEC_FLT_PCT(0D,,MTD,SEC)")/100, "")</f>
        <v>0.86245500000000008</v>
      </c>
      <c r="I77" s="19">
        <f t="array" ref="I77">IFERROR(_xll.FDS($B77,"FE_ACTUAL(ACTUAL,SALES,ANN_ROLL,0,,,,'CURRENCY=USD')"), "")</f>
        <v>6276.2</v>
      </c>
      <c r="J77" s="19">
        <f t="array" ref="J77">IFERROR(_xll.FDS($B77,"FE_ACTUAL(ACTUAL,EPS,ANN_ROLL,0,,,,'CURRENCY=USD')"), "")</f>
        <v>6.14</v>
      </c>
      <c r="K77" s="20">
        <f t="array" ref="K77">IFERROR(_xll.FDS($B77,"POW(FE_ESTIMATE(SALES,MEAN,STMA,,NOW,,,'CURRENCY=USD')/FE_ESTIMATE(SALES,MEAN,LTMA,,NOW,,,'CURRENCY=USD'),0.5)-1"), "")</f>
        <v>5.80041587819966E-2</v>
      </c>
      <c r="L77" s="20">
        <f t="array" ref="L77">IFERROR(_xll.FDS($B77,"POW(FE_ESTIMATE(EPS,MEAN,STMA,,NOW,,,'CURRENCY=USD')/FE_ESTIMATE(EPS,MEAN,LTMA,,NOW,,,'CURRENCY=USD'),0.5)-1"), "")</f>
        <v>9.7538290903784297E-2</v>
      </c>
      <c r="M77" s="21">
        <f t="array" ref="M77">IFERROR(_xll.FDS($B77,"FF_GROSS_MGN(LTM_R,0)"), "")</f>
        <v>48.174484232007899</v>
      </c>
      <c r="N77" s="21">
        <f t="array" ref="N77">IFERROR(_xll.FDS($B77,"FF_EBITDA_OPER_MGN(LTM_R,0)"), "")</f>
        <v>34.812346545071897</v>
      </c>
      <c r="O77" s="21">
        <f t="array" ref="O77">IFERROR(_xll.FDS($B77,"FF_NET_MGN(LTM_R,0)"), "")</f>
        <v>12.705270877841899</v>
      </c>
      <c r="P77" s="22">
        <f t="array" ref="P77">IFERROR(_xll.FDS($B77,"FE_VALUATION(NETDEBT_EBITDA,MEAN,NTMA,,NOW,,,'')"), "")</f>
        <v>2.2352137999999999</v>
      </c>
      <c r="Q77" s="23">
        <f t="array" ref="Q77">IFERROR(_xll.FDS($B77,"FE_VALUATION(MCAP_FCF,MEAN,NTMA,,NOW,,,'')"), "")</f>
        <v>9.5399919999999998</v>
      </c>
      <c r="R77" s="23">
        <f t="array" ref="R77">IFERROR(_xll.FDS($B77,"FE_VALUATION(DIV_YLD,MEAN,NTMA,,NOW,,,'')"), "")</f>
        <v>1.5615114000000001</v>
      </c>
      <c r="S77" s="21">
        <f t="array" ref="S77">IFERROR(_xll.FDS($B77,"FE_VALUATION(ROE,MEAN,NTMA,,0,,,'')" ), "")</f>
        <v>23.502134000000002</v>
      </c>
      <c r="T77" s="21">
        <f t="array" ref="T77">IFERROR(_xll.FDS($B77,"FE_VALUATION(ROIC,MEAN,NTMA,,0,,,'')" ), "")</f>
        <v>12.625287999999999</v>
      </c>
      <c r="U77" s="22">
        <f t="array" ref="U77">IFERROR(((_xll.FDS($B77,"FE_ACTUAL(ACTUAL,SALES,ANN_ROLL,0,,,,'CURRENCY=USD')")/_xll.FDS($B77,"FE_ACTUAL(ACTUAL,SALES,ANN_ROLL,-1,,,,'CURRENCY=USD')")-1)*100)+(_xll.FDS($B77,"FE_VALUATION(EBITDA_MARGIN,MEAN,ANN_ROLL,0,NOW,,,'')")  ), "")</f>
        <v>45.908484841565155</v>
      </c>
      <c r="V77" s="24">
        <f t="array" ref="V77">IFERROR(_xll.FDS($B77,"FE_VALUATION(PE,MEAN,NTMA,,0,,,'')" ), "")</f>
        <v>10.124228499999999</v>
      </c>
      <c r="W77" s="24">
        <f t="array" ref="W77">IFERROR(_xll.FDS($B77,"FE_VALUATION(P_SALESPS,MEAN,NTMA,,0,,,'')" ), "")</f>
        <v>2.5367755999999999</v>
      </c>
      <c r="X77" s="24">
        <f t="array" ref="X77">IFERROR(_xll.FDS($B77,"FE_VALUATION(FFEV_SALES,MEAN,NTMA,,0,,,'')" ), "")</f>
        <v>3.6997662</v>
      </c>
      <c r="Y77" s="24">
        <f t="array" ref="Y77">IFERROR(_xll.FDS($B77,"FE_VALUATION(FFEV_EBITDA,MEAN,NTMA,,0,,,'')" ), "")</f>
        <v>9.2420089999999995</v>
      </c>
      <c r="Z77" s="20">
        <f t="array" ref="Z77">IFERROR(_xll.FDS($B77,"PERCENT_CHANGE(FE_VALUATION(PE,MEAN,NTMA,,0,,,''),MAX(FE_VALUATION(PE,MEAN,NTMA,,-1AY,0,,'')))")/100,"")</f>
        <v>-0.32326363119422197</v>
      </c>
      <c r="AA77" s="20">
        <f t="array" ref="AA77">IFERROR(_xll.FDS($B77,"PERCENT_CHANGE(FE_VALUATION(FFEV_EBITDA,MEAN,NTMA,,0,,,''),MAX(FE_VALUATION(FFEV_EBITDA,MEAN,NTMA,,-1AY,0,,'')))")/100,"")</f>
        <v>-0.16770329921298402</v>
      </c>
      <c r="AB77" s="20">
        <f t="array" ref="AB77">IFERROR(_xll.FDS($B77,"FG_PRICE(0,,,USD)/P_PRICE_HIGH(-1AY,0,USD,,,""PRICE"",""INTRA"")")-1, "")</f>
        <v>-0.22729768310091103</v>
      </c>
      <c r="AC77" s="20">
        <f t="array" ref="AC77">IFERROR(_xll.FDS($B77,"RTP_PRICE_TARGET(USD)/FG_PRICE(0,,,USD)")-1, "")</f>
        <v>0.42283643598123999</v>
      </c>
      <c r="AD77" s="25">
        <f t="array" ref="AD77">IFERROR(_xll.FDS($B77,"FG_PRICE(0,,,USD)/FG_PRICE_MAVG(0,,,USD,50)")-1, "")</f>
        <v>-0.14681519704361801</v>
      </c>
      <c r="AE77" s="25">
        <f t="array" ref="AE77">IFERROR(_xll.FDS($B77,"FG_PRICE(0,,,USD)/FG_PRICE_MAVG(0,,,USD,100)")-1, "")</f>
        <v>-0.15725661099075305</v>
      </c>
      <c r="AF77" s="25">
        <f t="array" ref="AF77">IFERROR(_xll.FDS($B77,"FG_PRICE(0,,,USD)/FG_PRICE_MAVG(0,,,USD,200)")-1, "")</f>
        <v>-0.16107542572113898</v>
      </c>
      <c r="AG77" s="26" t="str">
        <f t="array" ref="AG77">IFERROR(_xll.FDS($B77,"FE_RATING(MEAN,TEXTONLY,0,NOW,,,'')"), "")</f>
        <v>Overweight</v>
      </c>
      <c r="AH77" s="50">
        <f>IFERROR(IF('3 — Weights'!$E$2=1,PERCENTRANK(I$4:I$91,I77),1-PERCENTRANK(I$4:I$91,I77))*100,"")</f>
        <v>83.899999999999991</v>
      </c>
      <c r="AI77" s="51">
        <f>IFERROR(IF('3 — Weights'!$E$3=1,PERCENTRANK(J$4:J$91,J77),1-PERCENTRANK(J$4:J$91,J77))*100,"")</f>
        <v>75.8</v>
      </c>
      <c r="AJ77" s="51">
        <f>IFERROR(IF('3 — Weights'!$E$4=1,PERCENTRANK(K$4:K$91,K77),1-PERCENTRANK(K$4:K$91,K77))*100,"")</f>
        <v>8</v>
      </c>
      <c r="AK77" s="51">
        <f>IFERROR(IF('3 — Weights'!$E$5=1,PERCENTRANK(L$4:L$91,L77),1-PERCENTRANK(L$4:L$91,L77))*100,"")</f>
        <v>19</v>
      </c>
      <c r="AL77" s="51">
        <f>IFERROR(IF('3 — Weights'!$E$6=1,PERCENTRANK(M$4:M$91,M77),1-PERCENTRANK(M$4:M$91,M77))*100,"")</f>
        <v>10.9</v>
      </c>
      <c r="AM77" s="51">
        <f>IFERROR(IF('3 — Weights'!$E$7=1,PERCENTRANK(N$4:N$91,N77),1-PERCENTRANK(N$4:N$91,N77))*100,"")</f>
        <v>81.8</v>
      </c>
      <c r="AN77" s="51">
        <f>IFERROR(IF('3 — Weights'!$E$8=1,PERCENTRANK(O$4:O$91,O77),1-PERCENTRANK(O$4:O$91,O77))*100,"")</f>
        <v>55.400000000000006</v>
      </c>
      <c r="AO77" s="51">
        <f>IFERROR(IF('3 — Weights'!$E$9=1,PERCENTRANK(P$4:P$91,P77),1-PERCENTRANK(P$4:P$91,P77))*100,"")</f>
        <v>6.100000000000005</v>
      </c>
      <c r="AP77" s="51">
        <f>IFERROR(IF('3 — Weights'!$E$10=1,PERCENTRANK(Q$4:Q$91,Q77),1-PERCENTRANK(Q$4:Q$91,Q77))*100,"")</f>
        <v>92.800000000000011</v>
      </c>
      <c r="AQ77" s="51">
        <f>IFERROR(IF('3 — Weights'!$E$11=1,PERCENTRANK(R$4:R$91,R77),1-PERCENTRANK(R$4:R$91,R77))*100,"")</f>
        <v>88.4</v>
      </c>
      <c r="AR77" s="51">
        <f>IFERROR(IF('3 — Weights'!$E$12=1,PERCENTRANK(S$4:S$91,S77),1-PERCENTRANK(S$4:S$91,S77))*100,"")</f>
        <v>54.300000000000004</v>
      </c>
      <c r="AS77" s="51">
        <f>IFERROR(IF('3 — Weights'!$E$13=1,PERCENTRANK(T$4:T$91,T77),1-PERCENTRANK(T$4:T$91,T77))*100,"")</f>
        <v>31.900000000000002</v>
      </c>
      <c r="AT77" s="51">
        <f>IFERROR(IF('3 — Weights'!$E$14=1,PERCENTRANK(U$4:U$91,U77),1-PERCENTRANK(U$4:U$91,U77))*100,"")</f>
        <v>51.2</v>
      </c>
      <c r="AU77" s="51">
        <f>IFERROR(IF('3 — Weights'!$E$15=1,PERCENTRANK(V$4:V$91,V77),1-PERCENTRANK(V$4:V$91,V77))*100,"")</f>
        <v>94.3</v>
      </c>
      <c r="AV77" s="51">
        <f>IFERROR(IF('3 — Weights'!$E$16=1,PERCENTRANK(W$4:W$91,W77),1-PERCENTRANK(W$4:W$91,W77))*100,"")</f>
        <v>85.1</v>
      </c>
      <c r="AW77" s="51">
        <f>IFERROR(IF('3 — Weights'!$E$17=1,PERCENTRANK(X$4:X$91,X77),1-PERCENTRANK(X$4:X$91,X77))*100,"")</f>
        <v>63.3</v>
      </c>
      <c r="AX77" s="51">
        <f>IFERROR(IF('3 — Weights'!$E$18=1,PERCENTRANK(Y$4:Y$91,Y77),1-PERCENTRANK(Y$4:Y$91,Y77))*100,"")</f>
        <v>81.400000000000006</v>
      </c>
      <c r="AY77" s="51">
        <f>IFERROR(IF('3 — Weights'!$E$18=1,PERCENTRANK(Z$4:Z$91,Z77),1-PERCENTRANK(Z$4:Z$91,Z77))*100,"")</f>
        <v>12.7</v>
      </c>
      <c r="AZ77" s="51">
        <f>IFERROR(IF('3 — Weights'!$E$18=1,PERCENTRANK(AA$4:AA$91,AA77),1-PERCENTRANK(AA$4:AA$91,AA77))*100,"")</f>
        <v>1.2000000000000011</v>
      </c>
      <c r="BA77" s="51">
        <f>IFERROR(IF('3 — Weights'!$E$21=1,PERCENTRANK(AB$4:AB$91,AB77),1-PERCENTRANK(AB$4:AB$91,AB77))*100,"")</f>
        <v>93.100000000000009</v>
      </c>
      <c r="BB77" s="51">
        <f>IFERROR(IF('3 — Weights'!$E$22=1,PERCENTRANK(AC$4:AC$91,AC77),1-PERCENTRANK(AC$4:AC$91,AC77))*100,"")</f>
        <v>34.4</v>
      </c>
      <c r="BC77" s="51">
        <f>IFERROR(IF('3 — Weights'!$E$23=1,PERCENTRANK(AD$4:AD$91,AD77),1-PERCENTRANK(AD$4:AD$91,AD77))*100,"")</f>
        <v>32.199999999999996</v>
      </c>
      <c r="BD77" s="51">
        <f>IFERROR(IF('3 — Weights'!$E$24=1,PERCENTRANK(AE$4:AE$91,AE77),1-PERCENTRANK(AE$4:AE$91,AE77))*100,"")</f>
        <v>25.3</v>
      </c>
      <c r="BE77" s="51">
        <f>IFERROR(IF('3 — Weights'!$E$25=1,PERCENTRANK(AF$4:AF$91,AF77),1-PERCENTRANK(AF$4:AF$91,AF77))*100,"")</f>
        <v>21.9</v>
      </c>
      <c r="BF77" s="52" cm="1">
        <f t="array" ref="BF77">IFERROR(SUMPRODUCT(TRANSPOSE(AH77:BE77), [1]!Table2[Weight
Claude]),"")</f>
        <v>40.17</v>
      </c>
      <c r="BG77" s="53" cm="1">
        <f t="array" ref="BG77">IFERROR(SUMPRODUCT(TRANSPOSE(AH77:BE77), [1]!Table2[Weight
Cape IMC]),"")</f>
        <v>40.17</v>
      </c>
    </row>
    <row r="78" spans="1:59" ht="22.5" customHeight="1" x14ac:dyDescent="0.25">
      <c r="A78" s="17">
        <f t="shared" si="1"/>
        <v>75</v>
      </c>
      <c r="B78" s="18" t="s">
        <v>227</v>
      </c>
      <c r="C78" s="18" t="s">
        <v>228</v>
      </c>
      <c r="D78" s="18" t="str">
        <f t="array" ref="D78">IFERROR(_xll.FDS($B78,"FR_RBICS_NAME_CURR(""IND"")"), "")</f>
        <v>Enterprise Resource Planning Software</v>
      </c>
      <c r="E78" s="18" t="str">
        <f t="array" ref="E78">PROPER(IFERROR(_xll.FDS($B78,"P_DCOUNTRY"), ""))</f>
        <v>United States</v>
      </c>
      <c r="F78" s="19">
        <f t="array" ref="F78">IFERROR(_xll.FDS($B78,"FCS_EV_DAILY(MV,NOW,,,USD,M)"), "")</f>
        <v>4157.0208429200002</v>
      </c>
      <c r="G78" s="19">
        <f t="array" ref="G78">IFERROR(_xll.FDS($B78,"AVG(P_VOLUME_FRQ(-1AM,NOW,D,,6))*P_PRICE_AVG(-1AM,NOW,,USD)"), "")</f>
        <v>34.412786882257201</v>
      </c>
      <c r="H78" s="20">
        <f t="array" ref="H78">IFERROR(_xll.FDS($B78,"OS_SEC_FLT_PCT(0D,,MTD,SEC)")/100, "")</f>
        <v>0.9838849999999999</v>
      </c>
      <c r="I78" s="19">
        <f t="array" ref="I78">IFERROR(_xll.FDS($B78,"FE_ACTUAL(ACTUAL,SALES,ANN_ROLL,0,,,,'CURRENCY=USD')"), "")</f>
        <v>1594.288</v>
      </c>
      <c r="J78" s="19">
        <f t="array" ref="J78">IFERROR(_xll.FDS($B78,"FE_ACTUAL(ACTUAL,EPS,ANN_ROLL,0,,,,'CURRENCY=USD')"), "")</f>
        <v>1.91</v>
      </c>
      <c r="K78" s="20">
        <f t="array" ref="K78">IFERROR(_xll.FDS($B78,"POW(FE_ESTIMATE(SALES,MEAN,STMA,,NOW,,,'CURRENCY=USD')/FE_ESTIMATE(SALES,MEAN,LTMA,,NOW,,,'CURRENCY=USD'),0.5)-1"), "")</f>
        <v>6.6111110532105694E-2</v>
      </c>
      <c r="L78" s="20">
        <f t="array" ref="L78">IFERROR(_xll.FDS($B78,"POW(FE_ESTIMATE(EPS,MEAN,STMA,,NOW,,,'CURRENCY=USD')/FE_ESTIMATE(EPS,MEAN,LTMA,,NOW,,,'CURRENCY=USD'),0.5)-1"), "")</f>
        <v>9.5339445103662906E-2</v>
      </c>
      <c r="M78" s="21">
        <f t="array" ref="M78">IFERROR(_xll.FDS($B78,"FF_GROSS_MGN(LTM_R,0)"), "")</f>
        <v>44.092547452085803</v>
      </c>
      <c r="N78" s="21">
        <f t="array" ref="N78">IFERROR(_xll.FDS($B78,"FF_EBITDA_OPER_MGN(LTM_R,0)"), "")</f>
        <v>25.962038331350101</v>
      </c>
      <c r="O78" s="21">
        <f t="array" ref="O78">IFERROR(_xll.FDS($B78,"FF_NET_MGN(LTM_R,0)"), "")</f>
        <v>15.0689687041508</v>
      </c>
      <c r="P78" s="22" t="str">
        <f t="array" ref="P78">IFERROR(_xll.FDS($B78,"FE_VALUATION(NETDEBT_EBITDA,MEAN,NTMA,,NOW,,,'')"), "")</f>
        <v/>
      </c>
      <c r="Q78" s="23">
        <f t="array" ref="Q78">IFERROR(_xll.FDS($B78,"FE_VALUATION(MCAP_FCF,MEAN,NTMA,,NOW,,,'')"), "")</f>
        <v>8.8187300000000004</v>
      </c>
      <c r="R78" s="23" t="str">
        <f t="array" ref="R78">IFERROR(_xll.FDS($B78,"FE_VALUATION(DIV_YLD,MEAN,NTMA,,NOW,,,'')"), "")</f>
        <v/>
      </c>
      <c r="S78" s="21" t="str">
        <f t="array" ref="S78">IFERROR(_xll.FDS($B78,"FE_VALUATION(ROE,MEAN,NTMA,,0,,,'')" ), "")</f>
        <v/>
      </c>
      <c r="T78" s="21" t="str">
        <f t="array" ref="T78">IFERROR(_xll.FDS($B78,"FE_VALUATION(ROIC,MEAN,NTMA,,0,,,'')" ), "")</f>
        <v/>
      </c>
      <c r="U78" s="22">
        <f t="array" ref="U78">IFERROR(((_xll.FDS($B78,"FE_ACTUAL(ACTUAL,SALES,ANN_ROLL,0,,,,'CURRENCY=USD')")/_xll.FDS($B78,"FE_ACTUAL(ACTUAL,SALES,ANN_ROLL,-1,,,,'CURRENCY=USD')")-1)*100)+(_xll.FDS($B78,"FE_VALUATION(EBITDA_MARGIN,MEAN,ANN_ROLL,0,NOW,,,'')")  ), "")</f>
        <v>38.96621382344712</v>
      </c>
      <c r="V78" s="24">
        <f t="array" ref="V78">IFERROR(_xll.FDS($B78,"FE_VALUATION(PE,MEAN,NTMA,,0,,,'')" ), "")</f>
        <v>15.068944999999999</v>
      </c>
      <c r="W78" s="24">
        <f t="array" ref="W78">IFERROR(_xll.FDS($B78,"FE_VALUATION(P_SALESPS,MEAN,NTMA,,0,,,'')" ), "")</f>
        <v>2.1392440000000001</v>
      </c>
      <c r="X78" s="24">
        <f t="array" ref="X78">IFERROR(_xll.FDS($B78,"FE_VALUATION(FFEV_SALES,MEAN,NTMA,,0,,,'')" ), "")</f>
        <v>2.5361083</v>
      </c>
      <c r="Y78" s="24">
        <f t="array" ref="Y78">IFERROR(_xll.FDS($B78,"FE_VALUATION(FFEV_EBITDA,MEAN,NTMA,,0,,,'')" ), "")</f>
        <v>8.738213</v>
      </c>
      <c r="Z78" s="20">
        <f t="array" ref="Z78">IFERROR(_xll.FDS($B78,"PERCENT_CHANGE(FE_VALUATION(PE,MEAN,NTMA,,0,,,''),MAX(FE_VALUATION(PE,MEAN,NTMA,,-1AY,0,,'')))")/100,"")</f>
        <v>-0.43705363203533304</v>
      </c>
      <c r="AA78" s="20">
        <f t="array" ref="AA78">IFERROR(_xll.FDS($B78,"PERCENT_CHANGE(FE_VALUATION(FFEV_EBITDA,MEAN,NTMA,,0,,,''),MAX(FE_VALUATION(FFEV_EBITDA,MEAN,NTMA,,-1AY,0,,'')))")/100,"")</f>
        <v>-0.37050665774918201</v>
      </c>
      <c r="AB78" s="20">
        <f t="array" ref="AB78">IFERROR(_xll.FDS($B78,"FG_PRICE(0,,,USD)/P_PRICE_HIGH(-1AY,0,USD,,,""PRICE"",""INTRA"")")-1, "")</f>
        <v>-0.32782937736498097</v>
      </c>
      <c r="AC78" s="20">
        <f t="array" ref="AC78">IFERROR(_xll.FDS($B78,"RTP_PRICE_TARGET(USD)/FG_PRICE(0,,,USD)")-1, "")</f>
        <v>0.61719549641760008</v>
      </c>
      <c r="AD78" s="25">
        <f t="array" ref="AD78">IFERROR(_xll.FDS($B78,"FG_PRICE(0,,,USD)/FG_PRICE_MAVG(0,,,USD,50)")-1, "")</f>
        <v>-0.11930409699373501</v>
      </c>
      <c r="AE78" s="25">
        <f t="array" ref="AE78">IFERROR(_xll.FDS($B78,"FG_PRICE(0,,,USD)/FG_PRICE_MAVG(0,,,USD,100)")-1, "")</f>
        <v>-0.15951476387160901</v>
      </c>
      <c r="AF78" s="25">
        <f t="array" ref="AF78">IFERROR(_xll.FDS($B78,"FG_PRICE(0,,,USD)/FG_PRICE_MAVG(0,,,USD,200)")-1, "")</f>
        <v>-0.16461052477443905</v>
      </c>
      <c r="AG78" s="26" t="str">
        <f t="array" ref="AG78">IFERROR(_xll.FDS($B78,"FE_RATING(MEAN,TEXTONLY,0,NOW,,,'')"), "")</f>
        <v>Buy</v>
      </c>
      <c r="AH78" s="50">
        <f>IFERROR(IF('3 — Weights'!$E$2=1,PERCENTRANK(I$4:I$91,I78),1-PERCENTRANK(I$4:I$91,I78))*100,"")</f>
        <v>49.4</v>
      </c>
      <c r="AI78" s="51">
        <f>IFERROR(IF('3 — Weights'!$E$3=1,PERCENTRANK(J$4:J$91,J78),1-PERCENTRANK(J$4:J$91,J78))*100,"")</f>
        <v>44.800000000000004</v>
      </c>
      <c r="AJ78" s="51">
        <f>IFERROR(IF('3 — Weights'!$E$4=1,PERCENTRANK(K$4:K$91,K78),1-PERCENTRANK(K$4:K$91,K78))*100,"")</f>
        <v>11.4</v>
      </c>
      <c r="AK78" s="51">
        <f>IFERROR(IF('3 — Weights'!$E$5=1,PERCENTRANK(L$4:L$91,L78),1-PERCENTRANK(L$4:L$91,L78))*100,"")</f>
        <v>16.600000000000001</v>
      </c>
      <c r="AL78" s="51">
        <f>IFERROR(IF('3 — Weights'!$E$6=1,PERCENTRANK(M$4:M$91,M78),1-PERCENTRANK(M$4:M$91,M78))*100,"")</f>
        <v>8.5</v>
      </c>
      <c r="AM78" s="51">
        <f>IFERROR(IF('3 — Weights'!$E$7=1,PERCENTRANK(N$4:N$91,N78),1-PERCENTRANK(N$4:N$91,N78))*100,"")</f>
        <v>64.900000000000006</v>
      </c>
      <c r="AN78" s="51">
        <f>IFERROR(IF('3 — Weights'!$E$8=1,PERCENTRANK(O$4:O$91,O78),1-PERCENTRANK(O$4:O$91,O78))*100,"")</f>
        <v>65</v>
      </c>
      <c r="AO78" s="51" t="str">
        <f>IFERROR(IF('3 — Weights'!$E$9=1,PERCENTRANK(P$4:P$91,P78),1-PERCENTRANK(P$4:P$91,P78))*100,"")</f>
        <v/>
      </c>
      <c r="AP78" s="51">
        <f>IFERROR(IF('3 — Weights'!$E$10=1,PERCENTRANK(Q$4:Q$91,Q78),1-PERCENTRANK(Q$4:Q$91,Q78))*100,"")</f>
        <v>84.5</v>
      </c>
      <c r="AQ78" s="51" t="str">
        <f>IFERROR(IF('3 — Weights'!$E$11=1,PERCENTRANK(R$4:R$91,R78),1-PERCENTRANK(R$4:R$91,R78))*100,"")</f>
        <v/>
      </c>
      <c r="AR78" s="51" t="str">
        <f>IFERROR(IF('3 — Weights'!$E$12=1,PERCENTRANK(S$4:S$91,S78),1-PERCENTRANK(S$4:S$91,S78))*100,"")</f>
        <v/>
      </c>
      <c r="AS78" s="51" t="str">
        <f>IFERROR(IF('3 — Weights'!$E$13=1,PERCENTRANK(T$4:T$91,T78),1-PERCENTRANK(T$4:T$91,T78))*100,"")</f>
        <v/>
      </c>
      <c r="AT78" s="51">
        <f>IFERROR(IF('3 — Weights'!$E$14=1,PERCENTRANK(U$4:U$91,U78),1-PERCENTRANK(U$4:U$91,U78))*100,"")</f>
        <v>36.5</v>
      </c>
      <c r="AU78" s="51">
        <f>IFERROR(IF('3 — Weights'!$E$15=1,PERCENTRANK(V$4:V$91,V78),1-PERCENTRANK(V$4:V$91,V78))*100,"")</f>
        <v>75.900000000000006</v>
      </c>
      <c r="AV78" s="51">
        <f>IFERROR(IF('3 — Weights'!$E$16=1,PERCENTRANK(W$4:W$91,W78),1-PERCENTRANK(W$4:W$91,W78))*100,"")</f>
        <v>92</v>
      </c>
      <c r="AW78" s="51">
        <f>IFERROR(IF('3 — Weights'!$E$17=1,PERCENTRANK(X$4:X$91,X78),1-PERCENTRANK(X$4:X$91,X78))*100,"")</f>
        <v>87.4</v>
      </c>
      <c r="AX78" s="51">
        <f>IFERROR(IF('3 — Weights'!$E$18=1,PERCENTRANK(Y$4:Y$91,Y78),1-PERCENTRANK(Y$4:Y$91,Y78))*100,"")</f>
        <v>86.1</v>
      </c>
      <c r="AY78" s="51">
        <f>IFERROR(IF('3 — Weights'!$E$18=1,PERCENTRANK(Z$4:Z$91,Z78),1-PERCENTRANK(Z$4:Z$91,Z78))*100,"")</f>
        <v>26.5</v>
      </c>
      <c r="AZ78" s="51">
        <f>IFERROR(IF('3 — Weights'!$E$18=1,PERCENTRANK(AA$4:AA$91,AA78),1-PERCENTRANK(AA$4:AA$91,AA78))*100,"")</f>
        <v>18.700000000000006</v>
      </c>
      <c r="BA78" s="51">
        <f>IFERROR(IF('3 — Weights'!$E$21=1,PERCENTRANK(AB$4:AB$91,AB78),1-PERCENTRANK(AB$4:AB$91,AB78))*100,"")</f>
        <v>74.7</v>
      </c>
      <c r="BB78" s="51">
        <f>IFERROR(IF('3 — Weights'!$E$22=1,PERCENTRANK(AC$4:AC$91,AC78),1-PERCENTRANK(AC$4:AC$91,AC78))*100,"")</f>
        <v>64.3</v>
      </c>
      <c r="BC78" s="51">
        <f>IFERROR(IF('3 — Weights'!$E$23=1,PERCENTRANK(AD$4:AD$91,AD78),1-PERCENTRANK(AD$4:AD$91,AD78))*100,"")</f>
        <v>26.5</v>
      </c>
      <c r="BD78" s="51">
        <f>IFERROR(IF('3 — Weights'!$E$24=1,PERCENTRANK(AE$4:AE$91,AE78),1-PERCENTRANK(AE$4:AE$91,AE78))*100,"")</f>
        <v>26.5</v>
      </c>
      <c r="BE78" s="51">
        <f>IFERROR(IF('3 — Weights'!$E$25=1,PERCENTRANK(AF$4:AF$91,AF78),1-PERCENTRANK(AF$4:AF$91,AF78))*100,"")</f>
        <v>23</v>
      </c>
      <c r="BF78" s="52" cm="1">
        <f t="array" ref="BF78">IFERROR(SUMPRODUCT(TRANSPOSE(AH78:BE78), [1]!Table2[Weight
Claude]),"")</f>
        <v>37.97</v>
      </c>
      <c r="BG78" s="53" cm="1">
        <f t="array" ref="BG78">IFERROR(SUMPRODUCT(TRANSPOSE(AH78:BE78), [1]!Table2[Weight
Cape IMC]),"")</f>
        <v>37.97</v>
      </c>
    </row>
    <row r="79" spans="1:59" ht="22.5" customHeight="1" x14ac:dyDescent="0.25">
      <c r="A79" s="17">
        <f t="shared" si="1"/>
        <v>76</v>
      </c>
      <c r="B79" s="18" t="s">
        <v>229</v>
      </c>
      <c r="C79" s="18" t="s">
        <v>230</v>
      </c>
      <c r="D79" s="18" t="str">
        <f t="array" ref="D79">IFERROR(_xll.FDS($B79,"FR_RBICS_NAME_CURR(""IND"")"), "")</f>
        <v>Design, Integration and Implementation Consulting</v>
      </c>
      <c r="E79" s="18" t="str">
        <f t="array" ref="E79">PROPER(IFERROR(_xll.FDS($B79,"P_DCOUNTRY"), ""))</f>
        <v>United States</v>
      </c>
      <c r="F79" s="19">
        <f t="array" ref="F79">IFERROR(_xll.FDS($B79,"FCS_EV_DAILY(MV,NOW,,,USD,M)"), "")</f>
        <v>7314.0494368999998</v>
      </c>
      <c r="G79" s="19">
        <f t="array" ref="G79">IFERROR(_xll.FDS($B79,"AVG(P_VOLUME_FRQ(-1AM,NOW,D,,6))*P_PRICE_AVG(-1AM,NOW,,USD)"), "")</f>
        <v>125.216768150595</v>
      </c>
      <c r="H79" s="20">
        <f t="array" ref="H79">IFERROR(_xll.FDS($B79,"OS_SEC_FLT_PCT(0D,,MTD,SEC)")/100, "")</f>
        <v>0.99073199999999995</v>
      </c>
      <c r="I79" s="19">
        <f t="array" ref="I79">IFERROR(_xll.FDS($B79,"FE_ACTUAL(ACTUAL,SALES,ANN_ROLL,0,,,,'CURRENCY=USD')"), "")</f>
        <v>4532.9129999999996</v>
      </c>
      <c r="J79" s="19">
        <f t="array" ref="J79">IFERROR(_xll.FDS($B79,"FE_ACTUAL(ACTUAL,EPS,ANN_ROLL,0,,,,'CURRENCY=USD')"), "")</f>
        <v>6.99</v>
      </c>
      <c r="K79" s="20">
        <f t="array" ref="K79">IFERROR(_xll.FDS($B79,"POW(FE_ESTIMATE(SALES,MEAN,STMA,,NOW,,,'CURRENCY=USD')/FE_ESTIMATE(SALES,MEAN,LTMA,,NOW,,,'CURRENCY=USD'),0.5)-1"), "")</f>
        <v>3.6898741440069403E-2</v>
      </c>
      <c r="L79" s="20">
        <f t="array" ref="L79">IFERROR(_xll.FDS($B79,"POW(FE_ESTIMATE(EPS,MEAN,STMA,,NOW,,,'CURRENCY=USD')/FE_ESTIMATE(EPS,MEAN,LTMA,,NOW,,,'CURRENCY=USD'),0.5)-1"), "")</f>
        <v>8.6335813641435596E-2</v>
      </c>
      <c r="M79" s="21">
        <f t="array" ref="M79">IFERROR(_xll.FDS($B79,"FF_GROSS_MGN(LTM_R,0)"), "")</f>
        <v>36.0796146881789</v>
      </c>
      <c r="N79" s="21">
        <f t="array" ref="N79">IFERROR(_xll.FDS($B79,"FF_EBITDA_OPER_MGN(LTM_R,0)"), "")</f>
        <v>22.041024982552099</v>
      </c>
      <c r="O79" s="21">
        <f t="array" ref="O79">IFERROR(_xll.FDS($B79,"FF_NET_MGN(LTM_R,0)"), "")</f>
        <v>12.302515899615599</v>
      </c>
      <c r="P79" s="22">
        <f t="array" ref="P79">IFERROR(_xll.FDS($B79,"FE_VALUATION(NETDEBT_EBITDA,MEAN,NTMA,,NOW,,,'')"), "")</f>
        <v>0.4145857</v>
      </c>
      <c r="Q79" s="23">
        <f t="array" ref="Q79">IFERROR(_xll.FDS($B79,"FE_VALUATION(MCAP_FCF,MEAN,NTMA,,NOW,,,'')"), "")</f>
        <v>9.9267299999999992</v>
      </c>
      <c r="R79" s="23">
        <f t="array" ref="R79">IFERROR(_xll.FDS($B79,"FE_VALUATION(DIV_YLD,MEAN,NTMA,,NOW,,,'')"), "")</f>
        <v>2.8645198000000001</v>
      </c>
      <c r="S79" s="21">
        <f t="array" ref="S79">IFERROR(_xll.FDS($B79,"FE_VALUATION(ROE,MEAN,NTMA,,0,,,'')" ), "")</f>
        <v>23.628893000000001</v>
      </c>
      <c r="T79" s="21" t="str">
        <f t="array" ref="T79">IFERROR(_xll.FDS($B79,"FE_VALUATION(ROIC,MEAN,NTMA,,0,,,'')" ), "")</f>
        <v/>
      </c>
      <c r="U79" s="22">
        <f t="array" ref="U79">IFERROR(((_xll.FDS($B79,"FE_ACTUAL(ACTUAL,SALES,ANN_ROLL,0,,,,'CURRENCY=USD')")/_xll.FDS($B79,"FE_ACTUAL(ACTUAL,SALES,ANN_ROLL,-1,,,,'CURRENCY=USD')")-1)*100)+(_xll.FDS($B79,"FE_VALUATION(EBITDA_MARGIN,MEAN,ANN_ROLL,0,NOW,,,'')")  ), "")</f>
        <v>15.552277358002984</v>
      </c>
      <c r="V79" s="24">
        <f t="array" ref="V79">IFERROR(_xll.FDS($B79,"FE_VALUATION(PE,MEAN,NTMA,,0,,,'')" ), "")</f>
        <v>8.7268600000000003</v>
      </c>
      <c r="W79" s="24">
        <f t="array" ref="W79">IFERROR(_xll.FDS($B79,"FE_VALUATION(P_SALESPS,MEAN,NTMA,,0,,,'')" ), "")</f>
        <v>1.5283306000000001</v>
      </c>
      <c r="X79" s="24">
        <f t="array" ref="X79">IFERROR(_xll.FDS($B79,"FE_VALUATION(FFEV_SALES,MEAN,NTMA,,0,,,'')" ), "")</f>
        <v>1.6640435</v>
      </c>
      <c r="Y79" s="24">
        <f t="array" ref="Y79">IFERROR(_xll.FDS($B79,"FE_VALUATION(FFEV_EBITDA,MEAN,NTMA,,0,,,'')" ), "")</f>
        <v>6.4737263</v>
      </c>
      <c r="Z79" s="20">
        <f t="array" ref="Z79">IFERROR(_xll.FDS($B79,"PERCENT_CHANGE(FE_VALUATION(PE,MEAN,NTMA,,0,,,''),MAX(FE_VALUATION(PE,MEAN,NTMA,,-1AY,0,,'')))")/100,"")</f>
        <v>-0.31240387524582702</v>
      </c>
      <c r="AA79" s="20">
        <f t="array" ref="AA79">IFERROR(_xll.FDS($B79,"PERCENT_CHANGE(FE_VALUATION(FFEV_EBITDA,MEAN,NTMA,,0,,,''),MAX(FE_VALUATION(FFEV_EBITDA,MEAN,NTMA,,-1AY,0,,'')))")/100,"")</f>
        <v>-0.32019542320122801</v>
      </c>
      <c r="AB79" s="20">
        <f t="array" ref="AB79">IFERROR(_xll.FDS($B79,"FG_PRICE(0,,,USD)/P_PRICE_HIGH(-1AY,0,USD,,,""PRICE"",""INTRA"")")-1, "")</f>
        <v>-0.29504170950813302</v>
      </c>
      <c r="AC79" s="20">
        <f t="array" ref="AC79">IFERROR(_xll.FDS($B79,"RTP_PRICE_TARGET(USD)/FG_PRICE(0,,,USD)")-1, "")</f>
        <v>0.41986321736544996</v>
      </c>
      <c r="AD79" s="25">
        <f t="array" ref="AD79">IFERROR(_xll.FDS($B79,"FG_PRICE(0,,,USD)/FG_PRICE_MAVG(0,,,USD,50)")-1, "")</f>
        <v>-0.14146326519671304</v>
      </c>
      <c r="AE79" s="25">
        <f t="array" ref="AE79">IFERROR(_xll.FDS($B79,"FG_PRICE(0,,,USD)/FG_PRICE_MAVG(0,,,USD,100)")-1, "")</f>
        <v>-0.15282470487100597</v>
      </c>
      <c r="AF79" s="25">
        <f t="array" ref="AF79">IFERROR(_xll.FDS($B79,"FG_PRICE(0,,,USD)/FG_PRICE_MAVG(0,,,USD,200)")-1, "")</f>
        <v>-0.19893877848525399</v>
      </c>
      <c r="AG79" s="26" t="str">
        <f t="array" ref="AG79">IFERROR(_xll.FDS($B79,"FE_RATING(MEAN,TEXTONLY,0,NOW,,,'')"), "")</f>
        <v>Overweight</v>
      </c>
      <c r="AH79" s="50">
        <f>IFERROR(IF('3 — Weights'!$E$2=1,PERCENTRANK(I$4:I$91,I79),1-PERCENTRANK(I$4:I$91,I79))*100,"")</f>
        <v>75.8</v>
      </c>
      <c r="AI79" s="51">
        <f>IFERROR(IF('3 — Weights'!$E$3=1,PERCENTRANK(J$4:J$91,J79),1-PERCENTRANK(J$4:J$91,J79))*100,"")</f>
        <v>78.100000000000009</v>
      </c>
      <c r="AJ79" s="51">
        <f>IFERROR(IF('3 — Weights'!$E$4=1,PERCENTRANK(K$4:K$91,K79),1-PERCENTRANK(K$4:K$91,K79))*100,"")</f>
        <v>3.4000000000000004</v>
      </c>
      <c r="AK79" s="51">
        <f>IFERROR(IF('3 — Weights'!$E$5=1,PERCENTRANK(L$4:L$91,L79),1-PERCENTRANK(L$4:L$91,L79))*100,"")</f>
        <v>9.5</v>
      </c>
      <c r="AL79" s="51">
        <f>IFERROR(IF('3 — Weights'!$E$6=1,PERCENTRANK(M$4:M$91,M79),1-PERCENTRANK(M$4:M$91,M79))*100,"")</f>
        <v>2.4</v>
      </c>
      <c r="AM79" s="51">
        <f>IFERROR(IF('3 — Weights'!$E$7=1,PERCENTRANK(N$4:N$91,N79),1-PERCENTRANK(N$4:N$91,N79))*100,"")</f>
        <v>55.800000000000004</v>
      </c>
      <c r="AN79" s="51">
        <f>IFERROR(IF('3 — Weights'!$E$8=1,PERCENTRANK(O$4:O$91,O79),1-PERCENTRANK(O$4:O$91,O79))*100,"")</f>
        <v>53</v>
      </c>
      <c r="AO79" s="51">
        <f>IFERROR(IF('3 — Weights'!$E$9=1,PERCENTRANK(P$4:P$91,P79),1-PERCENTRANK(P$4:P$91,P79))*100,"")</f>
        <v>22.9</v>
      </c>
      <c r="AP79" s="51">
        <f>IFERROR(IF('3 — Weights'!$E$10=1,PERCENTRANK(Q$4:Q$91,Q79),1-PERCENTRANK(Q$4:Q$91,Q79))*100,"")</f>
        <v>95.199999999999989</v>
      </c>
      <c r="AQ79" s="51">
        <f>IFERROR(IF('3 — Weights'!$E$11=1,PERCENTRANK(R$4:R$91,R79),1-PERCENTRANK(R$4:R$91,R79))*100,"")</f>
        <v>96.1</v>
      </c>
      <c r="AR79" s="51">
        <f>IFERROR(IF('3 — Weights'!$E$12=1,PERCENTRANK(S$4:S$91,S79),1-PERCENTRANK(S$4:S$91,S79))*100,"")</f>
        <v>55.500000000000007</v>
      </c>
      <c r="AS79" s="51" t="str">
        <f>IFERROR(IF('3 — Weights'!$E$13=1,PERCENTRANK(T$4:T$91,T79),1-PERCENTRANK(T$4:T$91,T79))*100,"")</f>
        <v/>
      </c>
      <c r="AT79" s="51">
        <f>IFERROR(IF('3 — Weights'!$E$14=1,PERCENTRANK(U$4:U$91,U79),1-PERCENTRANK(U$4:U$91,U79))*100,"")</f>
        <v>3.5999999999999996</v>
      </c>
      <c r="AU79" s="51">
        <f>IFERROR(IF('3 — Weights'!$E$15=1,PERCENTRANK(V$4:V$91,V79),1-PERCENTRANK(V$4:V$91,V79))*100,"")</f>
        <v>97.8</v>
      </c>
      <c r="AV79" s="51">
        <f>IFERROR(IF('3 — Weights'!$E$16=1,PERCENTRANK(W$4:W$91,W79),1-PERCENTRANK(W$4:W$91,W79))*100,"")</f>
        <v>97.8</v>
      </c>
      <c r="AW79" s="51">
        <f>IFERROR(IF('3 — Weights'!$E$17=1,PERCENTRANK(X$4:X$91,X79),1-PERCENTRANK(X$4:X$91,X79))*100,"")</f>
        <v>98.9</v>
      </c>
      <c r="AX79" s="51">
        <f>IFERROR(IF('3 — Weights'!$E$18=1,PERCENTRANK(Y$4:Y$91,Y79),1-PERCENTRANK(Y$4:Y$91,Y79))*100,"")</f>
        <v>96.6</v>
      </c>
      <c r="AY79" s="51">
        <f>IFERROR(IF('3 — Weights'!$E$18=1,PERCENTRANK(Z$4:Z$91,Z79),1-PERCENTRANK(Z$4:Z$91,Z79))*100,"")</f>
        <v>11.5</v>
      </c>
      <c r="AZ79" s="51">
        <f>IFERROR(IF('3 — Weights'!$E$18=1,PERCENTRANK(AA$4:AA$91,AA79),1-PERCENTRANK(AA$4:AA$91,AA79))*100,"")</f>
        <v>15.200000000000003</v>
      </c>
      <c r="BA79" s="51">
        <f>IFERROR(IF('3 — Weights'!$E$21=1,PERCENTRANK(AB$4:AB$91,AB79),1-PERCENTRANK(AB$4:AB$91,AB79))*100,"")</f>
        <v>81.599999999999994</v>
      </c>
      <c r="BB79" s="51">
        <f>IFERROR(IF('3 — Weights'!$E$22=1,PERCENTRANK(AC$4:AC$91,AC79),1-PERCENTRANK(AC$4:AC$91,AC79))*100,"")</f>
        <v>33.300000000000004</v>
      </c>
      <c r="BC79" s="51">
        <f>IFERROR(IF('3 — Weights'!$E$23=1,PERCENTRANK(AD$4:AD$91,AD79),1-PERCENTRANK(AD$4:AD$91,AD79))*100,"")</f>
        <v>31.100000000000005</v>
      </c>
      <c r="BD79" s="51">
        <f>IFERROR(IF('3 — Weights'!$E$24=1,PERCENTRANK(AE$4:AE$91,AE79),1-PERCENTRANK(AE$4:AE$91,AE79))*100,"")</f>
        <v>23</v>
      </c>
      <c r="BE79" s="51">
        <f>IFERROR(IF('3 — Weights'!$E$25=1,PERCENTRANK(AF$4:AF$91,AF79),1-PERCENTRANK(AF$4:AF$91,AF79))*100,"")</f>
        <v>26.5</v>
      </c>
      <c r="BF79" s="52" cm="1">
        <f t="array" ref="BF79">IFERROR(SUMPRODUCT(TRANSPOSE(AH79:BE79), [1]!Table2[Weight
Claude]),"")</f>
        <v>37.945000000000007</v>
      </c>
      <c r="BG79" s="53" cm="1">
        <f t="array" ref="BG79">IFERROR(SUMPRODUCT(TRANSPOSE(AH79:BE79), [1]!Table2[Weight
Cape IMC]),"")</f>
        <v>37.945000000000007</v>
      </c>
    </row>
    <row r="80" spans="1:59" ht="22.5" customHeight="1" x14ac:dyDescent="0.25">
      <c r="A80" s="17">
        <f t="shared" si="1"/>
        <v>77</v>
      </c>
      <c r="B80" s="18" t="s">
        <v>231</v>
      </c>
      <c r="C80" s="18" t="s">
        <v>232</v>
      </c>
      <c r="D80" s="18" t="str">
        <f t="array" ref="D80">IFERROR(_xll.FDS($B80,"FR_RBICS_NAME_CURR(""IND"")"), "")</f>
        <v>Hospitality Industry Software</v>
      </c>
      <c r="E80" s="18" t="str">
        <f t="array" ref="E80">PROPER(IFERROR(_xll.FDS($B80,"P_DCOUNTRY"), ""))</f>
        <v>United States</v>
      </c>
      <c r="F80" s="19">
        <f t="array" ref="F80">IFERROR(_xll.FDS($B80,"FCS_EV_DAILY(MV,NOW,,,USD,M)"), "")</f>
        <v>2071.0912865300002</v>
      </c>
      <c r="G80" s="19">
        <f t="array" ref="G80">IFERROR(_xll.FDS($B80,"AVG(P_VOLUME_FRQ(-1AM,NOW,D,,6))*P_PRICE_AVG(-1AM,NOW,,USD)"), "")</f>
        <v>40.946989161791997</v>
      </c>
      <c r="H80" s="20">
        <f t="array" ref="H80">IFERROR(_xll.FDS($B80,"OS_SEC_FLT_PCT(0D,,MTD,SEC)")/100, "")</f>
        <v>0.91465299999999994</v>
      </c>
      <c r="I80" s="19">
        <f t="array" ref="I80">IFERROR(_xll.FDS($B80,"FE_ACTUAL(ACTUAL,SALES,ANN_ROLL,0,,,,'CURRENCY=USD')"), "")</f>
        <v>275.62400000000002</v>
      </c>
      <c r="J80" s="19">
        <f t="array" ref="J80">IFERROR(_xll.FDS($B80,"FE_ACTUAL(ACTUAL,EPS,ANN_ROLL,0,,,,'CURRENCY=USD')"), "")</f>
        <v>1.55</v>
      </c>
      <c r="K80" s="20">
        <f t="array" ref="K80">IFERROR(_xll.FDS($B80,"POW(FE_ESTIMATE(SALES,MEAN,STMA,,NOW,,,'CURRENCY=USD')/FE_ESTIMATE(SALES,MEAN,LTMA,,NOW,,,'CURRENCY=USD'),0.5)-1"), "")</f>
        <v>0.14339197128543801</v>
      </c>
      <c r="L80" s="20">
        <f t="array" ref="L80">IFERROR(_xll.FDS($B80,"POW(FE_ESTIMATE(EPS,MEAN,STMA,,NOW,,,'CURRENCY=USD')/FE_ESTIMATE(EPS,MEAN,LTMA,,NOW,,,'CURRENCY=USD'),0.5)-1"), "")</f>
        <v>0.29194125253434</v>
      </c>
      <c r="M80" s="21">
        <f t="array" ref="M80">IFERROR(_xll.FDS($B80,"FF_GROSS_MGN(LTM_R,0)"), "")</f>
        <v>58.6886259158629</v>
      </c>
      <c r="N80" s="21">
        <f t="array" ref="N80">IFERROR(_xll.FDS($B80,"FF_EBITDA_OPER_MGN(LTM_R,0)"), "")</f>
        <v>12.121582817187999</v>
      </c>
      <c r="O80" s="21">
        <f t="array" ref="O80">IFERROR(_xll.FDS($B80,"FF_NET_MGN(LTM_R,0)"), "")</f>
        <v>9.7934560063869007</v>
      </c>
      <c r="P80" s="22">
        <f t="array" ref="P80">IFERROR(_xll.FDS($B80,"FE_VALUATION(NETDEBT_EBITDA,MEAN,NTMA,,NOW,,,'')"), "")</f>
        <v>-1.9759985</v>
      </c>
      <c r="Q80" s="23">
        <f t="array" ref="Q80">IFERROR(_xll.FDS($B80,"FE_VALUATION(MCAP_FCF,MEAN,NTMA,,NOW,,,'')"), "")</f>
        <v>3.5821301999999999</v>
      </c>
      <c r="R80" s="23" t="str">
        <f t="array" ref="R80">IFERROR(_xll.FDS($B80,"FE_VALUATION(DIV_YLD,MEAN,NTMA,,NOW,,,'')"), "")</f>
        <v/>
      </c>
      <c r="S80" s="21" t="str">
        <f t="array" ref="S80">IFERROR(_xll.FDS($B80,"FE_VALUATION(ROE,MEAN,NTMA,,0,,,'')" ), "")</f>
        <v/>
      </c>
      <c r="T80" s="21" t="str">
        <f t="array" ref="T80">IFERROR(_xll.FDS($B80,"FE_VALUATION(ROIC,MEAN,NTMA,,0,,,'')" ), "")</f>
        <v/>
      </c>
      <c r="U80" s="22">
        <f t="array" ref="U80">IFERROR(((_xll.FDS($B80,"FE_ACTUAL(ACTUAL,SALES,ANN_ROLL,0,,,,'CURRENCY=USD')")/_xll.FDS($B80,"FE_ACTUAL(ACTUAL,SALES,ANN_ROLL,-1,,,,'CURRENCY=USD')")-1)*100)+(_xll.FDS($B80,"FE_VALUATION(EBITDA_MARGIN,MEAN,ANN_ROLL,0,NOW,,,'')")  ), "")</f>
        <v>35.603299265067562</v>
      </c>
      <c r="V80" s="24">
        <f t="array" ref="V80">IFERROR(_xll.FDS($B80,"FE_VALUATION(PE,MEAN,NTMA,,0,,,'')" ), "")</f>
        <v>33.880386000000001</v>
      </c>
      <c r="W80" s="24">
        <f t="array" ref="W80">IFERROR(_xll.FDS($B80,"FE_VALUATION(P_SALESPS,MEAN,NTMA,,0,,,'')" ), "")</f>
        <v>5.6319080000000001</v>
      </c>
      <c r="X80" s="24">
        <f t="array" ref="X80">IFERROR(_xll.FDS($B80,"FE_VALUATION(FFEV_SALES,MEAN,NTMA,,0,,,'')" ), "")</f>
        <v>5.5277386000000002</v>
      </c>
      <c r="Y80" s="24">
        <f t="array" ref="Y80">IFERROR(_xll.FDS($B80,"FE_VALUATION(FFEV_EBITDA,MEAN,NTMA,,0,,,'')" ), "")</f>
        <v>25.218502000000001</v>
      </c>
      <c r="Z80" s="20">
        <f t="array" ref="Z80">IFERROR(_xll.FDS($B80,"PERCENT_CHANGE(FE_VALUATION(PE,MEAN,NTMA,,0,,,''),MAX(FE_VALUATION(PE,MEAN,NTMA,,-1AY,0,,'')))")/100,"")</f>
        <v>-0.52820028143340303</v>
      </c>
      <c r="AA80" s="20">
        <f t="array" ref="AA80">IFERROR(_xll.FDS($B80,"PERCENT_CHANGE(FE_VALUATION(FFEV_EBITDA,MEAN,NTMA,,0,,,''),MAX(FE_VALUATION(FFEV_EBITDA,MEAN,NTMA,,-1AY,0,,'')))")/100,"")</f>
        <v>-0.52964031424131497</v>
      </c>
      <c r="AB80" s="20">
        <f t="array" ref="AB80">IFERROR(_xll.FDS($B80,"FG_PRICE(0,,,USD)/P_PRICE_HIGH(-1AY,0,USD,,,""PRICE"",""INTRA"")")-1, "")</f>
        <v>-0.50450946643717698</v>
      </c>
      <c r="AC80" s="20">
        <f t="array" ref="AC80">IFERROR(_xll.FDS($B80,"RTP_PRICE_TARGET(USD)/FG_PRICE(0,,,USD)")-1, "")</f>
        <v>0.9174656106711101</v>
      </c>
      <c r="AD80" s="25">
        <f t="array" ref="AD80">IFERROR(_xll.FDS($B80,"FG_PRICE(0,,,USD)/FG_PRICE_MAVG(0,,,USD,50)")-1, "")</f>
        <v>-0.30631392162513604</v>
      </c>
      <c r="AE80" s="25">
        <f t="array" ref="AE80">IFERROR(_xll.FDS($B80,"FG_PRICE(0,,,USD)/FG_PRICE_MAVG(0,,,USD,100)")-1, "")</f>
        <v>-0.35668957478673602</v>
      </c>
      <c r="AF80" s="25">
        <f t="array" ref="AF80">IFERROR(_xll.FDS($B80,"FG_PRICE(0,,,USD)/FG_PRICE_MAVG(0,,,USD,200)")-1, "")</f>
        <v>-0.34564562714756897</v>
      </c>
      <c r="AG80" s="26" t="str">
        <f t="array" ref="AG80">IFERROR(_xll.FDS($B80,"FE_RATING(MEAN,TEXTONLY,0,NOW,,,'')"), "")</f>
        <v>Buy</v>
      </c>
      <c r="AH80" s="50">
        <f>IFERROR(IF('3 — Weights'!$E$2=1,PERCENTRANK(I$4:I$91,I80),1-PERCENTRANK(I$4:I$91,I80))*100,"")</f>
        <v>1.0999999999999999</v>
      </c>
      <c r="AI80" s="51">
        <f>IFERROR(IF('3 — Weights'!$E$3=1,PERCENTRANK(J$4:J$91,J80),1-PERCENTRANK(J$4:J$91,J80))*100,"")</f>
        <v>39</v>
      </c>
      <c r="AJ80" s="51">
        <f>IFERROR(IF('3 — Weights'!$E$4=1,PERCENTRANK(K$4:K$91,K80),1-PERCENTRANK(K$4:K$91,K80))*100,"")</f>
        <v>56.3</v>
      </c>
      <c r="AK80" s="51">
        <f>IFERROR(IF('3 — Weights'!$E$5=1,PERCENTRANK(L$4:L$91,L80),1-PERCENTRANK(L$4:L$91,L80))*100,"")</f>
        <v>83.3</v>
      </c>
      <c r="AL80" s="51">
        <f>IFERROR(IF('3 — Weights'!$E$6=1,PERCENTRANK(M$4:M$91,M80),1-PERCENTRANK(M$4:M$91,M80))*100,"")</f>
        <v>20.7</v>
      </c>
      <c r="AM80" s="51">
        <f>IFERROR(IF('3 — Weights'!$E$7=1,PERCENTRANK(N$4:N$91,N80),1-PERCENTRANK(N$4:N$91,N80))*100,"")</f>
        <v>36.299999999999997</v>
      </c>
      <c r="AN80" s="51">
        <f>IFERROR(IF('3 — Weights'!$E$8=1,PERCENTRANK(O$4:O$91,O80),1-PERCENTRANK(O$4:O$91,O80))*100,"")</f>
        <v>48.1</v>
      </c>
      <c r="AO80" s="51">
        <f>IFERROR(IF('3 — Weights'!$E$9=1,PERCENTRANK(P$4:P$91,P80),1-PERCENTRANK(P$4:P$91,P80))*100,"")</f>
        <v>62.7</v>
      </c>
      <c r="AP80" s="51">
        <f>IFERROR(IF('3 — Weights'!$E$10=1,PERCENTRANK(Q$4:Q$91,Q80),1-PERCENTRANK(Q$4:Q$91,Q80))*100,"")</f>
        <v>29.7</v>
      </c>
      <c r="AQ80" s="51" t="str">
        <f>IFERROR(IF('3 — Weights'!$E$11=1,PERCENTRANK(R$4:R$91,R80),1-PERCENTRANK(R$4:R$91,R80))*100,"")</f>
        <v/>
      </c>
      <c r="AR80" s="51" t="str">
        <f>IFERROR(IF('3 — Weights'!$E$12=1,PERCENTRANK(S$4:S$91,S80),1-PERCENTRANK(S$4:S$91,S80))*100,"")</f>
        <v/>
      </c>
      <c r="AS80" s="51" t="str">
        <f>IFERROR(IF('3 — Weights'!$E$13=1,PERCENTRANK(T$4:T$91,T80),1-PERCENTRANK(T$4:T$91,T80))*100,"")</f>
        <v/>
      </c>
      <c r="AT80" s="51">
        <f>IFERROR(IF('3 — Weights'!$E$14=1,PERCENTRANK(U$4:U$91,U80),1-PERCENTRANK(U$4:U$91,U80))*100,"")</f>
        <v>28.000000000000004</v>
      </c>
      <c r="AU80" s="51">
        <f>IFERROR(IF('3 — Weights'!$E$15=1,PERCENTRANK(V$4:V$91,V80),1-PERCENTRANK(V$4:V$91,V80))*100,"")</f>
        <v>27.6</v>
      </c>
      <c r="AV80" s="51">
        <f>IFERROR(IF('3 — Weights'!$E$16=1,PERCENTRANK(W$4:W$91,W80),1-PERCENTRANK(W$4:W$91,W80))*100,"")</f>
        <v>39.1</v>
      </c>
      <c r="AW80" s="51">
        <f>IFERROR(IF('3 — Weights'!$E$17=1,PERCENTRANK(X$4:X$91,X80),1-PERCENTRANK(X$4:X$91,X80))*100,"")</f>
        <v>38</v>
      </c>
      <c r="AX80" s="51">
        <f>IFERROR(IF('3 — Weights'!$E$18=1,PERCENTRANK(Y$4:Y$91,Y80),1-PERCENTRANK(Y$4:Y$91,Y80))*100,"")</f>
        <v>20.999999999999996</v>
      </c>
      <c r="AY80" s="51">
        <f>IFERROR(IF('3 — Weights'!$E$18=1,PERCENTRANK(Z$4:Z$91,Z80),1-PERCENTRANK(Z$4:Z$91,Z80))*100,"")</f>
        <v>51.800000000000004</v>
      </c>
      <c r="AZ80" s="51">
        <f>IFERROR(IF('3 — Weights'!$E$18=1,PERCENTRANK(AA$4:AA$91,AA80),1-PERCENTRANK(AA$4:AA$91,AA80))*100,"")</f>
        <v>51.2</v>
      </c>
      <c r="BA80" s="51">
        <f>IFERROR(IF('3 — Weights'!$E$21=1,PERCENTRANK(AB$4:AB$91,AB80),1-PERCENTRANK(AB$4:AB$91,AB80))*100,"")</f>
        <v>31</v>
      </c>
      <c r="BB80" s="51">
        <f>IFERROR(IF('3 — Weights'!$E$22=1,PERCENTRANK(AC$4:AC$91,AC80),1-PERCENTRANK(AC$4:AC$91,AC80))*100,"")</f>
        <v>86.2</v>
      </c>
      <c r="BC80" s="51">
        <f>IFERROR(IF('3 — Weights'!$E$23=1,PERCENTRANK(AD$4:AD$91,AD80),1-PERCENTRANK(AD$4:AD$91,AD80))*100,"")</f>
        <v>93.199999999999989</v>
      </c>
      <c r="BD80" s="51">
        <f>IFERROR(IF('3 — Weights'!$E$24=1,PERCENTRANK(AE$4:AE$91,AE80),1-PERCENTRANK(AE$4:AE$91,AE80))*100,"")</f>
        <v>89.7</v>
      </c>
      <c r="BE80" s="51">
        <f>IFERROR(IF('3 — Weights'!$E$25=1,PERCENTRANK(AF$4:AF$91,AF80),1-PERCENTRANK(AF$4:AF$91,AF80))*100,"")</f>
        <v>69</v>
      </c>
      <c r="BF80" s="52" cm="1">
        <f t="array" ref="BF80">IFERROR(SUMPRODUCT(TRANSPOSE(AH80:BE80), [1]!Table2[Weight
Claude]),"")</f>
        <v>37.82</v>
      </c>
      <c r="BG80" s="53" cm="1">
        <f t="array" ref="BG80">IFERROR(SUMPRODUCT(TRANSPOSE(AH80:BE80), [1]!Table2[Weight
Cape IMC]),"")</f>
        <v>37.82</v>
      </c>
    </row>
    <row r="81" spans="1:59" ht="22.5" customHeight="1" x14ac:dyDescent="0.25">
      <c r="A81" s="17">
        <f t="shared" si="1"/>
        <v>79</v>
      </c>
      <c r="B81" s="18" t="s">
        <v>233</v>
      </c>
      <c r="C81" s="18" t="s">
        <v>234</v>
      </c>
      <c r="D81" s="18" t="str">
        <f t="array" ref="D81">IFERROR(_xll.FDS($B81,"FR_RBICS_NAME_CURR(""IND"")"), "")</f>
        <v>Government and Not-For-Profit Industry Software</v>
      </c>
      <c r="E81" s="18" t="str">
        <f t="array" ref="E81">PROPER(IFERROR(_xll.FDS($B81,"P_DCOUNTRY"), ""))</f>
        <v>United States</v>
      </c>
      <c r="F81" s="19">
        <f t="array" ref="F81">IFERROR(_xll.FDS($B81,"FCS_EV_DAILY(MV,NOW,,,USD,M)"), "")</f>
        <v>14142.2516252</v>
      </c>
      <c r="G81" s="19">
        <f t="array" ref="G81">IFERROR(_xll.FDS($B81,"AVG(P_VOLUME_FRQ(-1AM,NOW,D,,6))*P_PRICE_AVG(-1AM,NOW,,USD)"), "")</f>
        <v>322.99578892624402</v>
      </c>
      <c r="H81" s="20">
        <f t="array" ref="H81">IFERROR(_xll.FDS($B81,"OS_SEC_FLT_PCT(0D,,MTD,SEC)")/100, "")</f>
        <v>0.99587300000000001</v>
      </c>
      <c r="I81" s="19">
        <f t="array" ref="I81">IFERROR(_xll.FDS($B81,"FE_ACTUAL(ACTUAL,SALES,ANN_ROLL,0,,,,'CURRENCY=USD')"), "")</f>
        <v>2332.34</v>
      </c>
      <c r="J81" s="19">
        <f t="array" ref="J81">IFERROR(_xll.FDS($B81,"FE_ACTUAL(ACTUAL,EPS,ANN_ROLL,0,,,,'CURRENCY=USD')"), "")</f>
        <v>11.31</v>
      </c>
      <c r="K81" s="20">
        <f t="array" ref="K81">IFERROR(_xll.FDS($B81,"POW(FE_ESTIMATE(SALES,MEAN,STMA,,NOW,,,'CURRENCY=USD')/FE_ESTIMATE(SALES,MEAN,LTMA,,NOW,,,'CURRENCY=USD'),0.5)-1"), "")</f>
        <v>9.1350447839739599E-2</v>
      </c>
      <c r="L81" s="20">
        <f t="array" ref="L81">IFERROR(_xll.FDS($B81,"POW(FE_ESTIMATE(EPS,MEAN,STMA,,NOW,,,'CURRENCY=USD')/FE_ESTIMATE(EPS,MEAN,LTMA,,NOW,,,'CURRENCY=USD'),0.5)-1"), "")</f>
        <v>0.123214449693379</v>
      </c>
      <c r="M81" s="21">
        <f t="array" ref="M81">IFERROR(_xll.FDS($B81,"FF_GROSS_MGN(LTM_R,0)"), "")</f>
        <v>44.045079190855503</v>
      </c>
      <c r="N81" s="21">
        <f t="array" ref="N81">IFERROR(_xll.FDS($B81,"FF_EBITDA_OPER_MGN(LTM_R,0)"), "")</f>
        <v>21.675227453973299</v>
      </c>
      <c r="O81" s="21">
        <f t="array" ref="O81">IFERROR(_xll.FDS($B81,"FF_NET_MGN(LTM_R,0)"), "")</f>
        <v>13.5316034540419</v>
      </c>
      <c r="P81" s="22">
        <f t="array" ref="P81">IFERROR(_xll.FDS($B81,"FE_VALUATION(NETDEBT_EBITDA,MEAN,NTMA,,NOW,,,'')"), "")</f>
        <v>-1.6734495</v>
      </c>
      <c r="Q81" s="23">
        <f t="array" ref="Q81">IFERROR(_xll.FDS($B81,"FE_VALUATION(MCAP_FCF,MEAN,NTMA,,NOW,,,'')"), "")</f>
        <v>4.9913014999999996</v>
      </c>
      <c r="R81" s="23" t="str">
        <f t="array" ref="R81">IFERROR(_xll.FDS($B81,"FE_VALUATION(DIV_YLD,MEAN,NTMA,,NOW,,,'')"), "")</f>
        <v/>
      </c>
      <c r="S81" s="21">
        <f t="array" ref="S81">IFERROR(_xll.FDS($B81,"FE_VALUATION(ROE,MEAN,NTMA,,0,,,'')" ), "")</f>
        <v>12.747771999999999</v>
      </c>
      <c r="T81" s="21">
        <f t="array" ref="T81">IFERROR(_xll.FDS($B81,"FE_VALUATION(ROIC,MEAN,NTMA,,0,,,'')" ), "")</f>
        <v>7.8122134000000001</v>
      </c>
      <c r="U81" s="22">
        <f t="array" ref="U81">IFERROR(((_xll.FDS($B81,"FE_ACTUAL(ACTUAL,SALES,ANN_ROLL,0,,,,'CURRENCY=USD')")/_xll.FDS($B81,"FE_ACTUAL(ACTUAL,SALES,ANN_ROLL,-1,,,,'CURRENCY=USD')")-1)*100)+(_xll.FDS($B81,"FE_VALUATION(EBITDA_MARGIN,MEAN,ANN_ROLL,0,NOW,,,'')")  ), "")</f>
        <v>37.001702254294727</v>
      </c>
      <c r="V81" s="24">
        <f t="array" ref="V81">IFERROR(_xll.FDS($B81,"FE_VALUATION(PE,MEAN,NTMA,,0,,,'')" ), "")</f>
        <v>25.327197999999999</v>
      </c>
      <c r="W81" s="24">
        <f t="array" ref="W81">IFERROR(_xll.FDS($B81,"FE_VALUATION(P_SALESPS,MEAN,NTMA,,0,,,'')" ), "")</f>
        <v>5.4165545000000002</v>
      </c>
      <c r="X81" s="24">
        <f t="array" ref="X81">IFERROR(_xll.FDS($B81,"FE_VALUATION(FFEV_SALES,MEAN,NTMA,,0,,,'')" ), "")</f>
        <v>5.3438024999999998</v>
      </c>
      <c r="Y81" s="24">
        <f t="array" ref="Y81">IFERROR(_xll.FDS($B81,"FE_VALUATION(FFEV_EBITDA,MEAN,NTMA,,0,,,'')" ), "")</f>
        <v>18.208379999999998</v>
      </c>
      <c r="Z81" s="20">
        <f t="array" ref="Z81">IFERROR(_xll.FDS($B81,"PERCENT_CHANGE(FE_VALUATION(PE,MEAN,NTMA,,0,,,''),MAX(FE_VALUATION(PE,MEAN,NTMA,,-1AY,0,,'')))")/100,"")</f>
        <v>-0.54424611028693592</v>
      </c>
      <c r="AA81" s="20">
        <f t="array" ref="AA81">IFERROR(_xll.FDS($B81,"PERCENT_CHANGE(FE_VALUATION(FFEV_EBITDA,MEAN,NTMA,,0,,,''),MAX(FE_VALUATION(FFEV_EBITDA,MEAN,NTMA,,-1AY,0,,'')))")/100,"")</f>
        <v>-0.54198890337332206</v>
      </c>
      <c r="AB81" s="20">
        <f t="array" ref="AB81">IFERROR(_xll.FDS($B81,"FG_PRICE(0,,,USD)/P_PRICE_HIGH(-1AY,0,USD,,,""PRICE"",""INTRA"")")-1, "")</f>
        <v>-0.48324182839632301</v>
      </c>
      <c r="AC81" s="20">
        <f t="array" ref="AC81">IFERROR(_xll.FDS($B81,"RTP_PRICE_TARGET(USD)/FG_PRICE(0,,,USD)")-1, "")</f>
        <v>0.3493730310704799</v>
      </c>
      <c r="AD81" s="25">
        <f t="array" ref="AD81">IFERROR(_xll.FDS($B81,"FG_PRICE(0,,,USD)/FG_PRICE_MAVG(0,,,USD,50)")-1, "")</f>
        <v>-0.20428796822853401</v>
      </c>
      <c r="AE81" s="25">
        <f t="array" ref="AE81">IFERROR(_xll.FDS($B81,"FG_PRICE(0,,,USD)/FG_PRICE_MAVG(0,,,USD,100)")-1, "")</f>
        <v>-0.27144853663042401</v>
      </c>
      <c r="AF81" s="25">
        <f t="array" ref="AF81">IFERROR(_xll.FDS($B81,"FG_PRICE(0,,,USD)/FG_PRICE_MAVG(0,,,USD,200)")-1, "")</f>
        <v>-0.35932913382399101</v>
      </c>
      <c r="AG81" s="26" t="str">
        <f t="array" ref="AG81">IFERROR(_xll.FDS($B81,"FE_RATING(MEAN,TEXTONLY,0,NOW,,,'')"), "")</f>
        <v>Overweight</v>
      </c>
      <c r="AH81" s="50">
        <f>IFERROR(IF('3 — Weights'!$E$2=1,PERCENTRANK(I$4:I$91,I81),1-PERCENTRANK(I$4:I$91,I81))*100,"")</f>
        <v>59.699999999999996</v>
      </c>
      <c r="AI81" s="51">
        <f>IFERROR(IF('3 — Weights'!$E$3=1,PERCENTRANK(J$4:J$91,J81),1-PERCENTRANK(J$4:J$91,J81))*100,"")</f>
        <v>91.9</v>
      </c>
      <c r="AJ81" s="51">
        <f>IFERROR(IF('3 — Weights'!$E$4=1,PERCENTRANK(K$4:K$91,K81),1-PERCENTRANK(K$4:K$91,K81))*100,"")</f>
        <v>29.799999999999997</v>
      </c>
      <c r="AK81" s="51">
        <f>IFERROR(IF('3 — Weights'!$E$5=1,PERCENTRANK(L$4:L$91,L81),1-PERCENTRANK(L$4:L$91,L81))*100,"")</f>
        <v>27.3</v>
      </c>
      <c r="AL81" s="51">
        <f>IFERROR(IF('3 — Weights'!$E$6=1,PERCENTRANK(M$4:M$91,M81),1-PERCENTRANK(M$4:M$91,M81))*100,"")</f>
        <v>7.3</v>
      </c>
      <c r="AM81" s="51">
        <f>IFERROR(IF('3 — Weights'!$E$7=1,PERCENTRANK(N$4:N$91,N81),1-PERCENTRANK(N$4:N$91,N81))*100,"")</f>
        <v>53.2</v>
      </c>
      <c r="AN81" s="51">
        <f>IFERROR(IF('3 — Weights'!$E$8=1,PERCENTRANK(O$4:O$91,O81),1-PERCENTRANK(O$4:O$91,O81))*100,"")</f>
        <v>60.199999999999996</v>
      </c>
      <c r="AO81" s="51">
        <f>IFERROR(IF('3 — Weights'!$E$9=1,PERCENTRANK(P$4:P$91,P81),1-PERCENTRANK(P$4:P$91,P81))*100,"")</f>
        <v>60.3</v>
      </c>
      <c r="AP81" s="51">
        <f>IFERROR(IF('3 — Weights'!$E$10=1,PERCENTRANK(Q$4:Q$91,Q81),1-PERCENTRANK(Q$4:Q$91,Q81))*100,"")</f>
        <v>47.599999999999994</v>
      </c>
      <c r="AQ81" s="51" t="str">
        <f>IFERROR(IF('3 — Weights'!$E$11=1,PERCENTRANK(R$4:R$91,R81),1-PERCENTRANK(R$4:R$91,R81))*100,"")</f>
        <v/>
      </c>
      <c r="AR81" s="51">
        <f>IFERROR(IF('3 — Weights'!$E$12=1,PERCENTRANK(S$4:S$91,S81),1-PERCENTRANK(S$4:S$91,S81))*100,"")</f>
        <v>20.9</v>
      </c>
      <c r="AS81" s="51">
        <f>IFERROR(IF('3 — Weights'!$E$13=1,PERCENTRANK(T$4:T$91,T81),1-PERCENTRANK(T$4:T$91,T81))*100,"")</f>
        <v>18</v>
      </c>
      <c r="AT81" s="51">
        <f>IFERROR(IF('3 — Weights'!$E$14=1,PERCENTRANK(U$4:U$91,U81),1-PERCENTRANK(U$4:U$91,U81))*100,"")</f>
        <v>30.4</v>
      </c>
      <c r="AU81" s="51">
        <f>IFERROR(IF('3 — Weights'!$E$15=1,PERCENTRANK(V$4:V$91,V81),1-PERCENTRANK(V$4:V$91,V81))*100,"")</f>
        <v>36.799999999999997</v>
      </c>
      <c r="AV81" s="51">
        <f>IFERROR(IF('3 — Weights'!$E$16=1,PERCENTRANK(W$4:W$91,W81),1-PERCENTRANK(W$4:W$91,W81))*100,"")</f>
        <v>41.400000000000006</v>
      </c>
      <c r="AW81" s="51">
        <f>IFERROR(IF('3 — Weights'!$E$17=1,PERCENTRANK(X$4:X$91,X81),1-PERCENTRANK(X$4:X$91,X81))*100,"")</f>
        <v>40.300000000000004</v>
      </c>
      <c r="AX81" s="51">
        <f>IFERROR(IF('3 — Weights'!$E$18=1,PERCENTRANK(Y$4:Y$91,Y81),1-PERCENTRANK(Y$4:Y$91,Y81))*100,"")</f>
        <v>36.1</v>
      </c>
      <c r="AY81" s="51">
        <f>IFERROR(IF('3 — Weights'!$E$18=1,PERCENTRANK(Z$4:Z$91,Z81),1-PERCENTRANK(Z$4:Z$91,Z81))*100,"")</f>
        <v>55.2</v>
      </c>
      <c r="AZ81" s="51">
        <f>IFERROR(IF('3 — Weights'!$E$18=1,PERCENTRANK(AA$4:AA$91,AA81),1-PERCENTRANK(AA$4:AA$91,AA81))*100,"")</f>
        <v>55.899999999999991</v>
      </c>
      <c r="BA81" s="51">
        <f>IFERROR(IF('3 — Weights'!$E$21=1,PERCENTRANK(AB$4:AB$91,AB81),1-PERCENTRANK(AB$4:AB$91,AB81))*100,"")</f>
        <v>37.9</v>
      </c>
      <c r="BB81" s="51">
        <f>IFERROR(IF('3 — Weights'!$E$22=1,PERCENTRANK(AC$4:AC$91,AC81),1-PERCENTRANK(AC$4:AC$91,AC81))*100,"")</f>
        <v>22.900000000000002</v>
      </c>
      <c r="BC81" s="51">
        <f>IFERROR(IF('3 — Weights'!$E$23=1,PERCENTRANK(AD$4:AD$91,AD81),1-PERCENTRANK(AD$4:AD$91,AD81))*100,"")</f>
        <v>59.8</v>
      </c>
      <c r="BD81" s="51">
        <f>IFERROR(IF('3 — Weights'!$E$24=1,PERCENTRANK(AE$4:AE$91,AE81),1-PERCENTRANK(AE$4:AE$91,AE81))*100,"")</f>
        <v>61</v>
      </c>
      <c r="BE81" s="51">
        <f>IFERROR(IF('3 — Weights'!$E$25=1,PERCENTRANK(AF$4:AF$91,AF81),1-PERCENTRANK(AF$4:AF$91,AF81))*100,"")</f>
        <v>73.599999999999994</v>
      </c>
      <c r="BF81" s="52" cm="1">
        <f t="array" ref="BF81">IFERROR(SUMPRODUCT(TRANSPOSE(AH81:BE81), [1]!Table2[Weight
Claude]),"")</f>
        <v>36.979999999999997</v>
      </c>
      <c r="BG81" s="53" cm="1">
        <f t="array" ref="BG81">IFERROR(SUMPRODUCT(TRANSPOSE(AH81:BE81), [1]!Table2[Weight
Cape IMC]),"")</f>
        <v>36.979999999999997</v>
      </c>
    </row>
    <row r="82" spans="1:59" ht="22.5" customHeight="1" x14ac:dyDescent="0.25">
      <c r="A82" s="17">
        <f t="shared" si="1"/>
        <v>78</v>
      </c>
      <c r="B82" s="18" t="s">
        <v>235</v>
      </c>
      <c r="C82" s="18" t="s">
        <v>236</v>
      </c>
      <c r="D82" s="18" t="str">
        <f t="array" ref="D82">IFERROR(_xll.FDS($B82,"FR_RBICS_NAME_CURR(""IND"")"), "")</f>
        <v>Enterprise Resource Planning Software</v>
      </c>
      <c r="E82" s="18" t="str">
        <f t="array" ref="E82">PROPER(IFERROR(_xll.FDS($B82,"P_DCOUNTRY"), ""))</f>
        <v>Australia</v>
      </c>
      <c r="F82" s="19">
        <f t="array" ref="F82">IFERROR(_xll.FDS($B82,"FCS_EV_DAILY(MV,NOW,,,USD,M)"), "")</f>
        <v>8750.9467088857891</v>
      </c>
      <c r="G82" s="19">
        <f t="array" ref="G82">IFERROR(_xll.FDS($B82,"AVG(P_VOLUME_FRQ(-1AM,NOW,D,,6))*P_PRICE_AVG(-1AM,NOW,,USD)"), "")</f>
        <v>71.216695981005202</v>
      </c>
      <c r="H82" s="20">
        <f t="array" ref="H82">IFERROR(_xll.FDS($B82,"OS_SEC_FLT_PCT(0D,,MTD,SEC)")/100, "")</f>
        <v>0.97418099999999996</v>
      </c>
      <c r="I82" s="19">
        <f t="array" ref="I82">IFERROR(_xll.FDS($B82,"FE_ACTUAL(ACTUAL,SALES,ANN_ROLL,0,,,,'CURRENCY=USD')"), "")</f>
        <v>1233.7311</v>
      </c>
      <c r="J82" s="19">
        <f t="array" ref="J82">IFERROR(_xll.FDS($B82,"FE_ACTUAL(ACTUAL,EPS,ANN_ROLL,0,,,,'CURRENCY=USD')"), "")</f>
        <v>0.86252249999999997</v>
      </c>
      <c r="K82" s="20">
        <f t="array" ref="K82">IFERROR(_xll.FDS($B82,"POW(FE_ESTIMATE(SALES,MEAN,STMA,,NOW,,,'CURRENCY=USD')/FE_ESTIMATE(SALES,MEAN,LTMA,,NOW,,,'CURRENCY=USD'),0.5)-1"), "")</f>
        <v>0.26664726739530797</v>
      </c>
      <c r="L82" s="20">
        <f t="array" ref="L82">IFERROR(_xll.FDS($B82,"POW(FE_ESTIMATE(EPS,MEAN,STMA,,NOW,,,'CURRENCY=USD')/FE_ESTIMATE(EPS,MEAN,LTMA,,NOW,,,'CURRENCY=USD'),0.5)-1"), "")</f>
        <v>0.30488129728339702</v>
      </c>
      <c r="M82" s="21" t="str">
        <f t="array" ref="M82">IFERROR(_xll.FDS($B82,"FF_GROSS_MGN(LTM_R,0)"), "")</f>
        <v/>
      </c>
      <c r="N82" s="21" t="str">
        <f t="array" ref="N82">IFERROR(_xll.FDS($B82,"FF_EBITDA_OPER_MGN(LTM_R,0)"), "")</f>
        <v/>
      </c>
      <c r="O82" s="21" t="str">
        <f t="array" ref="O82">IFERROR(_xll.FDS($B82,"FF_NET_MGN(LTM_R,0)"), "")</f>
        <v/>
      </c>
      <c r="P82" s="22">
        <f t="array" ref="P82">IFERROR(_xll.FDS($B82,"FE_VALUATION(NETDEBT_EBITDA,MEAN,NTMA,,NOW,,,'')"), "")</f>
        <v>0.24909136000000001</v>
      </c>
      <c r="Q82" s="23">
        <f t="array" ref="Q82">IFERROR(_xll.FDS($B82,"FE_VALUATION(MCAP_FCF,MEAN,NTMA,,NOW,,,'')"), "")</f>
        <v>3.0951474000000001</v>
      </c>
      <c r="R82" s="23">
        <f t="array" ref="R82">IFERROR(_xll.FDS($B82,"FE_VALUATION(DIV_YLD,MEAN,NTMA,,NOW,,,'')"), "")</f>
        <v>0</v>
      </c>
      <c r="S82" s="21">
        <f t="array" ref="S82">IFERROR(_xll.FDS($B82,"FE_VALUATION(ROE,MEAN,NTMA,,0,,,'')" ), "")</f>
        <v>4.9533566999999996</v>
      </c>
      <c r="T82" s="21">
        <f t="array" ref="T82">IFERROR(_xll.FDS($B82,"FE_VALUATION(ROIC,MEAN,NTMA,,0,,,'')" ), "")</f>
        <v>3.5985992000000002</v>
      </c>
      <c r="U82" s="22">
        <f t="array" ref="U82">IFERROR(((_xll.FDS($B82,"FE_ACTUAL(ACTUAL,SALES,ANN_ROLL,0,,,,'CURRENCY=USD')")/_xll.FDS($B82,"FE_ACTUAL(ACTUAL,SALES,ANN_ROLL,-1,,,,'CURRENCY=USD')")-1)*100)+(_xll.FDS($B82,"FE_VALUATION(EBITDA_MARGIN,MEAN,ANN_ROLL,0,NOW,,,'')")  ), "")</f>
        <v>48.627263491473101</v>
      </c>
      <c r="V82" s="24">
        <f t="array" ref="V82">IFERROR(_xll.FDS($B82,"FE_VALUATION(PE,MEAN,NTMA,,0,,,'')" ), "")</f>
        <v>55.060276000000002</v>
      </c>
      <c r="W82" s="24">
        <f t="array" ref="W82">IFERROR(_xll.FDS($B82,"FE_VALUATION(P_SALESPS,MEAN,NTMA,,0,,,'')" ), "")</f>
        <v>4.1162289999999997</v>
      </c>
      <c r="X82" s="24">
        <f t="array" ref="X82">IFERROR(_xll.FDS($B82,"FE_VALUATION(FFEV_SALES,MEAN,NTMA,,0,,,'')" ), "")</f>
        <v>2.9018226</v>
      </c>
      <c r="Y82" s="24">
        <f t="array" ref="Y82">IFERROR(_xll.FDS($B82,"FE_VALUATION(FFEV_EBITDA,MEAN,NTMA,,0,,,'')" ), "")</f>
        <v>11.862764</v>
      </c>
      <c r="Z82" s="20">
        <f t="array" ref="Z82">IFERROR(_xll.FDS($B82,"PERCENT_CHANGE(FE_VALUATION(PE,MEAN,NTMA,,0,,,''),MAX(FE_VALUATION(PE,MEAN,NTMA,,-1AY,0,,'')))")/100,"")</f>
        <v>-0.45350952616654899</v>
      </c>
      <c r="AA82" s="20">
        <f t="array" ref="AA82">IFERROR(_xll.FDS($B82,"PERCENT_CHANGE(FE_VALUATION(FFEV_EBITDA,MEAN,NTMA,,0,,,''),MAX(FE_VALUATION(FFEV_EBITDA,MEAN,NTMA,,-1AY,0,,'')))")/100,"")</f>
        <v>-0.68518768367513205</v>
      </c>
      <c r="AB82" s="20">
        <f t="array" ref="AB82">IFERROR(_xll.FDS($B82,"FG_PRICE(0,,,USD)/P_PRICE_HIGH(-1AY,0,USD,,,""PRICE"",""INTRA"")")-1, "")</f>
        <v>-0.60382375187658299</v>
      </c>
      <c r="AC82" s="20">
        <f t="array" ref="AC82">IFERROR(_xll.FDS($B82,"RTP_PRICE_TARGET(USD)/FG_PRICE(0,,,USD)")-1, "")</f>
        <v>1.1473485701829702</v>
      </c>
      <c r="AD82" s="25">
        <f t="array" ref="AD82">IFERROR(_xll.FDS($B82,"FG_PRICE(0,,,USD)/FG_PRICE_MAVG(0,,,USD,50)")-1, "")</f>
        <v>-0.24532158899502998</v>
      </c>
      <c r="AE82" s="25">
        <f t="array" ref="AE82">IFERROR(_xll.FDS($B82,"FG_PRICE(0,,,USD)/FG_PRICE_MAVG(0,,,USD,100)")-1, "")</f>
        <v>-0.35841010797647099</v>
      </c>
      <c r="AF82" s="25">
        <f t="array" ref="AF82">IFERROR(_xll.FDS($B82,"FG_PRICE(0,,,USD)/FG_PRICE_MAVG(0,,,USD,200)")-1, "")</f>
        <v>-0.475226835656957</v>
      </c>
      <c r="AG82" s="26" t="str">
        <f t="array" ref="AG82">IFERROR(_xll.FDS($B82,"FE_RATING(MEAN,TEXTONLY,0,NOW,,,'')"), "")</f>
        <v>Buy</v>
      </c>
      <c r="AH82" s="50">
        <f>IFERROR(IF('3 — Weights'!$E$2=1,PERCENTRANK(I$4:I$91,I82),1-PERCENTRANK(I$4:I$91,I82))*100,"")</f>
        <v>40.200000000000003</v>
      </c>
      <c r="AI82" s="51">
        <f>IFERROR(IF('3 — Weights'!$E$3=1,PERCENTRANK(J$4:J$91,J82),1-PERCENTRANK(J$4:J$91,J82))*100,"")</f>
        <v>31</v>
      </c>
      <c r="AJ82" s="51">
        <f>IFERROR(IF('3 — Weights'!$E$4=1,PERCENTRANK(K$4:K$91,K82),1-PERCENTRANK(K$4:K$91,K82))*100,"")</f>
        <v>94.199999999999989</v>
      </c>
      <c r="AK82" s="51">
        <f>IFERROR(IF('3 — Weights'!$E$5=1,PERCENTRANK(L$4:L$91,L82),1-PERCENTRANK(L$4:L$91,L82))*100,"")</f>
        <v>85.7</v>
      </c>
      <c r="AL82" s="51" t="str">
        <f>IFERROR(IF('3 — Weights'!$E$6=1,PERCENTRANK(M$4:M$91,M82),1-PERCENTRANK(M$4:M$91,M82))*100,"")</f>
        <v/>
      </c>
      <c r="AM82" s="51" t="str">
        <f>IFERROR(IF('3 — Weights'!$E$7=1,PERCENTRANK(N$4:N$91,N82),1-PERCENTRANK(N$4:N$91,N82))*100,"")</f>
        <v/>
      </c>
      <c r="AN82" s="51" t="str">
        <f>IFERROR(IF('3 — Weights'!$E$8=1,PERCENTRANK(O$4:O$91,O82),1-PERCENTRANK(O$4:O$91,O82))*100,"")</f>
        <v/>
      </c>
      <c r="AO82" s="51">
        <f>IFERROR(IF('3 — Weights'!$E$9=1,PERCENTRANK(P$4:P$91,P82),1-PERCENTRANK(P$4:P$91,P82))*100,"")</f>
        <v>24.099999999999998</v>
      </c>
      <c r="AP82" s="51">
        <f>IFERROR(IF('3 — Weights'!$E$10=1,PERCENTRANK(Q$4:Q$91,Q82),1-PERCENTRANK(Q$4:Q$91,Q82))*100,"")</f>
        <v>25</v>
      </c>
      <c r="AQ82" s="51">
        <f>IFERROR(IF('3 — Weights'!$E$11=1,PERCENTRANK(R$4:R$91,R82),1-PERCENTRANK(R$4:R$91,R82))*100,"")</f>
        <v>0</v>
      </c>
      <c r="AR82" s="51">
        <f>IFERROR(IF('3 — Weights'!$E$12=1,PERCENTRANK(S$4:S$91,S82),1-PERCENTRANK(S$4:S$91,S82))*100,"")</f>
        <v>4.9000000000000004</v>
      </c>
      <c r="AS82" s="51">
        <f>IFERROR(IF('3 — Weights'!$E$13=1,PERCENTRANK(T$4:T$91,T82),1-PERCENTRANK(T$4:T$91,T82))*100,"")</f>
        <v>6.9</v>
      </c>
      <c r="AT82" s="51">
        <f>IFERROR(IF('3 — Weights'!$E$14=1,PERCENTRANK(U$4:U$91,U82),1-PERCENTRANK(U$4:U$91,U82))*100,"")</f>
        <v>56.000000000000007</v>
      </c>
      <c r="AU82" s="51">
        <f>IFERROR(IF('3 — Weights'!$E$15=1,PERCENTRANK(V$4:V$91,V82),1-PERCENTRANK(V$4:V$91,V82))*100,"")</f>
        <v>13.8</v>
      </c>
      <c r="AV82" s="51">
        <f>IFERROR(IF('3 — Weights'!$E$16=1,PERCENTRANK(W$4:W$91,W82),1-PERCENTRANK(W$4:W$91,W82))*100,"")</f>
        <v>58.699999999999996</v>
      </c>
      <c r="AW82" s="51">
        <f>IFERROR(IF('3 — Weights'!$E$17=1,PERCENTRANK(X$4:X$91,X82),1-PERCENTRANK(X$4:X$91,X82))*100,"")</f>
        <v>79.400000000000006</v>
      </c>
      <c r="AX82" s="51">
        <f>IFERROR(IF('3 — Weights'!$E$18=1,PERCENTRANK(Y$4:Y$91,Y82),1-PERCENTRANK(Y$4:Y$91,Y82))*100,"")</f>
        <v>71</v>
      </c>
      <c r="AY82" s="51">
        <f>IFERROR(IF('3 — Weights'!$E$18=1,PERCENTRANK(Z$4:Z$91,Z82),1-PERCENTRANK(Z$4:Z$91,Z82))*100,"")</f>
        <v>32.199999999999996</v>
      </c>
      <c r="AZ82" s="51">
        <f>IFERROR(IF('3 — Weights'!$E$18=1,PERCENTRANK(AA$4:AA$91,AA82),1-PERCENTRANK(AA$4:AA$91,AA82))*100,"")</f>
        <v>90.7</v>
      </c>
      <c r="BA82" s="51">
        <f>IFERROR(IF('3 — Weights'!$E$21=1,PERCENTRANK(AB$4:AB$91,AB82),1-PERCENTRANK(AB$4:AB$91,AB82))*100,"")</f>
        <v>6.8000000000000007</v>
      </c>
      <c r="BB82" s="51">
        <f>IFERROR(IF('3 — Weights'!$E$22=1,PERCENTRANK(AC$4:AC$91,AC82),1-PERCENTRANK(AC$4:AC$91,AC82))*100,"")</f>
        <v>97.7</v>
      </c>
      <c r="BC82" s="51">
        <f>IFERROR(IF('3 — Weights'!$E$23=1,PERCENTRANK(AD$4:AD$91,AD82),1-PERCENTRANK(AD$4:AD$91,AD82))*100,"")</f>
        <v>75.900000000000006</v>
      </c>
      <c r="BD82" s="51">
        <f>IFERROR(IF('3 — Weights'!$E$24=1,PERCENTRANK(AE$4:AE$91,AE82),1-PERCENTRANK(AE$4:AE$91,AE82))*100,"")</f>
        <v>90.9</v>
      </c>
      <c r="BE82" s="51">
        <f>IFERROR(IF('3 — Weights'!$E$25=1,PERCENTRANK(AF$4:AF$91,AF82),1-PERCENTRANK(AF$4:AF$91,AF82))*100,"")</f>
        <v>94.3</v>
      </c>
      <c r="BF82" s="52" cm="1">
        <f t="array" ref="BF82">IFERROR(SUMPRODUCT(TRANSPOSE(AH82:BE82), [1]!Table2[Weight
Claude]),"")</f>
        <v>37.659999999999997</v>
      </c>
      <c r="BG82" s="53" cm="1">
        <f t="array" ref="BG82">IFERROR(SUMPRODUCT(TRANSPOSE(AH82:BE82), [1]!Table2[Weight
Cape IMC]),"")</f>
        <v>37.659999999999997</v>
      </c>
    </row>
    <row r="83" spans="1:59" ht="22.5" customHeight="1" x14ac:dyDescent="0.25">
      <c r="A83" s="17">
        <f t="shared" si="1"/>
        <v>80</v>
      </c>
      <c r="B83" s="18" t="s">
        <v>237</v>
      </c>
      <c r="C83" s="18" t="s">
        <v>238</v>
      </c>
      <c r="D83" s="18" t="str">
        <f t="array" ref="D83">IFERROR(_xll.FDS($B83,"FR_RBICS_NAME_CURR(""IND"")"), "")</f>
        <v>Computer Aided Design Software</v>
      </c>
      <c r="E83" s="18" t="str">
        <f t="array" ref="E83">PROPER(IFERROR(_xll.FDS($B83,"P_DCOUNTRY"), ""))</f>
        <v>Sweden</v>
      </c>
      <c r="F83" s="19">
        <f t="array" ref="F83">IFERROR(_xll.FDS($B83,"FCS_EV_DAILY(MV,NOW,,,USD,M)"), "")</f>
        <v>28896.624232734099</v>
      </c>
      <c r="G83" s="19">
        <f t="array" ref="G83">IFERROR(_xll.FDS($B83,"AVG(P_VOLUME_FRQ(-1AM,NOW,D,,6))*P_PRICE_AVG(-1AM,NOW,,USD)"), "")</f>
        <v>61.328864807427301</v>
      </c>
      <c r="H83" s="20">
        <f t="array" ref="H83">IFERROR(_xll.FDS($B83,"OS_SEC_FLT_PCT(0D,,MTD,SEC)")/100, "")</f>
        <v>0.79278999999999999</v>
      </c>
      <c r="I83" s="19">
        <f t="array" ref="I83">IFERROR(_xll.FDS($B83,"FE_ACTUAL(ACTUAL,SALES,ANN_ROLL,0,,,,'CURRENCY=USD')"), "")</f>
        <v>6455.6352999999999</v>
      </c>
      <c r="J83" s="19">
        <f t="array" ref="J83">IFERROR(_xll.FDS($B83,"FE_ACTUAL(ACTUAL,EPS,ANN_ROLL,0,,,,'CURRENCY=USD')"), "")</f>
        <v>0.48418749999999999</v>
      </c>
      <c r="K83" s="20">
        <f t="array" ref="K83">IFERROR(_xll.FDS($B83,"POW(FE_ESTIMATE(SALES,MEAN,STMA,,NOW,,,'CURRENCY=USD')/FE_ESTIMATE(SALES,MEAN,LTMA,,NOW,,,'CURRENCY=USD'),0.5)-1"), "")</f>
        <v>3.3747454652247197E-2</v>
      </c>
      <c r="L83" s="20">
        <f t="array" ref="L83">IFERROR(_xll.FDS($B83,"POW(FE_ESTIMATE(EPS,MEAN,STMA,,NOW,,,'CURRENCY=USD')/FE_ESTIMATE(EPS,MEAN,LTMA,,NOW,,,'CURRENCY=USD'),0.5)-1"), "")</f>
        <v>8.7298946932259106E-2</v>
      </c>
      <c r="M83" s="21">
        <f t="array" ref="M83">IFERROR(_xll.FDS($B83,"FF_GROSS_MGN(LTM_R,0)"), "")</f>
        <v>77.310374164238098</v>
      </c>
      <c r="N83" s="21" t="str">
        <f t="array" ref="N83">IFERROR(_xll.FDS($B83,"FF_EBITDA_OPER_MGN(LTM_R,0)"), "")</f>
        <v/>
      </c>
      <c r="O83" s="21">
        <f t="array" ref="O83">IFERROR(_xll.FDS($B83,"FF_NET_MGN(LTM_R,0)"), "")</f>
        <v>11.3479884465933</v>
      </c>
      <c r="P83" s="22">
        <f t="array" ref="P83">IFERROR(_xll.FDS($B83,"FE_VALUATION(NETDEBT_EBITDA,MEAN,NTMA,,NOW,,,'')"), "")</f>
        <v>0.82659304</v>
      </c>
      <c r="Q83" s="23">
        <f t="array" ref="Q83">IFERROR(_xll.FDS($B83,"FE_VALUATION(MCAP_FCF,MEAN,NTMA,,NOW,,,'')"), "")</f>
        <v>5.4992590000000003</v>
      </c>
      <c r="R83" s="23">
        <f t="array" ref="R83">IFERROR(_xll.FDS($B83,"FE_VALUATION(DIV_YLD,MEAN,NTMA,,NOW,,,'')"), "")</f>
        <v>1.5305086000000001</v>
      </c>
      <c r="S83" s="21">
        <f t="array" ref="S83">IFERROR(_xll.FDS($B83,"FE_VALUATION(ROE,MEAN,NTMA,,0,,,'')" ), "")</f>
        <v>10.817455000000001</v>
      </c>
      <c r="T83" s="21">
        <f t="array" ref="T83">IFERROR(_xll.FDS($B83,"FE_VALUATION(ROIC,MEAN,NTMA,,0,,,'')" ), "")</f>
        <v>7.3086523999999997</v>
      </c>
      <c r="U83" s="22">
        <f t="array" ref="U83">IFERROR(((_xll.FDS($B83,"FE_ACTUAL(ACTUAL,SALES,ANN_ROLL,0,,,,'CURRENCY=USD')")/_xll.FDS($B83,"FE_ACTUAL(ACTUAL,SALES,ANN_ROLL,-1,,,,'CURRENCY=USD')")-1)*100)+(_xll.FDS($B83,"FE_VALUATION(EBITDA_MARGIN,MEAN,ANN_ROLL,0,NOW,,,'')")  ), "")</f>
        <v>50.925445743584291</v>
      </c>
      <c r="V83" s="24">
        <f t="array" ref="V83">IFERROR(_xll.FDS($B83,"FE_VALUATION(PE,MEAN,NTMA,,0,,,'')" ), "")</f>
        <v>21.428583</v>
      </c>
      <c r="W83" s="24">
        <f t="array" ref="W83">IFERROR(_xll.FDS($B83,"FE_VALUATION(P_SALESPS,MEAN,NTMA,,0,,,'')" ), "")</f>
        <v>4.5445440000000001</v>
      </c>
      <c r="X83" s="24">
        <f t="array" ref="X83">IFERROR(_xll.FDS($B83,"FE_VALUATION(FFEV_SALES,MEAN,NTMA,,0,,,'')" ), "")</f>
        <v>5.1659036</v>
      </c>
      <c r="Y83" s="24">
        <f t="array" ref="Y83">IFERROR(_xll.FDS($B83,"FE_VALUATION(FFEV_EBITDA,MEAN,NTMA,,0,,,'')" ), "")</f>
        <v>13.819202000000001</v>
      </c>
      <c r="Z83" s="20">
        <f t="array" ref="Z83">IFERROR(_xll.FDS($B83,"PERCENT_CHANGE(FE_VALUATION(PE,MEAN,NTMA,,0,,,''),MAX(FE_VALUATION(PE,MEAN,NTMA,,-1AY,0,,'')))")/100,"")</f>
        <v>-0.16380849503438</v>
      </c>
      <c r="AA83" s="20">
        <f t="array" ref="AA83">IFERROR(_xll.FDS($B83,"PERCENT_CHANGE(FE_VALUATION(FFEV_EBITDA,MEAN,NTMA,,0,,,''),MAX(FE_VALUATION(FFEV_EBITDA,MEAN,NTMA,,-1AY,0,,'')))")/100,"")</f>
        <v>-0.149285395403216</v>
      </c>
      <c r="AB83" s="20">
        <f t="array" ref="AB83">IFERROR(_xll.FDS($B83,"FG_PRICE(0,,,USD)/P_PRICE_HIGH(-1AY,0,USD,,,""PRICE"",""INTRA"")")-1, "")</f>
        <v>-0.15664533793114699</v>
      </c>
      <c r="AC83" s="20">
        <f t="array" ref="AC83">IFERROR(_xll.FDS($B83,"RTP_PRICE_TARGET(USD)/FG_PRICE(0,,,USD)")-1, "")</f>
        <v>0.16485490758755006</v>
      </c>
      <c r="AD83" s="25">
        <f t="array" ref="AD83">IFERROR(_xll.FDS($B83,"FG_PRICE(0,,,USD)/FG_PRICE_MAVG(0,,,USD,50)")-1, "")</f>
        <v>-3.2561323326628977E-2</v>
      </c>
      <c r="AE83" s="25">
        <f t="array" ref="AE83">IFERROR(_xll.FDS($B83,"FG_PRICE(0,,,USD)/FG_PRICE_MAVG(0,,,USD,100)")-1, "")</f>
        <v>-6.1253613500021009E-2</v>
      </c>
      <c r="AF83" s="25">
        <f t="array" ref="AF83">IFERROR(_xll.FDS($B83,"FG_PRICE(0,,,USD)/FG_PRICE_MAVG(0,,,USD,200)")-1, "")</f>
        <v>-2.2871884426240996E-2</v>
      </c>
      <c r="AG83" s="26" t="str">
        <f t="array" ref="AG83">IFERROR(_xll.FDS($B83,"FE_RATING(MEAN,TEXTONLY,0,NOW,,,'')"), "")</f>
        <v>Overweight</v>
      </c>
      <c r="AH83" s="50">
        <f>IFERROR(IF('3 — Weights'!$E$2=1,PERCENTRANK(I$4:I$91,I83),1-PERCENTRANK(I$4:I$91,I83))*100,"")</f>
        <v>86.2</v>
      </c>
      <c r="AI83" s="51">
        <f>IFERROR(IF('3 — Weights'!$E$3=1,PERCENTRANK(J$4:J$91,J83),1-PERCENTRANK(J$4:J$91,J83))*100,"")</f>
        <v>20.599999999999998</v>
      </c>
      <c r="AJ83" s="51">
        <f>IFERROR(IF('3 — Weights'!$E$4=1,PERCENTRANK(K$4:K$91,K83),1-PERCENTRANK(K$4:K$91,K83))*100,"")</f>
        <v>2.1999999999999997</v>
      </c>
      <c r="AK83" s="51">
        <f>IFERROR(IF('3 — Weights'!$E$5=1,PERCENTRANK(L$4:L$91,L83),1-PERCENTRANK(L$4:L$91,L83))*100,"")</f>
        <v>10.7</v>
      </c>
      <c r="AL83" s="51">
        <f>IFERROR(IF('3 — Weights'!$E$6=1,PERCENTRANK(M$4:M$91,M83),1-PERCENTRANK(M$4:M$91,M83))*100,"")</f>
        <v>67</v>
      </c>
      <c r="AM83" s="51" t="str">
        <f>IFERROR(IF('3 — Weights'!$E$7=1,PERCENTRANK(N$4:N$91,N83),1-PERCENTRANK(N$4:N$91,N83))*100,"")</f>
        <v/>
      </c>
      <c r="AN83" s="51">
        <f>IFERROR(IF('3 — Weights'!$E$8=1,PERCENTRANK(O$4:O$91,O83),1-PERCENTRANK(O$4:O$91,O83))*100,"")</f>
        <v>50.6</v>
      </c>
      <c r="AO83" s="51">
        <f>IFERROR(IF('3 — Weights'!$E$9=1,PERCENTRANK(P$4:P$91,P83),1-PERCENTRANK(P$4:P$91,P83))*100,"")</f>
        <v>19.299999999999994</v>
      </c>
      <c r="AP83" s="51">
        <f>IFERROR(IF('3 — Weights'!$E$10=1,PERCENTRANK(Q$4:Q$91,Q83),1-PERCENTRANK(Q$4:Q$91,Q83))*100,"")</f>
        <v>57.099999999999994</v>
      </c>
      <c r="AQ83" s="51">
        <f>IFERROR(IF('3 — Weights'!$E$11=1,PERCENTRANK(R$4:R$91,R83),1-PERCENTRANK(R$4:R$91,R83))*100,"")</f>
        <v>85.8</v>
      </c>
      <c r="AR83" s="51">
        <f>IFERROR(IF('3 — Weights'!$E$12=1,PERCENTRANK(S$4:S$91,S83),1-PERCENTRANK(S$4:S$91,S83))*100,"")</f>
        <v>13.5</v>
      </c>
      <c r="AS83" s="51">
        <f>IFERROR(IF('3 — Weights'!$E$13=1,PERCENTRANK(T$4:T$91,T83),1-PERCENTRANK(T$4:T$91,T83))*100,"")</f>
        <v>16.600000000000001</v>
      </c>
      <c r="AT83" s="51">
        <f>IFERROR(IF('3 — Weights'!$E$14=1,PERCENTRANK(U$4:U$91,U83),1-PERCENTRANK(U$4:U$91,U83))*100,"")</f>
        <v>64.600000000000009</v>
      </c>
      <c r="AU83" s="51">
        <f>IFERROR(IF('3 — Weights'!$E$15=1,PERCENTRANK(V$4:V$91,V83),1-PERCENTRANK(V$4:V$91,V83))*100,"")</f>
        <v>48.3</v>
      </c>
      <c r="AV83" s="51">
        <f>IFERROR(IF('3 — Weights'!$E$16=1,PERCENTRANK(W$4:W$91,W83),1-PERCENTRANK(W$4:W$91,W83))*100,"")</f>
        <v>49.5</v>
      </c>
      <c r="AW83" s="51">
        <f>IFERROR(IF('3 — Weights'!$E$17=1,PERCENTRANK(X$4:X$91,X83),1-PERCENTRANK(X$4:X$91,X83))*100,"")</f>
        <v>44.9</v>
      </c>
      <c r="AX83" s="51">
        <f>IFERROR(IF('3 — Weights'!$E$18=1,PERCENTRANK(Y$4:Y$91,Y83),1-PERCENTRANK(Y$4:Y$91,Y83))*100,"")</f>
        <v>58.20000000000001</v>
      </c>
      <c r="AY83" s="51">
        <f>IFERROR(IF('3 — Weights'!$E$18=1,PERCENTRANK(Z$4:Z$91,Z83),1-PERCENTRANK(Z$4:Z$91,Z83))*100,"")</f>
        <v>1.2000000000000011</v>
      </c>
      <c r="AZ83" s="51">
        <f>IFERROR(IF('3 — Weights'!$E$18=1,PERCENTRANK(AA$4:AA$91,AA83),1-PERCENTRANK(AA$4:AA$91,AA83))*100,"")</f>
        <v>0</v>
      </c>
      <c r="BA83" s="51">
        <f>IFERROR(IF('3 — Weights'!$E$21=1,PERCENTRANK(AB$4:AB$91,AB83),1-PERCENTRANK(AB$4:AB$91,AB83))*100,"")</f>
        <v>96.5</v>
      </c>
      <c r="BB83" s="51">
        <f>IFERROR(IF('3 — Weights'!$E$22=1,PERCENTRANK(AC$4:AC$91,AC83),1-PERCENTRANK(AC$4:AC$91,AC83))*100,"")</f>
        <v>6.8000000000000007</v>
      </c>
      <c r="BC83" s="51">
        <f>IFERROR(IF('3 — Weights'!$E$23=1,PERCENTRANK(AD$4:AD$91,AD83),1-PERCENTRANK(AD$4:AD$91,AD83))*100,"")</f>
        <v>13.8</v>
      </c>
      <c r="BD83" s="51">
        <f>IFERROR(IF('3 — Weights'!$E$24=1,PERCENTRANK(AE$4:AE$91,AE83),1-PERCENTRANK(AE$4:AE$91,AE83))*100,"")</f>
        <v>13.8</v>
      </c>
      <c r="BE83" s="51">
        <f>IFERROR(IF('3 — Weights'!$E$25=1,PERCENTRANK(AF$4:AF$91,AF83),1-PERCENTRANK(AF$4:AF$91,AF83))*100,"")</f>
        <v>10.399999999999999</v>
      </c>
      <c r="BF83" s="52" cm="1">
        <f t="array" ref="BF83">IFERROR(SUMPRODUCT(TRANSPOSE(AH83:BE83), [1]!Table2[Weight
Claude]),"")</f>
        <v>35.955000000000005</v>
      </c>
      <c r="BG83" s="53" cm="1">
        <f t="array" ref="BG83">IFERROR(SUMPRODUCT(TRANSPOSE(AH83:BE83), [1]!Table2[Weight
Cape IMC]),"")</f>
        <v>35.955000000000005</v>
      </c>
    </row>
    <row r="84" spans="1:59" ht="22.5" customHeight="1" x14ac:dyDescent="0.25">
      <c r="A84" s="17">
        <f t="shared" si="1"/>
        <v>81</v>
      </c>
      <c r="B84" s="18" t="s">
        <v>239</v>
      </c>
      <c r="C84" s="18" t="s">
        <v>240</v>
      </c>
      <c r="D84" s="18" t="str">
        <f t="array" ref="D84">IFERROR(_xll.FDS($B84,"FR_RBICS_NAME_CURR(""IND"")"), "")</f>
        <v>Enterprise Resource Planning Software</v>
      </c>
      <c r="E84" s="18" t="str">
        <f t="array" ref="E84">PROPER(IFERROR(_xll.FDS($B84,"P_DCOUNTRY"), ""))</f>
        <v>United Kingdom</v>
      </c>
      <c r="F84" s="19">
        <f t="array" ref="F84">IFERROR(_xll.FDS($B84,"FCS_EV_DAILY(MV,NOW,,,USD,M)"), "")</f>
        <v>10135.4418049423</v>
      </c>
      <c r="G84" s="19">
        <f t="array" ref="G84">IFERROR(_xll.FDS($B84,"AVG(P_VOLUME_FRQ(-1AM,NOW,D,,6))*P_PRICE_AVG(-1AM,NOW,,USD)"), "")</f>
        <v>56.105372469738398</v>
      </c>
      <c r="H84" s="20">
        <f t="array" ref="H84">IFERROR(_xll.FDS($B84,"OS_SEC_FLT_PCT(0D,,MTD,SEC)")/100, "")</f>
        <v>0.97658299999999998</v>
      </c>
      <c r="I84" s="19">
        <f t="array" ref="I84">IFERROR(_xll.FDS($B84,"FE_ACTUAL(ACTUAL,SALES,ANN_ROLL,0,,,,'CURRENCY=USD')"), "")</f>
        <v>3286.8784000000001</v>
      </c>
      <c r="J84" s="19">
        <f t="array" ref="J84">IFERROR(_xll.FDS($B84,"FE_ACTUAL(ACTUAL,EPS,ANN_ROLL,0,,,,'CURRENCY=USD')"), "")</f>
        <v>0.55614030000000003</v>
      </c>
      <c r="K84" s="20">
        <f t="array" ref="K84">IFERROR(_xll.FDS($B84,"POW(FE_ESTIMATE(SALES,MEAN,STMA,,NOW,,,'CURRENCY=USD')/FE_ESTIMATE(SALES,MEAN,LTMA,,NOW,,,'CURRENCY=USD'),0.5)-1"), "")</f>
        <v>9.9023794100928403E-2</v>
      </c>
      <c r="L84" s="20">
        <f t="array" ref="L84">IFERROR(_xll.FDS($B84,"POW(FE_ESTIMATE(EPS,MEAN,STMA,,NOW,,,'CURRENCY=USD')/FE_ESTIMATE(EPS,MEAN,LTMA,,NOW,,,'CURRENCY=USD'),0.5)-1"), "")</f>
        <v>0.153882706344107</v>
      </c>
      <c r="M84" s="21" t="str">
        <f t="array" ref="M84">IFERROR(_xll.FDS($B84,"FF_GROSS_MGN(LTM_R,0)"), "")</f>
        <v/>
      </c>
      <c r="N84" s="21" t="str">
        <f t="array" ref="N84">IFERROR(_xll.FDS($B84,"FF_EBITDA_OPER_MGN(LTM_R,0)"), "")</f>
        <v/>
      </c>
      <c r="O84" s="21" t="str">
        <f t="array" ref="O84">IFERROR(_xll.FDS($B84,"FF_NET_MGN(LTM_R,0)"), "")</f>
        <v/>
      </c>
      <c r="P84" s="22">
        <f t="array" ref="P84">IFERROR(_xll.FDS($B84,"FE_VALUATION(NETDEBT_EBITDA,MEAN,NTMA,,NOW,,,'')"), "")</f>
        <v>1.1941295999999999</v>
      </c>
      <c r="Q84" s="23">
        <f t="array" ref="Q84">IFERROR(_xll.FDS($B84,"FE_VALUATION(MCAP_FCF,MEAN,NTMA,,NOW,,,'')"), "")</f>
        <v>7.5366010000000001</v>
      </c>
      <c r="R84" s="23">
        <f t="array" ref="R84">IFERROR(_xll.FDS($B84,"FE_VALUATION(DIV_YLD,MEAN,NTMA,,NOW,,,'')"), "")</f>
        <v>2.9654175999999999</v>
      </c>
      <c r="S84" s="21">
        <f t="array" ref="S84">IFERROR(_xll.FDS($B84,"FE_VALUATION(ROE,MEAN,NTMA,,0,,,'')" ), "")</f>
        <v>54.160404</v>
      </c>
      <c r="T84" s="21">
        <f t="array" ref="T84">IFERROR(_xll.FDS($B84,"FE_VALUATION(ROIC,MEAN,NTMA,,0,,,'')" ), "")</f>
        <v>20.889921000000001</v>
      </c>
      <c r="U84" s="22">
        <f t="array" ref="U84">IFERROR(((_xll.FDS($B84,"FE_ACTUAL(ACTUAL,SALES,ANN_ROLL,0,,,,'CURRENCY=USD')")/_xll.FDS($B84,"FE_ACTUAL(ACTUAL,SALES,ANN_ROLL,-1,,,,'CURRENCY=USD')")-1)*100)+(_xll.FDS($B84,"FE_VALUATION(EBITDA_MARGIN,MEAN,ANN_ROLL,0,NOW,,,'')")  ), "")</f>
        <v>37.573092688411663</v>
      </c>
      <c r="V84" s="24">
        <f t="array" ref="V84">IFERROR(_xll.FDS($B84,"FE_VALUATION(PE,MEAN,NTMA,,0,,,'')" ), "")</f>
        <v>15.010992</v>
      </c>
      <c r="W84" s="24">
        <f t="array" ref="W84">IFERROR(_xll.FDS($B84,"FE_VALUATION(P_SALESPS,MEAN,NTMA,,0,,,'')" ), "")</f>
        <v>2.6130840000000002</v>
      </c>
      <c r="X84" s="24">
        <f t="array" ref="X84">IFERROR(_xll.FDS($B84,"FE_VALUATION(FFEV_SALES,MEAN,NTMA,,0,,,'')" ), "")</f>
        <v>3.1689574999999999</v>
      </c>
      <c r="Y84" s="24">
        <f t="array" ref="Y84">IFERROR(_xll.FDS($B84,"FE_VALUATION(FFEV_EBITDA,MEAN,NTMA,,0,,,'')" ), "")</f>
        <v>11.6515875</v>
      </c>
      <c r="Z84" s="20">
        <f t="array" ref="Z84">IFERROR(_xll.FDS($B84,"PERCENT_CHANGE(FE_VALUATION(PE,MEAN,NTMA,,0,,,''),MAX(FE_VALUATION(PE,MEAN,NTMA,,-1AY,0,,'')))")/100,"")</f>
        <v>-0.46870466723962101</v>
      </c>
      <c r="AA84" s="20">
        <f t="array" ref="AA84">IFERROR(_xll.FDS($B84,"PERCENT_CHANGE(FE_VALUATION(FFEV_EBITDA,MEAN,NTMA,,0,,,''),MAX(FE_VALUATION(FFEV_EBITDA,MEAN,NTMA,,-1AY,0,,'')))")/100,"")</f>
        <v>-0.42266470581094301</v>
      </c>
      <c r="AB84" s="20">
        <f t="array" ref="AB84">IFERROR(_xll.FDS($B84,"FG_PRICE(0,,,USD)/P_PRICE_HIGH(-1AY,0,USD,,,""PRICE"",""INTRA"")")-1, "")</f>
        <v>-0.40065915124977003</v>
      </c>
      <c r="AC84" s="20">
        <f t="array" ref="AC84">IFERROR(_xll.FDS($B84,"RTP_PRICE_TARGET(USD)/FG_PRICE(0,,,USD)")-1, "")</f>
        <v>0.64731975141986009</v>
      </c>
      <c r="AD84" s="25">
        <f t="array" ref="AD84">IFERROR(_xll.FDS($B84,"FG_PRICE(0,,,USD)/FG_PRICE_MAVG(0,,,USD,50)")-1, "")</f>
        <v>-0.19664863166926805</v>
      </c>
      <c r="AE84" s="25">
        <f t="array" ref="AE84">IFERROR(_xll.FDS($B84,"FG_PRICE(0,,,USD)/FG_PRICE_MAVG(0,,,USD,100)")-1, "")</f>
        <v>-0.24037618897540602</v>
      </c>
      <c r="AF84" s="25">
        <f t="array" ref="AF84">IFERROR(_xll.FDS($B84,"FG_PRICE(0,,,USD)/FG_PRICE_MAVG(0,,,USD,200)")-1, "")</f>
        <v>-0.28981655633796299</v>
      </c>
      <c r="AG84" s="26" t="str">
        <f t="array" ref="AG84">IFERROR(_xll.FDS($B84,"FE_RATING(MEAN,TEXTONLY,0,NOW,,,'')"), "")</f>
        <v>Overweight</v>
      </c>
      <c r="AH84" s="50">
        <f>IFERROR(IF('3 — Weights'!$E$2=1,PERCENTRANK(I$4:I$91,I84),1-PERCENTRANK(I$4:I$91,I84))*100,"")</f>
        <v>68.899999999999991</v>
      </c>
      <c r="AI84" s="51">
        <f>IFERROR(IF('3 — Weights'!$E$3=1,PERCENTRANK(J$4:J$91,J84),1-PERCENTRANK(J$4:J$91,J84))*100,"")</f>
        <v>24.099999999999998</v>
      </c>
      <c r="AJ84" s="51">
        <f>IFERROR(IF('3 — Weights'!$E$4=1,PERCENTRANK(K$4:K$91,K84),1-PERCENTRANK(K$4:K$91,K84))*100,"")</f>
        <v>33.300000000000004</v>
      </c>
      <c r="AK84" s="51">
        <f>IFERROR(IF('3 — Weights'!$E$5=1,PERCENTRANK(L$4:L$91,L84),1-PERCENTRANK(L$4:L$91,L84))*100,"")</f>
        <v>44</v>
      </c>
      <c r="AL84" s="51" t="str">
        <f>IFERROR(IF('3 — Weights'!$E$6=1,PERCENTRANK(M$4:M$91,M84),1-PERCENTRANK(M$4:M$91,M84))*100,"")</f>
        <v/>
      </c>
      <c r="AM84" s="51" t="str">
        <f>IFERROR(IF('3 — Weights'!$E$7=1,PERCENTRANK(N$4:N$91,N84),1-PERCENTRANK(N$4:N$91,N84))*100,"")</f>
        <v/>
      </c>
      <c r="AN84" s="51" t="str">
        <f>IFERROR(IF('3 — Weights'!$E$8=1,PERCENTRANK(O$4:O$91,O84),1-PERCENTRANK(O$4:O$91,O84))*100,"")</f>
        <v/>
      </c>
      <c r="AO84" s="51">
        <f>IFERROR(IF('3 — Weights'!$E$9=1,PERCENTRANK(P$4:P$91,P84),1-PERCENTRANK(P$4:P$91,P84))*100,"")</f>
        <v>14.500000000000002</v>
      </c>
      <c r="AP84" s="51">
        <f>IFERROR(IF('3 — Weights'!$E$10=1,PERCENTRANK(Q$4:Q$91,Q84),1-PERCENTRANK(Q$4:Q$91,Q84))*100,"")</f>
        <v>73.8</v>
      </c>
      <c r="AQ84" s="51">
        <f>IFERROR(IF('3 — Weights'!$E$11=1,PERCENTRANK(R$4:R$91,R84),1-PERCENTRANK(R$4:R$91,R84))*100,"")</f>
        <v>97.399999999999991</v>
      </c>
      <c r="AR84" s="51">
        <f>IFERROR(IF('3 — Weights'!$E$12=1,PERCENTRANK(S$4:S$91,S84),1-PERCENTRANK(S$4:S$91,S84))*100,"")</f>
        <v>92.5</v>
      </c>
      <c r="AS84" s="51">
        <f>IFERROR(IF('3 — Weights'!$E$13=1,PERCENTRANK(T$4:T$91,T84),1-PERCENTRANK(T$4:T$91,T84))*100,"")</f>
        <v>66.600000000000009</v>
      </c>
      <c r="AT84" s="51">
        <f>IFERROR(IF('3 — Weights'!$E$14=1,PERCENTRANK(U$4:U$91,U84),1-PERCENTRANK(U$4:U$91,U84))*100,"")</f>
        <v>32.9</v>
      </c>
      <c r="AU84" s="51">
        <f>IFERROR(IF('3 — Weights'!$E$15=1,PERCENTRANK(V$4:V$91,V84),1-PERCENTRANK(V$4:V$91,V84))*100,"")</f>
        <v>77.100000000000009</v>
      </c>
      <c r="AV84" s="51">
        <f>IFERROR(IF('3 — Weights'!$E$16=1,PERCENTRANK(W$4:W$91,W84),1-PERCENTRANK(W$4:W$91,W84))*100,"")</f>
        <v>84</v>
      </c>
      <c r="AW84" s="51">
        <f>IFERROR(IF('3 — Weights'!$E$17=1,PERCENTRANK(X$4:X$91,X84),1-PERCENTRANK(X$4:X$91,X84))*100,"")</f>
        <v>70.199999999999989</v>
      </c>
      <c r="AX84" s="51">
        <f>IFERROR(IF('3 — Weights'!$E$18=1,PERCENTRANK(Y$4:Y$91,Y84),1-PERCENTRANK(Y$4:Y$91,Y84))*100,"")</f>
        <v>73.3</v>
      </c>
      <c r="AY84" s="51">
        <f>IFERROR(IF('3 — Weights'!$E$18=1,PERCENTRANK(Z$4:Z$91,Z84),1-PERCENTRANK(Z$4:Z$91,Z84))*100,"")</f>
        <v>36.799999999999997</v>
      </c>
      <c r="AZ84" s="51">
        <f>IFERROR(IF('3 — Weights'!$E$18=1,PERCENTRANK(AA$4:AA$91,AA84),1-PERCENTRANK(AA$4:AA$91,AA84))*100,"")</f>
        <v>26.8</v>
      </c>
      <c r="BA84" s="51">
        <f>IFERROR(IF('3 — Weights'!$E$21=1,PERCENTRANK(AB$4:AB$91,AB84),1-PERCENTRANK(AB$4:AB$91,AB84))*100,"")</f>
        <v>60.9</v>
      </c>
      <c r="BB84" s="51">
        <f>IFERROR(IF('3 — Weights'!$E$22=1,PERCENTRANK(AC$4:AC$91,AC84),1-PERCENTRANK(AC$4:AC$91,AC84))*100,"")</f>
        <v>71.2</v>
      </c>
      <c r="BC84" s="51">
        <f>IFERROR(IF('3 — Weights'!$E$23=1,PERCENTRANK(AD$4:AD$91,AD84),1-PERCENTRANK(AD$4:AD$91,AD84))*100,"")</f>
        <v>56.400000000000006</v>
      </c>
      <c r="BD84" s="51">
        <f>IFERROR(IF('3 — Weights'!$E$24=1,PERCENTRANK(AE$4:AE$91,AE84),1-PERCENTRANK(AE$4:AE$91,AE84))*100,"")</f>
        <v>46</v>
      </c>
      <c r="BE84" s="51">
        <f>IFERROR(IF('3 — Weights'!$E$25=1,PERCENTRANK(AF$4:AF$91,AF84),1-PERCENTRANK(AF$4:AF$91,AF84))*100,"")</f>
        <v>51.800000000000004</v>
      </c>
      <c r="BF84" s="52" cm="1">
        <f t="array" ref="BF84">IFERROR(SUMPRODUCT(TRANSPOSE(AH84:BE84), [1]!Table2[Weight
Claude]),"")</f>
        <v>35.31</v>
      </c>
      <c r="BG84" s="53" cm="1">
        <f t="array" ref="BG84">IFERROR(SUMPRODUCT(TRANSPOSE(AH84:BE84), [1]!Table2[Weight
Cape IMC]),"")</f>
        <v>35.31</v>
      </c>
    </row>
    <row r="85" spans="1:59" ht="22.5" customHeight="1" x14ac:dyDescent="0.25">
      <c r="A85" s="17">
        <f t="shared" si="1"/>
        <v>82</v>
      </c>
      <c r="B85" s="18" t="s">
        <v>241</v>
      </c>
      <c r="C85" s="18" t="s">
        <v>242</v>
      </c>
      <c r="D85" s="18" t="str">
        <f t="array" ref="D85">IFERROR(_xll.FDS($B85,"FR_RBICS_NAME_CURR(""IND"")"), "")</f>
        <v>Enterprise Resource Planning Software</v>
      </c>
      <c r="E85" s="18" t="str">
        <f t="array" ref="E85">PROPER(IFERROR(_xll.FDS($B85,"P_DCOUNTRY"), ""))</f>
        <v>United States</v>
      </c>
      <c r="F85" s="19">
        <f t="array" ref="F85">IFERROR(_xll.FDS($B85,"FCS_EV_DAILY(MV,NOW,,,USD,M)"), "")</f>
        <v>8166.9526081499998</v>
      </c>
      <c r="G85" s="19">
        <f t="array" ref="G85">IFERROR(_xll.FDS($B85,"AVG(P_VOLUME_FRQ(-1AM,NOW,D,,6))*P_PRICE_AVG(-1AM,NOW,,USD)"), "")</f>
        <v>154.30134395006201</v>
      </c>
      <c r="H85" s="20">
        <f t="array" ref="H85">IFERROR(_xll.FDS($B85,"OS_SEC_FLT_PCT(0D,,MTD,SEC)")/100, "")</f>
        <v>0.98566900000000002</v>
      </c>
      <c r="I85" s="19">
        <f t="array" ref="I85">IFERROR(_xll.FDS($B85,"FE_ACTUAL(ACTUAL,SALES,ANN_ROLL,0,,,,'CURRENCY=USD')"), "")</f>
        <v>1081.3920000000001</v>
      </c>
      <c r="J85" s="19">
        <f t="array" ref="J85">IFERROR(_xll.FDS($B85,"FE_ACTUAL(ACTUAL,EPS,ANN_ROLL,0,,,,'CURRENCY=USD')"), "")</f>
        <v>5.0599999999999996</v>
      </c>
      <c r="K85" s="20">
        <f t="array" ref="K85">IFERROR(_xll.FDS($B85,"POW(FE_ESTIMATE(SALES,MEAN,STMA,,NOW,,,'CURRENCY=USD')/FE_ESTIMATE(SALES,MEAN,LTMA,,NOW,,,'CURRENCY=USD'),0.5)-1"), "")</f>
        <v>7.6568715874653304E-2</v>
      </c>
      <c r="L85" s="20">
        <f t="array" ref="L85">IFERROR(_xll.FDS($B85,"POW(FE_ESTIMATE(EPS,MEAN,STMA,,NOW,,,'CURRENCY=USD')/FE_ESTIMATE(EPS,MEAN,LTMA,,NOW,,,'CURRENCY=USD'),0.5)-1"), "")</f>
        <v>8.4052489504083103E-2</v>
      </c>
      <c r="M85" s="21">
        <f t="array" ref="M85">IFERROR(_xll.FDS($B85,"FF_GROSS_MGN(LTM_R,0)"), "")</f>
        <v>55.737050024413001</v>
      </c>
      <c r="N85" s="21">
        <f t="array" ref="N85">IFERROR(_xll.FDS($B85,"FF_EBITDA_OPER_MGN(LTM_R,0)"), "")</f>
        <v>26.729807507360899</v>
      </c>
      <c r="O85" s="21">
        <f t="array" ref="O85">IFERROR(_xll.FDS($B85,"FF_NET_MGN(LTM_R,0)"), "")</f>
        <v>20.3393404056993</v>
      </c>
      <c r="P85" s="22">
        <f t="array" ref="P85">IFERROR(_xll.FDS($B85,"FE_VALUATION(NETDEBT_EBITDA,MEAN,NTMA,,NOW,,,'')"), "")</f>
        <v>-1.3762695</v>
      </c>
      <c r="Q85" s="23">
        <f t="array" ref="Q85">IFERROR(_xll.FDS($B85,"FE_VALUATION(MCAP_FCF,MEAN,NTMA,,NOW,,,'')"), "")</f>
        <v>4.7632623000000001</v>
      </c>
      <c r="R85" s="23">
        <f t="array" ref="R85">IFERROR(_xll.FDS($B85,"FE_VALUATION(DIV_YLD,MEAN,NTMA,,NOW,,,'')"), "")</f>
        <v>0</v>
      </c>
      <c r="S85" s="21">
        <f t="array" ref="S85">IFERROR(_xll.FDS($B85,"FE_VALUATION(ROE,MEAN,NTMA,,0,,,'')" ), "")</f>
        <v>89.426445000000001</v>
      </c>
      <c r="T85" s="21" t="str">
        <f t="array" ref="T85">IFERROR(_xll.FDS($B85,"FE_VALUATION(ROIC,MEAN,NTMA,,0,,,'')" ), "")</f>
        <v/>
      </c>
      <c r="U85" s="22">
        <f t="array" ref="U85">IFERROR(((_xll.FDS($B85,"FE_ACTUAL(ACTUAL,SALES,ANN_ROLL,0,,,,'CURRENCY=USD')")/_xll.FDS($B85,"FE_ACTUAL(ACTUAL,SALES,ANN_ROLL,-1,,,,'CURRENCY=USD')")-1)*100)+(_xll.FDS($B85,"FE_VALUATION(EBITDA_MARGIN,MEAN,ANN_ROLL,0,NOW,,,'')")  ), "")</f>
        <v>40.248575842325813</v>
      </c>
      <c r="V85" s="24">
        <f t="array" ref="V85">IFERROR(_xll.FDS($B85,"FE_VALUATION(PE,MEAN,NTMA,,0,,,'')" ), "")</f>
        <v>25.092293000000002</v>
      </c>
      <c r="W85" s="24">
        <f t="array" ref="W85">IFERROR(_xll.FDS($B85,"FE_VALUATION(P_SALESPS,MEAN,NTMA,,0,,,'')" ), "")</f>
        <v>6.8735246999999999</v>
      </c>
      <c r="X85" s="24">
        <f t="array" ref="X85">IFERROR(_xll.FDS($B85,"FE_VALUATION(FFEV_SALES,MEAN,NTMA,,0,,,'')" ), "")</f>
        <v>6.7815365999999999</v>
      </c>
      <c r="Y85" s="24">
        <f t="array" ref="Y85">IFERROR(_xll.FDS($B85,"FE_VALUATION(FFEV_EBITDA,MEAN,NTMA,,0,,,'')" ), "")</f>
        <v>19.3934</v>
      </c>
      <c r="Z85" s="20">
        <f t="array" ref="Z85">IFERROR(_xll.FDS($B85,"PERCENT_CHANGE(FE_VALUATION(PE,MEAN,NTMA,,0,,,''),MAX(FE_VALUATION(PE,MEAN,NTMA,,-1AY,0,,'')))")/100,"")</f>
        <v>-0.44269121562614105</v>
      </c>
      <c r="AA85" s="20">
        <f t="array" ref="AA85">IFERROR(_xll.FDS($B85,"PERCENT_CHANGE(FE_VALUATION(FFEV_EBITDA,MEAN,NTMA,,0,,,''),MAX(FE_VALUATION(FFEV_EBITDA,MEAN,NTMA,,-1AY,0,,'')))")/100,"")</f>
        <v>-0.44379444078374197</v>
      </c>
      <c r="AB85" s="20">
        <f t="array" ref="AB85">IFERROR(_xll.FDS($B85,"FG_PRICE(0,,,USD)/P_PRICE_HIGH(-1AY,0,USD,,,""PRICE"",""INTRA"")")-1, "")</f>
        <v>-0.46060189305072397</v>
      </c>
      <c r="AC85" s="20">
        <f t="array" ref="AC85">IFERROR(_xll.FDS($B85,"RTP_PRICE_TARGET(USD)/FG_PRICE(0,,,USD)")-1, "")</f>
        <v>0.59355080614923006</v>
      </c>
      <c r="AD85" s="25">
        <f t="array" ref="AD85">IFERROR(_xll.FDS($B85,"FG_PRICE(0,,,USD)/FG_PRICE_MAVG(0,,,USD,50)")-1, "")</f>
        <v>-0.17668312271403797</v>
      </c>
      <c r="AE85" s="25">
        <f t="array" ref="AE85">IFERROR(_xll.FDS($B85,"FG_PRICE(0,,,USD)/FG_PRICE_MAVG(0,,,USD,100)")-1, "")</f>
        <v>-0.23143336668495595</v>
      </c>
      <c r="AF85" s="25">
        <f t="array" ref="AF85">IFERROR(_xll.FDS($B85,"FG_PRICE(0,,,USD)/FG_PRICE_MAVG(0,,,USD,200)")-1, "")</f>
        <v>-0.29374585072377202</v>
      </c>
      <c r="AG85" s="26" t="str">
        <f t="array" ref="AG85">IFERROR(_xll.FDS($B85,"FE_RATING(MEAN,TEXTONLY,0,NOW,,,'')"), "")</f>
        <v>Overweight</v>
      </c>
      <c r="AH85" s="50">
        <f>IFERROR(IF('3 — Weights'!$E$2=1,PERCENTRANK(I$4:I$91,I85),1-PERCENTRANK(I$4:I$91,I85))*100,"")</f>
        <v>35.6</v>
      </c>
      <c r="AI85" s="51">
        <f>IFERROR(IF('3 — Weights'!$E$3=1,PERCENTRANK(J$4:J$91,J85),1-PERCENTRANK(J$4:J$91,J85))*100,"")</f>
        <v>71.2</v>
      </c>
      <c r="AJ85" s="51">
        <f>IFERROR(IF('3 — Weights'!$E$4=1,PERCENTRANK(K$4:K$91,K85),1-PERCENTRANK(K$4:K$91,K85))*100,"")</f>
        <v>20.599999999999998</v>
      </c>
      <c r="AK85" s="51">
        <f>IFERROR(IF('3 — Weights'!$E$5=1,PERCENTRANK(L$4:L$91,L85),1-PERCENTRANK(L$4:L$91,L85))*100,"")</f>
        <v>8.3000000000000007</v>
      </c>
      <c r="AL85" s="51">
        <f>IFERROR(IF('3 — Weights'!$E$6=1,PERCENTRANK(M$4:M$91,M85),1-PERCENTRANK(M$4:M$91,M85))*100,"")</f>
        <v>15.8</v>
      </c>
      <c r="AM85" s="51">
        <f>IFERROR(IF('3 — Weights'!$E$7=1,PERCENTRANK(N$4:N$91,N85),1-PERCENTRANK(N$4:N$91,N85))*100,"")</f>
        <v>66.2</v>
      </c>
      <c r="AN85" s="51">
        <f>IFERROR(IF('3 — Weights'!$E$8=1,PERCENTRANK(O$4:O$91,O85),1-PERCENTRANK(O$4:O$91,O85))*100,"")</f>
        <v>75.900000000000006</v>
      </c>
      <c r="AO85" s="51">
        <f>IFERROR(IF('3 — Weights'!$E$9=1,PERCENTRANK(P$4:P$91,P85),1-PERCENTRANK(P$4:P$91,P85))*100,"")</f>
        <v>55.499999999999993</v>
      </c>
      <c r="AP85" s="51">
        <f>IFERROR(IF('3 — Weights'!$E$10=1,PERCENTRANK(Q$4:Q$91,Q85),1-PERCENTRANK(Q$4:Q$91,Q85))*100,"")</f>
        <v>46.400000000000006</v>
      </c>
      <c r="AQ85" s="51">
        <f>IFERROR(IF('3 — Weights'!$E$11=1,PERCENTRANK(R$4:R$91,R85),1-PERCENTRANK(R$4:R$91,R85))*100,"")</f>
        <v>0</v>
      </c>
      <c r="AR85" s="51">
        <f>IFERROR(IF('3 — Weights'!$E$12=1,PERCENTRANK(S$4:S$91,S85),1-PERCENTRANK(S$4:S$91,S85))*100,"")</f>
        <v>96.2</v>
      </c>
      <c r="AS85" s="51" t="str">
        <f>IFERROR(IF('3 — Weights'!$E$13=1,PERCENTRANK(T$4:T$91,T85),1-PERCENTRANK(T$4:T$91,T85))*100,"")</f>
        <v/>
      </c>
      <c r="AT85" s="51">
        <f>IFERROR(IF('3 — Weights'!$E$14=1,PERCENTRANK(U$4:U$91,U85),1-PERCENTRANK(U$4:U$91,U85))*100,"")</f>
        <v>37.799999999999997</v>
      </c>
      <c r="AU85" s="51">
        <f>IFERROR(IF('3 — Weights'!$E$15=1,PERCENTRANK(V$4:V$91,V85),1-PERCENTRANK(V$4:V$91,V85))*100,"")</f>
        <v>39.1</v>
      </c>
      <c r="AV85" s="51">
        <f>IFERROR(IF('3 — Weights'!$E$16=1,PERCENTRANK(W$4:W$91,W85),1-PERCENTRANK(W$4:W$91,W85))*100,"")</f>
        <v>27.6</v>
      </c>
      <c r="AW85" s="51">
        <f>IFERROR(IF('3 — Weights'!$E$17=1,PERCENTRANK(X$4:X$91,X85),1-PERCENTRANK(X$4:X$91,X85))*100,"")</f>
        <v>26.5</v>
      </c>
      <c r="AX85" s="51">
        <f>IFERROR(IF('3 — Weights'!$E$18=1,PERCENTRANK(Y$4:Y$91,Y85),1-PERCENTRANK(Y$4:Y$91,Y85))*100,"")</f>
        <v>32.599999999999994</v>
      </c>
      <c r="AY85" s="51">
        <f>IFERROR(IF('3 — Weights'!$E$18=1,PERCENTRANK(Z$4:Z$91,Z85),1-PERCENTRANK(Z$4:Z$91,Z85))*100,"")</f>
        <v>29.900000000000006</v>
      </c>
      <c r="AZ85" s="51">
        <f>IFERROR(IF('3 — Weights'!$E$18=1,PERCENTRANK(AA$4:AA$91,AA85),1-PERCENTRANK(AA$4:AA$91,AA85))*100,"")</f>
        <v>33.799999999999997</v>
      </c>
      <c r="BA85" s="51">
        <f>IFERROR(IF('3 — Weights'!$E$21=1,PERCENTRANK(AB$4:AB$91,AB85),1-PERCENTRANK(AB$4:AB$91,AB85))*100,"")</f>
        <v>43.6</v>
      </c>
      <c r="BB85" s="51">
        <f>IFERROR(IF('3 — Weights'!$E$22=1,PERCENTRANK(AC$4:AC$91,AC85),1-PERCENTRANK(AC$4:AC$91,AC85))*100,"")</f>
        <v>60.9</v>
      </c>
      <c r="BC85" s="51">
        <f>IFERROR(IF('3 — Weights'!$E$23=1,PERCENTRANK(AD$4:AD$91,AD85),1-PERCENTRANK(AD$4:AD$91,AD85))*100,"")</f>
        <v>44.9</v>
      </c>
      <c r="BD85" s="51">
        <f>IFERROR(IF('3 — Weights'!$E$24=1,PERCENTRANK(AE$4:AE$91,AE85),1-PERCENTRANK(AE$4:AE$91,AE85))*100,"")</f>
        <v>43.7</v>
      </c>
      <c r="BE85" s="51">
        <f>IFERROR(IF('3 — Weights'!$E$25=1,PERCENTRANK(AF$4:AF$91,AF85),1-PERCENTRANK(AF$4:AF$91,AF85))*100,"")</f>
        <v>52.900000000000006</v>
      </c>
      <c r="BF85" s="52" cm="1">
        <f t="array" ref="BF85">IFERROR(SUMPRODUCT(TRANSPOSE(AH85:BE85), [1]!Table2[Weight
Claude]),"")</f>
        <v>33.125000000000007</v>
      </c>
      <c r="BG85" s="53" cm="1">
        <f t="array" ref="BG85">IFERROR(SUMPRODUCT(TRANSPOSE(AH85:BE85), [1]!Table2[Weight
Cape IMC]),"")</f>
        <v>33.125000000000007</v>
      </c>
    </row>
    <row r="86" spans="1:59" ht="22.5" customHeight="1" x14ac:dyDescent="0.25">
      <c r="A86" s="17">
        <f t="shared" si="1"/>
        <v>83</v>
      </c>
      <c r="B86" s="18" t="s">
        <v>243</v>
      </c>
      <c r="C86" s="18" t="s">
        <v>244</v>
      </c>
      <c r="D86" s="18" t="str">
        <f t="array" ref="D86">IFERROR(_xll.FDS($B86,"FR_RBICS_NAME_CURR(""IND"")"), "")</f>
        <v>General Enterprise Management Software</v>
      </c>
      <c r="E86" s="18" t="str">
        <f t="array" ref="E86">PROPER(IFERROR(_xll.FDS($B86,"P_DCOUNTRY"), ""))</f>
        <v>Australia</v>
      </c>
      <c r="F86" s="19">
        <f t="array" ref="F86">IFERROR(_xll.FDS($B86,"FCS_EV_DAILY(MV,NOW,,,USD,M)"), "")</f>
        <v>5247.9178838745202</v>
      </c>
      <c r="G86" s="19">
        <f t="array" ref="G86">IFERROR(_xll.FDS($B86,"AVG(P_VOLUME_FRQ(-1AM,NOW,D,,6))*P_PRICE_AVG(-1AM,NOW,,USD)"), "")</f>
        <v>25.251732775820901</v>
      </c>
      <c r="H86" s="20">
        <f t="array" ref="H86">IFERROR(_xll.FDS($B86,"OS_SEC_FLT_PCT(0D,,MTD,SEC)")/100, "")</f>
        <v>0.90840799999999999</v>
      </c>
      <c r="I86" s="19">
        <f t="array" ref="I86">IFERROR(_xll.FDS($B86,"FE_ACTUAL(ACTUAL,SALES,ANN_ROLL,0,,,,'CURRENCY=USD')"), "")</f>
        <v>395.72516000000002</v>
      </c>
      <c r="J86" s="19">
        <f t="array" ref="J86">IFERROR(_xll.FDS($B86,"FE_ACTUAL(ACTUAL,EPS,ANN_ROLL,0,,,,'CURRENCY=USD')"), "")</f>
        <v>0.27329730000000002</v>
      </c>
      <c r="K86" s="20">
        <f t="array" ref="K86">IFERROR(_xll.FDS($B86,"POW(FE_ESTIMATE(SALES,MEAN,STMA,,NOW,,,'CURRENCY=USD')/FE_ESTIMATE(SALES,MEAN,LTMA,,NOW,,,'CURRENCY=USD'),0.5)-1"), "")</f>
        <v>0.16753239783742199</v>
      </c>
      <c r="L86" s="20">
        <f t="array" ref="L86">IFERROR(_xll.FDS($B86,"POW(FE_ESTIMATE(EPS,MEAN,STMA,,NOW,,,'CURRENCY=USD')/FE_ESTIMATE(EPS,MEAN,LTMA,,NOW,,,'CURRENCY=USD'),0.5)-1"), "")</f>
        <v>0.21517496682576501</v>
      </c>
      <c r="M86" s="21" t="str">
        <f t="array" ref="M86">IFERROR(_xll.FDS($B86,"FF_GROSS_MGN(LTM_R,0)"), "")</f>
        <v/>
      </c>
      <c r="N86" s="21" t="str">
        <f t="array" ref="N86">IFERROR(_xll.FDS($B86,"FF_EBITDA_OPER_MGN(LTM_R,0)"), "")</f>
        <v/>
      </c>
      <c r="O86" s="21" t="str">
        <f t="array" ref="O86">IFERROR(_xll.FDS($B86,"FF_NET_MGN(LTM_R,0)"), "")</f>
        <v/>
      </c>
      <c r="P86" s="22">
        <f t="array" ref="P86">IFERROR(_xll.FDS($B86,"FE_VALUATION(NETDEBT_EBITDA,MEAN,NTMA,,NOW,,,'')"), "")</f>
        <v>-0.80580985999999999</v>
      </c>
      <c r="Q86" s="23">
        <f t="array" ref="Q86">IFERROR(_xll.FDS($B86,"FE_VALUATION(MCAP_FCF,MEAN,NTMA,,NOW,,,'')"), "")</f>
        <v>2.4676094000000002</v>
      </c>
      <c r="R86" s="23">
        <f t="array" ref="R86">IFERROR(_xll.FDS($B86,"FE_VALUATION(DIV_YLD,MEAN,NTMA,,NOW,,,'')"), "")</f>
        <v>1.5591691999999999</v>
      </c>
      <c r="S86" s="21">
        <f t="array" ref="S86">IFERROR(_xll.FDS($B86,"FE_VALUATION(ROE,MEAN,NTMA,,0,,,'')" ), "")</f>
        <v>34.558199999999999</v>
      </c>
      <c r="T86" s="21">
        <f t="array" ref="T86">IFERROR(_xll.FDS($B86,"FE_VALUATION(ROIC,MEAN,NTMA,,0,,,'')" ), "")</f>
        <v>32.395695000000003</v>
      </c>
      <c r="U86" s="22">
        <f t="array" ref="U86">IFERROR(((_xll.FDS($B86,"FE_ACTUAL(ACTUAL,SALES,ANN_ROLL,0,,,,'CURRENCY=USD')")/_xll.FDS($B86,"FE_ACTUAL(ACTUAL,SALES,ANN_ROLL,-1,,,,'CURRENCY=USD')")-1)*100)+(_xll.FDS($B86,"FE_VALUATION(EBITDA_MARGIN,MEAN,ANN_ROLL,0,NOW,,,'')")  ), "")</f>
        <v>61.807730003849827</v>
      </c>
      <c r="V86" s="24">
        <f t="array" ref="V86">IFERROR(_xll.FDS($B86,"FE_VALUATION(PE,MEAN,NTMA,,0,,,'')" ), "")</f>
        <v>42.049973000000001</v>
      </c>
      <c r="W86" s="24">
        <f t="array" ref="W86">IFERROR(_xll.FDS($B86,"FE_VALUATION(P_SALESPS,MEAN,NTMA,,0,,,'')" ), "")</f>
        <v>10.099098</v>
      </c>
      <c r="X86" s="24">
        <f t="array" ref="X86">IFERROR(_xll.FDS($B86,"FE_VALUATION(FFEV_SALES,MEAN,NTMA,,0,,,'')" ), "")</f>
        <v>9.8124590000000005</v>
      </c>
      <c r="Y86" s="24">
        <f t="array" ref="Y86">IFERROR(_xll.FDS($B86,"FE_VALUATION(FFEV_EBITDA,MEAN,NTMA,,0,,,'')" ), "")</f>
        <v>22.166758000000002</v>
      </c>
      <c r="Z86" s="20">
        <f t="array" ref="Z86">IFERROR(_xll.FDS($B86,"PERCENT_CHANGE(FE_VALUATION(PE,MEAN,NTMA,,0,,,''),MAX(FE_VALUATION(PE,MEAN,NTMA,,-1AY,0,,'')))")/100,"")</f>
        <v>-0.526149648460284</v>
      </c>
      <c r="AA86" s="20">
        <f t="array" ref="AA86">IFERROR(_xll.FDS($B86,"PERCENT_CHANGE(FE_VALUATION(FFEV_EBITDA,MEAN,NTMA,,0,,,''),MAX(FE_VALUATION(FFEV_EBITDA,MEAN,NTMA,,-1AY,0,,'')))")/100,"")</f>
        <v>-0.53818061133245898</v>
      </c>
      <c r="AB86" s="20">
        <f t="array" ref="AB86">IFERROR(_xll.FDS($B86,"FG_PRICE(0,,,USD)/P_PRICE_HIGH(-1AY,0,USD,,,""PRICE"",""INTRA"")")-1, "")</f>
        <v>-0.42738915268199795</v>
      </c>
      <c r="AC86" s="20">
        <f t="array" ref="AC86">IFERROR(_xll.FDS($B86,"RTP_PRICE_TARGET(USD)/FG_PRICE(0,,,USD)")-1, "")</f>
        <v>0.4525600917472401</v>
      </c>
      <c r="AD86" s="25">
        <f t="array" ref="AD86">IFERROR(_xll.FDS($B86,"FG_PRICE(0,,,USD)/FG_PRICE_MAVG(0,,,USD,50)")-1, "")</f>
        <v>-9.7336110970408951E-2</v>
      </c>
      <c r="AE86" s="25">
        <f t="array" ref="AE86">IFERROR(_xll.FDS($B86,"FG_PRICE(0,,,USD)/FG_PRICE_MAVG(0,,,USD,100)")-1, "")</f>
        <v>-0.21315818301123501</v>
      </c>
      <c r="AF86" s="25">
        <f t="array" ref="AF86">IFERROR(_xll.FDS($B86,"FG_PRICE(0,,,USD)/FG_PRICE_MAVG(0,,,USD,200)")-1, "")</f>
        <v>-0.30638032609395605</v>
      </c>
      <c r="AG86" s="26" t="str">
        <f t="array" ref="AG86">IFERROR(_xll.FDS($B86,"FE_RATING(MEAN,TEXTONLY,0,NOW,,,'')"), "")</f>
        <v>Overweight</v>
      </c>
      <c r="AH86" s="50">
        <f>IFERROR(IF('3 — Weights'!$E$2=1,PERCENTRANK(I$4:I$91,I86),1-PERCENTRANK(I$4:I$91,I86))*100,"")</f>
        <v>4.5</v>
      </c>
      <c r="AI86" s="51">
        <f>IFERROR(IF('3 — Weights'!$E$3=1,PERCENTRANK(J$4:J$91,J86),1-PERCENTRANK(J$4:J$91,J86))*100,"")</f>
        <v>14.899999999999999</v>
      </c>
      <c r="AJ86" s="51">
        <f>IFERROR(IF('3 — Weights'!$E$4=1,PERCENTRANK(K$4:K$91,K86),1-PERCENTRANK(K$4:K$91,K86))*100,"")</f>
        <v>66.600000000000009</v>
      </c>
      <c r="AK86" s="51">
        <f>IFERROR(IF('3 — Weights'!$E$5=1,PERCENTRANK(L$4:L$91,L86),1-PERCENTRANK(L$4:L$91,L86))*100,"")</f>
        <v>69</v>
      </c>
      <c r="AL86" s="51" t="str">
        <f>IFERROR(IF('3 — Weights'!$E$6=1,PERCENTRANK(M$4:M$91,M86),1-PERCENTRANK(M$4:M$91,M86))*100,"")</f>
        <v/>
      </c>
      <c r="AM86" s="51" t="str">
        <f>IFERROR(IF('3 — Weights'!$E$7=1,PERCENTRANK(N$4:N$91,N86),1-PERCENTRANK(N$4:N$91,N86))*100,"")</f>
        <v/>
      </c>
      <c r="AN86" s="51" t="str">
        <f>IFERROR(IF('3 — Weights'!$E$8=1,PERCENTRANK(O$4:O$91,O86),1-PERCENTRANK(O$4:O$91,O86))*100,"")</f>
        <v/>
      </c>
      <c r="AO86" s="51">
        <f>IFERROR(IF('3 — Weights'!$E$9=1,PERCENTRANK(P$4:P$91,P86),1-PERCENTRANK(P$4:P$91,P86))*100,"")</f>
        <v>43.400000000000006</v>
      </c>
      <c r="AP86" s="51">
        <f>IFERROR(IF('3 — Weights'!$E$10=1,PERCENTRANK(Q$4:Q$91,Q86),1-PERCENTRANK(Q$4:Q$91,Q86))*100,"")</f>
        <v>14.2</v>
      </c>
      <c r="AQ86" s="51">
        <f>IFERROR(IF('3 — Weights'!$E$11=1,PERCENTRANK(R$4:R$91,R86),1-PERCENTRANK(R$4:R$91,R86))*100,"")</f>
        <v>87.1</v>
      </c>
      <c r="AR86" s="51">
        <f>IFERROR(IF('3 — Weights'!$E$12=1,PERCENTRANK(S$4:S$91,S86),1-PERCENTRANK(S$4:S$91,S86))*100,"")</f>
        <v>81.399999999999991</v>
      </c>
      <c r="AS86" s="51">
        <f>IFERROR(IF('3 — Weights'!$E$13=1,PERCENTRANK(T$4:T$91,T86),1-PERCENTRANK(T$4:T$91,T86))*100,"")</f>
        <v>90.2</v>
      </c>
      <c r="AT86" s="51">
        <f>IFERROR(IF('3 — Weights'!$E$14=1,PERCENTRANK(U$4:U$91,U86),1-PERCENTRANK(U$4:U$91,U86))*100,"")</f>
        <v>84.1</v>
      </c>
      <c r="AU86" s="51">
        <f>IFERROR(IF('3 — Weights'!$E$15=1,PERCENTRANK(V$4:V$91,V86),1-PERCENTRANK(V$4:V$91,V86))*100,"")</f>
        <v>19.599999999999994</v>
      </c>
      <c r="AV86" s="51">
        <f>IFERROR(IF('3 — Weights'!$E$16=1,PERCENTRANK(W$4:W$91,W86),1-PERCENTRANK(W$4:W$91,W86))*100,"")</f>
        <v>11.5</v>
      </c>
      <c r="AW86" s="51">
        <f>IFERROR(IF('3 — Weights'!$E$17=1,PERCENTRANK(X$4:X$91,X86),1-PERCENTRANK(X$4:X$91,X86))*100,"")</f>
        <v>11.5</v>
      </c>
      <c r="AX86" s="51">
        <f>IFERROR(IF('3 — Weights'!$E$18=1,PERCENTRANK(Y$4:Y$91,Y86),1-PERCENTRANK(Y$4:Y$91,Y86))*100,"")</f>
        <v>25.6</v>
      </c>
      <c r="AY86" s="51">
        <f>IFERROR(IF('3 — Weights'!$E$18=1,PERCENTRANK(Z$4:Z$91,Z86),1-PERCENTRANK(Z$4:Z$91,Z86))*100,"")</f>
        <v>50.6</v>
      </c>
      <c r="AZ86" s="51">
        <f>IFERROR(IF('3 — Weights'!$E$18=1,PERCENTRANK(AA$4:AA$91,AA86),1-PERCENTRANK(AA$4:AA$91,AA86))*100,"")</f>
        <v>53.499999999999993</v>
      </c>
      <c r="BA86" s="51">
        <f>IFERROR(IF('3 — Weights'!$E$21=1,PERCENTRANK(AB$4:AB$91,AB86),1-PERCENTRANK(AB$4:AB$91,AB86))*100,"")</f>
        <v>54</v>
      </c>
      <c r="BB86" s="51">
        <f>IFERROR(IF('3 — Weights'!$E$22=1,PERCENTRANK(AC$4:AC$91,AC86),1-PERCENTRANK(AC$4:AC$91,AC86))*100,"")</f>
        <v>39</v>
      </c>
      <c r="BC86" s="51">
        <f>IFERROR(IF('3 — Weights'!$E$23=1,PERCENTRANK(AD$4:AD$91,AD86),1-PERCENTRANK(AD$4:AD$91,AD86))*100,"")</f>
        <v>23</v>
      </c>
      <c r="BD86" s="51">
        <f>IFERROR(IF('3 — Weights'!$E$24=1,PERCENTRANK(AE$4:AE$91,AE86),1-PERCENTRANK(AE$4:AE$91,AE86))*100,"")</f>
        <v>35.699999999999996</v>
      </c>
      <c r="BE86" s="51">
        <f>IFERROR(IF('3 — Weights'!$E$25=1,PERCENTRANK(AF$4:AF$91,AF86),1-PERCENTRANK(AF$4:AF$91,AF86))*100,"")</f>
        <v>57.499999999999993</v>
      </c>
      <c r="BF86" s="52" cm="1">
        <f t="array" ref="BF86">IFERROR(SUMPRODUCT(TRANSPOSE(AH86:BE86), [1]!Table2[Weight
Claude]),"")</f>
        <v>32.72</v>
      </c>
      <c r="BG86" s="53" cm="1">
        <f t="array" ref="BG86">IFERROR(SUMPRODUCT(TRANSPOSE(AH86:BE86), [1]!Table2[Weight
Cape IMC]),"")</f>
        <v>32.72</v>
      </c>
    </row>
    <row r="87" spans="1:59" ht="22.5" customHeight="1" x14ac:dyDescent="0.25">
      <c r="A87" s="17">
        <f t="shared" si="1"/>
        <v>84</v>
      </c>
      <c r="B87" s="18" t="s">
        <v>245</v>
      </c>
      <c r="C87" s="18" t="s">
        <v>246</v>
      </c>
      <c r="D87" s="18" t="str">
        <f t="array" ref="D87">IFERROR(_xll.FDS($B87,"FR_RBICS_NAME_CURR(""IND"")"), "")</f>
        <v>Industry-Specific Software</v>
      </c>
      <c r="E87" s="18" t="str">
        <f t="array" ref="E87">PROPER(IFERROR(_xll.FDS($B87,"P_DCOUNTRY"), ""))</f>
        <v>United States</v>
      </c>
      <c r="F87" s="19">
        <f t="array" ref="F87">IFERROR(_xll.FDS($B87,"FCS_EV_DAILY(MV,NOW,,,USD,M)"), "")</f>
        <v>6949.1462581599999</v>
      </c>
      <c r="G87" s="19">
        <f t="array" ref="G87">IFERROR(_xll.FDS($B87,"AVG(P_VOLUME_FRQ(-1AM,NOW,D,,6))*P_PRICE_AVG(-1AM,NOW,,USD)"), "")</f>
        <v>83.822912093896093</v>
      </c>
      <c r="H87" s="20">
        <f t="array" ref="H87">IFERROR(_xll.FDS($B87,"OS_SEC_FLT_PCT(0D,,MTD,SEC)")/100, "")</f>
        <v>0.98637299999999994</v>
      </c>
      <c r="I87" s="19">
        <f t="array" ref="I87">IFERROR(_xll.FDS($B87,"FE_ACTUAL(ACTUAL,SALES,ANN_ROLL,0,,,,'CURRENCY=USD')"), "")</f>
        <v>6364.2449999999999</v>
      </c>
      <c r="J87" s="19">
        <f t="array" ref="J87">IFERROR(_xll.FDS($B87,"FE_ACTUAL(ACTUAL,EPS,ANN_ROLL,0,,,,'CURRENCY=USD')"), "")</f>
        <v>3.17</v>
      </c>
      <c r="K87" s="20">
        <f t="array" ref="K87">IFERROR(_xll.FDS($B87,"POW(FE_ESTIMATE(SALES,MEAN,STMA,,NOW,,,'CURRENCY=USD')/FE_ESTIMATE(SALES,MEAN,LTMA,,NOW,,,'CURRENCY=USD'),0.5)-1"), "")</f>
        <v>6.4730811050379894E-2</v>
      </c>
      <c r="L87" s="20">
        <f t="array" ref="L87">IFERROR(_xll.FDS($B87,"POW(FE_ESTIMATE(EPS,MEAN,STMA,,NOW,,,'CURRENCY=USD')/FE_ESTIMATE(EPS,MEAN,LTMA,,NOW,,,'CURRENCY=USD'),0.5)-1"), "")</f>
        <v>9.4253307054632501E-2</v>
      </c>
      <c r="M87" s="21">
        <f t="array" ref="M87">IFERROR(_xll.FDS($B87,"FF_GROSS_MGN(LTM_R,0)"), "")</f>
        <v>22.493382954301701</v>
      </c>
      <c r="N87" s="21">
        <f t="array" ref="N87">IFERROR(_xll.FDS($B87,"FF_EBITDA_OPER_MGN(LTM_R,0)"), "")</f>
        <v>8.2920283552880196</v>
      </c>
      <c r="O87" s="21">
        <f t="array" ref="O87">IFERROR(_xll.FDS($B87,"FF_NET_MGN(LTM_R,0)"), "")</f>
        <v>3.7889647554423198</v>
      </c>
      <c r="P87" s="22">
        <f t="array" ref="P87">IFERROR(_xll.FDS($B87,"FE_VALUATION(NETDEBT_EBITDA,MEAN,NTMA,,NOW,,,'')"), "")</f>
        <v>0.4243441</v>
      </c>
      <c r="Q87" s="23">
        <f t="array" ref="Q87">IFERROR(_xll.FDS($B87,"FE_VALUATION(MCAP_FCF,MEAN,NTMA,,NOW,,,'')"), "")</f>
        <v>6.1855625999999999</v>
      </c>
      <c r="R87" s="23">
        <f t="array" ref="R87">IFERROR(_xll.FDS($B87,"FE_VALUATION(DIV_YLD,MEAN,NTMA,,NOW,,,'')"), "")</f>
        <v>0</v>
      </c>
      <c r="S87" s="21">
        <f t="array" ref="S87">IFERROR(_xll.FDS($B87,"FE_VALUATION(ROE,MEAN,NTMA,,0,,,'')" ), "")</f>
        <v>12.483822999999999</v>
      </c>
      <c r="T87" s="21">
        <f t="array" ref="T87">IFERROR(_xll.FDS($B87,"FE_VALUATION(ROIC,MEAN,NTMA,,0,,,'')" ), "")</f>
        <v>6.4793960000000004</v>
      </c>
      <c r="U87" s="22">
        <f t="array" ref="U87">IFERROR(((_xll.FDS($B87,"FE_ACTUAL(ACTUAL,SALES,ANN_ROLL,0,,,,'CURRENCY=USD')")/_xll.FDS($B87,"FE_ACTUAL(ACTUAL,SALES,ANN_ROLL,-1,,,,'CURRENCY=USD')")-1)*100)+(_xll.FDS($B87,"FE_VALUATION(EBITDA_MARGIN,MEAN,ANN_ROLL,0,NOW,,,'')")  ), "")</f>
        <v>3.8509601348009346</v>
      </c>
      <c r="V87" s="24">
        <f t="array" ref="V87">IFERROR(_xll.FDS($B87,"FE_VALUATION(PE,MEAN,NTMA,,0,,,'')" ), "")</f>
        <v>19.211884999999999</v>
      </c>
      <c r="W87" s="24">
        <f t="array" ref="W87">IFERROR(_xll.FDS($B87,"FE_VALUATION(P_SALESPS,MEAN,NTMA,,0,,,'')" ), "")</f>
        <v>1.0113027000000001</v>
      </c>
      <c r="X87" s="24">
        <f t="array" ref="X87">IFERROR(_xll.FDS($B87,"FE_VALUATION(FFEV_SALES,MEAN,NTMA,,0,,,'')" ), "")</f>
        <v>1.2026950000000001</v>
      </c>
      <c r="Y87" s="24">
        <f t="array" ref="Y87">IFERROR(_xll.FDS($B87,"FE_VALUATION(FFEV_EBITDA,MEAN,NTMA,,0,,,'')" ), "")</f>
        <v>12.325471</v>
      </c>
      <c r="Z87" s="20">
        <f t="array" ref="Z87">IFERROR(_xll.FDS($B87,"PERCENT_CHANGE(FE_VALUATION(PE,MEAN,NTMA,,0,,,''),MAX(FE_VALUATION(PE,MEAN,NTMA,,-1AY,0,,'')))")/100,"")</f>
        <v>-0.25475536573917801</v>
      </c>
      <c r="AA87" s="20">
        <f t="array" ref="AA87">IFERROR(_xll.FDS($B87,"PERCENT_CHANGE(FE_VALUATION(FFEV_EBITDA,MEAN,NTMA,,0,,,''),MAX(FE_VALUATION(FFEV_EBITDA,MEAN,NTMA,,-1AY,0,,'')))")/100,"")</f>
        <v>-0.247920847563561</v>
      </c>
      <c r="AB87" s="20">
        <f t="array" ref="AB87">IFERROR(_xll.FDS($B87,"FG_PRICE(0,,,USD)/P_PRICE_HIGH(-1AY,0,USD,,,""PRICE"",""INTRA"")")-1, "")</f>
        <v>-0.27720670391061497</v>
      </c>
      <c r="AC87" s="20">
        <f t="array" ref="AC87">IFERROR(_xll.FDS($B87,"RTP_PRICE_TARGET(USD)/FG_PRICE(0,,,USD)")-1, "")</f>
        <v>0.24931494821456002</v>
      </c>
      <c r="AD87" s="25">
        <f t="array" ref="AD87">IFERROR(_xll.FDS($B87,"FG_PRICE(0,,,USD)/FG_PRICE_MAVG(0,,,USD,50)")-1, "")</f>
        <v>-2.601997645223797E-2</v>
      </c>
      <c r="AE87" s="25">
        <f t="array" ref="AE87">IFERROR(_xll.FDS($B87,"FG_PRICE(0,,,USD)/FG_PRICE_MAVG(0,,,USD,100)")-1, "")</f>
        <v>-0.13259997425555703</v>
      </c>
      <c r="AF87" s="25">
        <f t="array" ref="AF87">IFERROR(_xll.FDS($B87,"FG_PRICE(0,,,USD)/FG_PRICE_MAVG(0,,,USD,200)")-1, "")</f>
        <v>-0.12867265016725504</v>
      </c>
      <c r="AG87" s="26" t="str">
        <f t="array" ref="AG87">IFERROR(_xll.FDS($B87,"FE_RATING(MEAN,TEXTONLY,0,NOW,,,'')"), "")</f>
        <v>Overweight</v>
      </c>
      <c r="AH87" s="50">
        <f>IFERROR(IF('3 — Weights'!$E$2=1,PERCENTRANK(I$4:I$91,I87),1-PERCENTRANK(I$4:I$91,I87))*100,"")</f>
        <v>85</v>
      </c>
      <c r="AI87" s="51">
        <f>IFERROR(IF('3 — Weights'!$E$3=1,PERCENTRANK(J$4:J$91,J87),1-PERCENTRANK(J$4:J$91,J87))*100,"")</f>
        <v>57.4</v>
      </c>
      <c r="AJ87" s="51">
        <f>IFERROR(IF('3 — Weights'!$E$4=1,PERCENTRANK(K$4:K$91,K87),1-PERCENTRANK(K$4:K$91,K87))*100,"")</f>
        <v>10.299999999999999</v>
      </c>
      <c r="AK87" s="51">
        <f>IFERROR(IF('3 — Weights'!$E$5=1,PERCENTRANK(L$4:L$91,L87),1-PERCENTRANK(L$4:L$91,L87))*100,"")</f>
        <v>15.4</v>
      </c>
      <c r="AL87" s="51">
        <f>IFERROR(IF('3 — Weights'!$E$6=1,PERCENTRANK(M$4:M$91,M87),1-PERCENTRANK(M$4:M$91,M87))*100,"")</f>
        <v>0</v>
      </c>
      <c r="AM87" s="51">
        <f>IFERROR(IF('3 — Weights'!$E$7=1,PERCENTRANK(N$4:N$91,N87),1-PERCENTRANK(N$4:N$91,N87))*100,"")</f>
        <v>28.499999999999996</v>
      </c>
      <c r="AN87" s="51">
        <f>IFERROR(IF('3 — Weights'!$E$8=1,PERCENTRANK(O$4:O$91,O87),1-PERCENTRANK(O$4:O$91,O87))*100,"")</f>
        <v>34.9</v>
      </c>
      <c r="AO87" s="51">
        <f>IFERROR(IF('3 — Weights'!$E$9=1,PERCENTRANK(P$4:P$91,P87),1-PERCENTRANK(P$4:P$91,P87))*100,"")</f>
        <v>21.699999999999996</v>
      </c>
      <c r="AP87" s="51">
        <f>IFERROR(IF('3 — Weights'!$E$10=1,PERCENTRANK(Q$4:Q$91,Q87),1-PERCENTRANK(Q$4:Q$91,Q87))*100,"")</f>
        <v>61.9</v>
      </c>
      <c r="AQ87" s="51">
        <f>IFERROR(IF('3 — Weights'!$E$11=1,PERCENTRANK(R$4:R$91,R87),1-PERCENTRANK(R$4:R$91,R87))*100,"")</f>
        <v>0</v>
      </c>
      <c r="AR87" s="51">
        <f>IFERROR(IF('3 — Weights'!$E$12=1,PERCENTRANK(S$4:S$91,S87),1-PERCENTRANK(S$4:S$91,S87))*100,"")</f>
        <v>19.7</v>
      </c>
      <c r="AS87" s="51">
        <f>IFERROR(IF('3 — Weights'!$E$13=1,PERCENTRANK(T$4:T$91,T87),1-PERCENTRANK(T$4:T$91,T87))*100,"")</f>
        <v>9.7000000000000011</v>
      </c>
      <c r="AT87" s="51">
        <f>IFERROR(IF('3 — Weights'!$E$14=1,PERCENTRANK(U$4:U$91,U87),1-PERCENTRANK(U$4:U$91,U87))*100,"")</f>
        <v>1.2</v>
      </c>
      <c r="AU87" s="51">
        <f>IFERROR(IF('3 — Weights'!$E$15=1,PERCENTRANK(V$4:V$91,V87),1-PERCENTRANK(V$4:V$91,V87))*100,"")</f>
        <v>56.400000000000006</v>
      </c>
      <c r="AV87" s="51">
        <f>IFERROR(IF('3 — Weights'!$E$16=1,PERCENTRANK(W$4:W$91,W87),1-PERCENTRANK(W$4:W$91,W87))*100,"")</f>
        <v>100</v>
      </c>
      <c r="AW87" s="51">
        <f>IFERROR(IF('3 — Weights'!$E$17=1,PERCENTRANK(X$4:X$91,X87),1-PERCENTRANK(X$4:X$91,X87))*100,"")</f>
        <v>100</v>
      </c>
      <c r="AX87" s="51">
        <f>IFERROR(IF('3 — Weights'!$E$18=1,PERCENTRANK(Y$4:Y$91,Y87),1-PERCENTRANK(Y$4:Y$91,Y87))*100,"")</f>
        <v>65.2</v>
      </c>
      <c r="AY87" s="51">
        <f>IFERROR(IF('3 — Weights'!$E$18=1,PERCENTRANK(Z$4:Z$91,Z87),1-PERCENTRANK(Z$4:Z$91,Z87))*100,"")</f>
        <v>3.5000000000000031</v>
      </c>
      <c r="AZ87" s="51">
        <f>IFERROR(IF('3 — Weights'!$E$18=1,PERCENTRANK(AA$4:AA$91,AA87),1-PERCENTRANK(AA$4:AA$91,AA87))*100,"")</f>
        <v>5.9000000000000057</v>
      </c>
      <c r="BA87" s="51">
        <f>IFERROR(IF('3 — Weights'!$E$21=1,PERCENTRANK(AB$4:AB$91,AB87),1-PERCENTRANK(AB$4:AB$91,AB87))*100,"")</f>
        <v>82.699999999999989</v>
      </c>
      <c r="BB87" s="51">
        <f>IFERROR(IF('3 — Weights'!$E$22=1,PERCENTRANK(AC$4:AC$91,AC87),1-PERCENTRANK(AC$4:AC$91,AC87))*100,"")</f>
        <v>13.700000000000001</v>
      </c>
      <c r="BC87" s="51">
        <f>IFERROR(IF('3 — Weights'!$E$23=1,PERCENTRANK(AD$4:AD$91,AD87),1-PERCENTRANK(AD$4:AD$91,AD87))*100,"")</f>
        <v>9.1999999999999975</v>
      </c>
      <c r="BD87" s="51">
        <f>IFERROR(IF('3 — Weights'!$E$24=1,PERCENTRANK(AE$4:AE$91,AE87),1-PERCENTRANK(AE$4:AE$91,AE87))*100,"")</f>
        <v>21.9</v>
      </c>
      <c r="BE87" s="51">
        <f>IFERROR(IF('3 — Weights'!$E$25=1,PERCENTRANK(AF$4:AF$91,AF87),1-PERCENTRANK(AF$4:AF$91,AF87))*100,"")</f>
        <v>17.300000000000004</v>
      </c>
      <c r="BF87" s="52" cm="1">
        <f t="array" ref="BF87">IFERROR(SUMPRODUCT(TRANSPOSE(AH87:BE87), [1]!Table2[Weight
Claude]),"")</f>
        <v>31.760000000000005</v>
      </c>
      <c r="BG87" s="53" cm="1">
        <f t="array" ref="BG87">IFERROR(SUMPRODUCT(TRANSPOSE(AH87:BE87), [1]!Table2[Weight
Cape IMC]),"")</f>
        <v>31.760000000000005</v>
      </c>
    </row>
    <row r="88" spans="1:59" ht="22.5" customHeight="1" x14ac:dyDescent="0.25">
      <c r="A88" s="17">
        <f t="shared" si="1"/>
        <v>85</v>
      </c>
      <c r="B88" s="18" t="s">
        <v>247</v>
      </c>
      <c r="C88" s="18" t="s">
        <v>248</v>
      </c>
      <c r="D88" s="18" t="str">
        <f t="array" ref="D88">IFERROR(_xll.FDS($B88,"FR_RBICS_NAME_CURR(""IND"")"), "")</f>
        <v>Enterprise Resource Planning Software</v>
      </c>
      <c r="E88" s="18" t="str">
        <f t="array" ref="E88">PROPER(IFERROR(_xll.FDS($B88,"P_DCOUNTRY"), ""))</f>
        <v>Australia</v>
      </c>
      <c r="F88" s="19">
        <f t="array" ref="F88">IFERROR(_xll.FDS($B88,"FCS_EV_DAILY(MV,NOW,,,USD,M)"), "")</f>
        <v>10234.123893050901</v>
      </c>
      <c r="G88" s="19">
        <f t="array" ref="G88">IFERROR(_xll.FDS($B88,"AVG(P_VOLUME_FRQ(-1AM,NOW,D,,6))*P_PRICE_AVG(-1AM,NOW,,USD)"), "")</f>
        <v>71.389257714963605</v>
      </c>
      <c r="H88" s="20">
        <f t="array" ref="H88">IFERROR(_xll.FDS($B88,"OS_SEC_FLT_PCT(0D,,MTD,SEC)")/100, "")</f>
        <v>0.57256399999999996</v>
      </c>
      <c r="I88" s="19">
        <f t="array" ref="I88">IFERROR(_xll.FDS($B88,"FE_ACTUAL(ACTUAL,SALES,ANN_ROLL,0,,,,'CURRENCY=USD')"), "")</f>
        <v>778.7</v>
      </c>
      <c r="J88" s="19">
        <f t="array" ref="J88">IFERROR(_xll.FDS($B88,"FE_ACTUAL(ACTUAL,EPS,ANN_ROLL,0,,,,'CURRENCY=USD')"), "")</f>
        <v>0.72308600000000001</v>
      </c>
      <c r="K88" s="20">
        <f t="array" ref="K88">IFERROR(_xll.FDS($B88,"POW(FE_ESTIMATE(SALES,MEAN,STMA,,NOW,,,'CURRENCY=USD')/FE_ESTIMATE(SALES,MEAN,LTMA,,NOW,,,'CURRENCY=USD'),0.5)-1"), "")</f>
        <v>0.21448528191987601</v>
      </c>
      <c r="L88" s="20">
        <f t="array" ref="L88">IFERROR(_xll.FDS($B88,"POW(FE_ESTIMATE(EPS,MEAN,STMA,,NOW,,,'CURRENCY=USD')/FE_ESTIMATE(EPS,MEAN,LTMA,,NOW,,,'CURRENCY=USD'),0.5)-1"), "")</f>
        <v>0.30670210836288198</v>
      </c>
      <c r="M88" s="21" t="str">
        <f t="array" ref="M88">IFERROR(_xll.FDS($B88,"FF_GROSS_MGN(LTM_R,0)"), "")</f>
        <v/>
      </c>
      <c r="N88" s="21" t="str">
        <f t="array" ref="N88">IFERROR(_xll.FDS($B88,"FF_EBITDA_OPER_MGN(LTM_R,0)"), "")</f>
        <v/>
      </c>
      <c r="O88" s="21" t="str">
        <f t="array" ref="O88">IFERROR(_xll.FDS($B88,"FF_NET_MGN(LTM_R,0)"), "")</f>
        <v/>
      </c>
      <c r="P88" s="22">
        <f t="array" ref="P88">IFERROR(_xll.FDS($B88,"FE_VALUATION(NETDEBT_EBITDA,MEAN,NTMA,,NOW,,,'')"), "")</f>
        <v>2.436626</v>
      </c>
      <c r="Q88" s="23">
        <f t="array" ref="Q88">IFERROR(_xll.FDS($B88,"FE_VALUATION(MCAP_FCF,MEAN,NTMA,,NOW,,,'')"), "")</f>
        <v>2.541442</v>
      </c>
      <c r="R88" s="23">
        <f t="array" ref="R88">IFERROR(_xll.FDS($B88,"FE_VALUATION(DIV_YLD,MEAN,NTMA,,NOW,,,'')"), "")</f>
        <v>0.61087142999999999</v>
      </c>
      <c r="S88" s="21">
        <f t="array" ref="S88">IFERROR(_xll.FDS($B88,"FE_VALUATION(ROE,MEAN,NTMA,,0,,,'')" ), "")</f>
        <v>13.849455000000001</v>
      </c>
      <c r="T88" s="21">
        <f t="array" ref="T88">IFERROR(_xll.FDS($B88,"FE_VALUATION(ROIC,MEAN,NTMA,,0,,,'')" ), "")</f>
        <v>7.1074184999999996</v>
      </c>
      <c r="U88" s="22">
        <f t="array" ref="U88">IFERROR(((_xll.FDS($B88,"FE_ACTUAL(ACTUAL,SALES,ANN_ROLL,0,,,,'CURRENCY=USD')")/_xll.FDS($B88,"FE_ACTUAL(ACTUAL,SALES,ANN_ROLL,-1,,,,'CURRENCY=USD')")-1)*100)+(_xll.FDS($B88,"FE_VALUATION(EBITDA_MARGIN,MEAN,ANN_ROLL,0,NOW,,,'')")  ), "")</f>
        <v>63.522480129448098</v>
      </c>
      <c r="V88" s="24">
        <f t="array" ref="V88">IFERROR(_xll.FDS($B88,"FE_VALUATION(PE,MEAN,NTMA,,0,,,'')" ), "")</f>
        <v>33.768036000000002</v>
      </c>
      <c r="W88" s="24">
        <f t="array" ref="W88">IFERROR(_xll.FDS($B88,"FE_VALUATION(P_SALESPS,MEAN,NTMA,,0,,,'')" ), "")</f>
        <v>6.5700380000000003</v>
      </c>
      <c r="X88" s="24">
        <f t="array" ref="X88">IFERROR(_xll.FDS($B88,"FE_VALUATION(FFEV_SALES,MEAN,NTMA,,0,,,'')" ), "")</f>
        <v>6.4857769999999997</v>
      </c>
      <c r="Y88" s="24">
        <f t="array" ref="Y88">IFERROR(_xll.FDS($B88,"FE_VALUATION(FFEV_EBITDA,MEAN,NTMA,,0,,,'')" ), "")</f>
        <v>14.573994000000001</v>
      </c>
      <c r="Z88" s="20">
        <f t="array" ref="Z88">IFERROR(_xll.FDS($B88,"PERCENT_CHANGE(FE_VALUATION(PE,MEAN,NTMA,,0,,,''),MAX(FE_VALUATION(PE,MEAN,NTMA,,-1AY,0,,'')))")/100,"")</f>
        <v>-0.59029866913697193</v>
      </c>
      <c r="AA88" s="20">
        <f t="array" ref="AA88">IFERROR(_xll.FDS($B88,"PERCENT_CHANGE(FE_VALUATION(FFEV_EBITDA,MEAN,NTMA,,0,,,''),MAX(FE_VALUATION(FFEV_EBITDA,MEAN,NTMA,,-1AY,0,,'')))")/100,"")</f>
        <v>-0.67467998019417708</v>
      </c>
      <c r="AB88" s="20">
        <f t="array" ref="AB88">IFERROR(_xll.FDS($B88,"FG_PRICE(0,,,USD)/P_PRICE_HIGH(-1AY,0,USD,,,""PRICE"",""INTRA"")")-1, "")</f>
        <v>-0.62175193270987106</v>
      </c>
      <c r="AC88" s="20">
        <f t="array" ref="AC88">IFERROR(_xll.FDS($B88,"RTP_PRICE_TARGET(USD)/FG_PRICE(0,,,USD)")-1, "")</f>
        <v>1.2141647446128698</v>
      </c>
      <c r="AD88" s="25">
        <f t="array" ref="AD88">IFERROR(_xll.FDS($B88,"FG_PRICE(0,,,USD)/FG_PRICE_MAVG(0,,,USD,50)")-1, "")</f>
        <v>-0.26307067293119202</v>
      </c>
      <c r="AE88" s="25">
        <f t="array" ref="AE88">IFERROR(_xll.FDS($B88,"FG_PRICE(0,,,USD)/FG_PRICE_MAVG(0,,,USD,100)")-1, "")</f>
        <v>-0.32691146267536997</v>
      </c>
      <c r="AF88" s="25">
        <f t="array" ref="AF88">IFERROR(_xll.FDS($B88,"FG_PRICE(0,,,USD)/FG_PRICE_MAVG(0,,,USD,200)")-1, "")</f>
        <v>-0.47156058960267899</v>
      </c>
      <c r="AG88" s="26" t="str">
        <f t="array" ref="AG88">IFERROR(_xll.FDS($B88,"FE_RATING(MEAN,TEXTONLY,0,NOW,,,'')"), "")</f>
        <v>Buy</v>
      </c>
      <c r="AH88" s="50">
        <f>IFERROR(IF('3 — Weights'!$E$2=1,PERCENTRANK(I$4:I$91,I88),1-PERCENTRANK(I$4:I$91,I88))*100,"")</f>
        <v>20.599999999999998</v>
      </c>
      <c r="AI88" s="51">
        <f>IFERROR(IF('3 — Weights'!$E$3=1,PERCENTRANK(J$4:J$91,J88),1-PERCENTRANK(J$4:J$91,J88))*100,"")</f>
        <v>27.500000000000004</v>
      </c>
      <c r="AJ88" s="51">
        <f>IFERROR(IF('3 — Weights'!$E$4=1,PERCENTRANK(K$4:K$91,K88),1-PERCENTRANK(K$4:K$91,K88))*100,"")</f>
        <v>87.3</v>
      </c>
      <c r="AK88" s="51">
        <f>IFERROR(IF('3 — Weights'!$E$5=1,PERCENTRANK(L$4:L$91,L88),1-PERCENTRANK(L$4:L$91,L88))*100,"")</f>
        <v>86.9</v>
      </c>
      <c r="AL88" s="51" t="str">
        <f>IFERROR(IF('3 — Weights'!$E$6=1,PERCENTRANK(M$4:M$91,M88),1-PERCENTRANK(M$4:M$91,M88))*100,"")</f>
        <v/>
      </c>
      <c r="AM88" s="51" t="str">
        <f>IFERROR(IF('3 — Weights'!$E$7=1,PERCENTRANK(N$4:N$91,N88),1-PERCENTRANK(N$4:N$91,N88))*100,"")</f>
        <v/>
      </c>
      <c r="AN88" s="51" t="str">
        <f>IFERROR(IF('3 — Weights'!$E$8=1,PERCENTRANK(O$4:O$91,O88),1-PERCENTRANK(O$4:O$91,O88))*100,"")</f>
        <v/>
      </c>
      <c r="AO88" s="51">
        <f>IFERROR(IF('3 — Weights'!$E$9=1,PERCENTRANK(P$4:P$91,P88),1-PERCENTRANK(P$4:P$91,P88))*100,"")</f>
        <v>2.5000000000000022</v>
      </c>
      <c r="AP88" s="51">
        <f>IFERROR(IF('3 — Weights'!$E$10=1,PERCENTRANK(Q$4:Q$91,Q88),1-PERCENTRANK(Q$4:Q$91,Q88))*100,"")</f>
        <v>16.600000000000001</v>
      </c>
      <c r="AQ88" s="51">
        <f>IFERROR(IF('3 — Weights'!$E$11=1,PERCENTRANK(R$4:R$91,R88),1-PERCENTRANK(R$4:R$91,R88))*100,"")</f>
        <v>76.900000000000006</v>
      </c>
      <c r="AR88" s="51">
        <f>IFERROR(IF('3 — Weights'!$E$12=1,PERCENTRANK(S$4:S$91,S88),1-PERCENTRANK(S$4:S$91,S88))*100,"")</f>
        <v>23.400000000000002</v>
      </c>
      <c r="AS88" s="51">
        <f>IFERROR(IF('3 — Weights'!$E$13=1,PERCENTRANK(T$4:T$91,T88),1-PERCENTRANK(T$4:T$91,T88))*100,"")</f>
        <v>13.8</v>
      </c>
      <c r="AT88" s="51">
        <f>IFERROR(IF('3 — Weights'!$E$14=1,PERCENTRANK(U$4:U$91,U88),1-PERCENTRANK(U$4:U$91,U88))*100,"")</f>
        <v>89</v>
      </c>
      <c r="AU88" s="51">
        <f>IFERROR(IF('3 — Weights'!$E$15=1,PERCENTRANK(V$4:V$91,V88),1-PERCENTRANK(V$4:V$91,V88))*100,"")</f>
        <v>28.800000000000004</v>
      </c>
      <c r="AV88" s="51">
        <f>IFERROR(IF('3 — Weights'!$E$16=1,PERCENTRANK(W$4:W$91,W88),1-PERCENTRANK(W$4:W$91,W88))*100,"")</f>
        <v>28.800000000000004</v>
      </c>
      <c r="AW88" s="51">
        <f>IFERROR(IF('3 — Weights'!$E$17=1,PERCENTRANK(X$4:X$91,X88),1-PERCENTRANK(X$4:X$91,X88))*100,"")</f>
        <v>29.900000000000006</v>
      </c>
      <c r="AX88" s="51">
        <f>IFERROR(IF('3 — Weights'!$E$18=1,PERCENTRANK(Y$4:Y$91,Y88),1-PERCENTRANK(Y$4:Y$91,Y88))*100,"")</f>
        <v>51.2</v>
      </c>
      <c r="AY88" s="51">
        <f>IFERROR(IF('3 — Weights'!$E$18=1,PERCENTRANK(Z$4:Z$91,Z88),1-PERCENTRANK(Z$4:Z$91,Z88))*100,"")</f>
        <v>67.900000000000006</v>
      </c>
      <c r="AZ88" s="51">
        <f>IFERROR(IF('3 — Weights'!$E$18=1,PERCENTRANK(AA$4:AA$91,AA88),1-PERCENTRANK(AA$4:AA$91,AA88))*100,"")</f>
        <v>89.600000000000009</v>
      </c>
      <c r="BA88" s="51">
        <f>IFERROR(IF('3 — Weights'!$E$21=1,PERCENTRANK(AB$4:AB$91,AB88),1-PERCENTRANK(AB$4:AB$91,AB88))*100,"")</f>
        <v>5.7</v>
      </c>
      <c r="BB88" s="51">
        <f>IFERROR(IF('3 — Weights'!$E$22=1,PERCENTRANK(AC$4:AC$91,AC88),1-PERCENTRANK(AC$4:AC$91,AC88))*100,"")</f>
        <v>100</v>
      </c>
      <c r="BC88" s="51">
        <f>IFERROR(IF('3 — Weights'!$E$23=1,PERCENTRANK(AD$4:AD$91,AD88),1-PERCENTRANK(AD$4:AD$91,AD88))*100,"")</f>
        <v>78.2</v>
      </c>
      <c r="BD88" s="51">
        <f>IFERROR(IF('3 — Weights'!$E$24=1,PERCENTRANK(AE$4:AE$91,AE88),1-PERCENTRANK(AE$4:AE$91,AE88))*100,"")</f>
        <v>79.400000000000006</v>
      </c>
      <c r="BE88" s="51">
        <f>IFERROR(IF('3 — Weights'!$E$25=1,PERCENTRANK(AF$4:AF$91,AF88),1-PERCENTRANK(AF$4:AF$91,AF88))*100,"")</f>
        <v>93.199999999999989</v>
      </c>
      <c r="BF88" s="52" cm="1">
        <f t="array" ref="BF88">IFERROR(SUMPRODUCT(TRANSPOSE(AH88:BE88), [1]!Table2[Weight
Claude]),"")</f>
        <v>31.664999999999999</v>
      </c>
      <c r="BG88" s="53" cm="1">
        <f t="array" ref="BG88">IFERROR(SUMPRODUCT(TRANSPOSE(AH88:BE88), [1]!Table2[Weight
Cape IMC]),"")</f>
        <v>31.664999999999999</v>
      </c>
    </row>
    <row r="89" spans="1:59" ht="22.5" customHeight="1" x14ac:dyDescent="0.25">
      <c r="A89" s="17">
        <f t="shared" si="1"/>
        <v>86</v>
      </c>
      <c r="B89" s="18" t="s">
        <v>249</v>
      </c>
      <c r="C89" s="18" t="s">
        <v>250</v>
      </c>
      <c r="D89" s="18" t="str">
        <f t="array" ref="D89">IFERROR(_xll.FDS($B89,"FR_RBICS_NAME_CURR(""IND"")"), "")</f>
        <v>General Enterprise Management Software</v>
      </c>
      <c r="E89" s="18" t="str">
        <f t="array" ref="E89">PROPER(IFERROR(_xll.FDS($B89,"P_DCOUNTRY"), ""))</f>
        <v>China</v>
      </c>
      <c r="F89" s="19">
        <f t="array" ref="F89">IFERROR(_xll.FDS($B89,"FCS_EV_DAILY(MV,NOW,,,USD,M)"), "")</f>
        <v>6899.2279465249203</v>
      </c>
      <c r="G89" s="19">
        <f t="array" ref="G89">IFERROR(_xll.FDS($B89,"AVG(P_VOLUME_FRQ(-1AM,NOW,D,,6))*P_PRICE_AVG(-1AM,NOW,,USD)"), "")</f>
        <v>185.037312528341</v>
      </c>
      <c r="H89" s="20">
        <f t="array" ref="H89">IFERROR(_xll.FDS($B89,"OS_SEC_FLT_PCT(0D,,MTD,SEC)")/100, "")</f>
        <v>0.47921799999999998</v>
      </c>
      <c r="I89" s="19">
        <f t="array" ref="I89">IFERROR(_xll.FDS($B89,"FE_ACTUAL(ACTUAL,SALES,ANN_ROLL,0,,,,'CURRENCY=USD')"), "")</f>
        <v>1260.1361999999999</v>
      </c>
      <c r="J89" s="19">
        <f t="array" ref="J89">IFERROR(_xll.FDS($B89,"FE_ACTUAL(ACTUAL,EPS,ANN_ROLL,0,,,,'CURRENCY=USD')"), "")</f>
        <v>-8.2604800000000006E-2</v>
      </c>
      <c r="K89" s="20">
        <f t="array" ref="K89">IFERROR(_xll.FDS($B89,"POW(FE_ESTIMATE(SALES,MEAN,STMA,,NOW,,,'CURRENCY=USD')/FE_ESTIMATE(SALES,MEAN,LTMA,,NOW,,,'CURRENCY=USD'),0.5)-1"), "")</f>
        <v>8.8494602650835294E-2</v>
      </c>
      <c r="L89" s="20" t="str">
        <f t="array" ref="L89">IFERROR(_xll.FDS($B89,"POW(FE_ESTIMATE(EPS,MEAN,STMA,,NOW,,,'CURRENCY=USD')/FE_ESTIMATE(EPS,MEAN,LTMA,,NOW,,,'CURRENCY=USD'),0.5)-1"), "")</f>
        <v/>
      </c>
      <c r="M89" s="21">
        <f t="array" ref="M89">IFERROR(_xll.FDS($B89,"FF_GROSS_MGN(LTM_R,0)"), "")</f>
        <v>47.644423714537098</v>
      </c>
      <c r="N89" s="21" t="str">
        <f t="array" ref="N89">IFERROR(_xll.FDS($B89,"FF_EBITDA_OPER_MGN(LTM_R,0)"), "")</f>
        <v/>
      </c>
      <c r="O89" s="21">
        <f t="array" ref="O89">IFERROR(_xll.FDS($B89,"FF_NET_MGN(LTM_R,0)"), "")</f>
        <v>-22.364549621834399</v>
      </c>
      <c r="P89" s="22">
        <f t="array" ref="P89">IFERROR(_xll.FDS($B89,"FE_VALUATION(NETDEBT_EBITDA,MEAN,NTMA,,NOW,,,'')"), "")</f>
        <v>0.97349660000000005</v>
      </c>
      <c r="Q89" s="23">
        <f t="array" ref="Q89">IFERROR(_xll.FDS($B89,"FE_VALUATION(MCAP_FCF,MEAN,NTMA,,NOW,,,'')"), "")</f>
        <v>-0.79244375</v>
      </c>
      <c r="R89" s="23">
        <f t="array" ref="R89">IFERROR(_xll.FDS($B89,"FE_VALUATION(DIV_YLD,MEAN,NTMA,,NOW,,,'')"), "")</f>
        <v>9.3890860000000007E-2</v>
      </c>
      <c r="S89" s="21">
        <f t="array" ref="S89">IFERROR(_xll.FDS($B89,"FE_VALUATION(ROE,MEAN,NTMA,,0,,,'')" ), "")</f>
        <v>0.37831128000000003</v>
      </c>
      <c r="T89" s="21" t="str">
        <f t="array" ref="T89">IFERROR(_xll.FDS($B89,"FE_VALUATION(ROIC,MEAN,NTMA,,0,,,'')" ), "")</f>
        <v/>
      </c>
      <c r="U89" s="22">
        <f t="array" ref="U89">IFERROR(((_xll.FDS($B89,"FE_ACTUAL(ACTUAL,SALES,ANN_ROLL,0,,,,'CURRENCY=USD')")/_xll.FDS($B89,"FE_ACTUAL(ACTUAL,SALES,ANN_ROLL,-1,,,,'CURRENCY=USD')")-1)*100)+(_xll.FDS($B89,"FE_VALUATION(EBITDA_MARGIN,MEAN,ANN_ROLL,0,NOW,,,'')")  ), "")</f>
        <v>-15.578485711753752</v>
      </c>
      <c r="V89" s="24">
        <f t="array" ref="V89">IFERROR(_xll.FDS($B89,"FE_VALUATION(PE,MEAN,NTMA,,0,,,'')" ), "")</f>
        <v>1627.1651999999999</v>
      </c>
      <c r="W89" s="24">
        <f t="array" ref="W89">IFERROR(_xll.FDS($B89,"FE_VALUATION(P_SALESPS,MEAN,NTMA,,0,,,'')" ), "")</f>
        <v>4.5385985</v>
      </c>
      <c r="X89" s="24">
        <f t="array" ref="X89">IFERROR(_xll.FDS($B89,"FE_VALUATION(FFEV_SALES,MEAN,NTMA,,0,,,'')" ), "")</f>
        <v>4.9001479999999997</v>
      </c>
      <c r="Y89" s="24">
        <f t="array" ref="Y89">IFERROR(_xll.FDS($B89,"FE_VALUATION(FFEV_EBITDA,MEAN,NTMA,,0,,,'')" ), "")</f>
        <v>42.028336000000003</v>
      </c>
      <c r="Z89" s="20">
        <f t="array" ref="Z89">IFERROR(_xll.FDS($B89,"PERCENT_CHANGE(FE_VALUATION(PE,MEAN,NTMA,,0,,,''),MAX(FE_VALUATION(PE,MEAN,NTMA,,-1AY,0,,'')))")/100,"")</f>
        <v>-0.99621273762804097</v>
      </c>
      <c r="AA89" s="20">
        <f t="array" ref="AA89">IFERROR(_xll.FDS($B89,"PERCENT_CHANGE(FE_VALUATION(FFEV_EBITDA,MEAN,NTMA,,0,,,''),MAX(FE_VALUATION(FFEV_EBITDA,MEAN,NTMA,,-1AY,0,,'')))")/100,"")</f>
        <v>-0.38845174237767999</v>
      </c>
      <c r="AB89" s="20">
        <f t="array" ref="AB89">IFERROR(_xll.FDS($B89,"FG_PRICE(0,,,USD)/P_PRICE_HIGH(-1AY,0,USD,,,""PRICE"",""INTRA"")")-1, "")</f>
        <v>-0.26919963081190201</v>
      </c>
      <c r="AC89" s="20">
        <f t="array" ref="AC89">IFERROR(_xll.FDS($B89,"RTP_PRICE_TARGET(USD)/FG_PRICE(0,,,USD)")-1, "")</f>
        <v>6.2374022430899956E-2</v>
      </c>
      <c r="AD89" s="25">
        <f t="array" ref="AD89">IFERROR(_xll.FDS($B89,"FG_PRICE(0,,,USD)/FG_PRICE_MAVG(0,,,USD,50)")-1, "")</f>
        <v>-1.7492614323593947E-2</v>
      </c>
      <c r="AE89" s="25">
        <f t="array" ref="AE89">IFERROR(_xll.FDS($B89,"FG_PRICE(0,,,USD)/FG_PRICE_MAVG(0,,,USD,100)")-1, "")</f>
        <v>-2.2794149749385983E-2</v>
      </c>
      <c r="AF89" s="25">
        <f t="array" ref="AF89">IFERROR(_xll.FDS($B89,"FG_PRICE(0,,,USD)/FG_PRICE_MAVG(0,,,USD,200)")-1, "")</f>
        <v>-4.8020540923540134E-3</v>
      </c>
      <c r="AG89" s="26" t="str">
        <f t="array" ref="AG89">IFERROR(_xll.FDS($B89,"FE_RATING(MEAN,TEXTONLY,0,NOW,,,'')"), "")</f>
        <v>Hold</v>
      </c>
      <c r="AH89" s="50">
        <f>IFERROR(IF('3 — Weights'!$E$2=1,PERCENTRANK(I$4:I$91,I89),1-PERCENTRANK(I$4:I$91,I89))*100,"")</f>
        <v>42.5</v>
      </c>
      <c r="AI89" s="51">
        <f>IFERROR(IF('3 — Weights'!$E$3=1,PERCENTRANK(J$4:J$91,J89),1-PERCENTRANK(J$4:J$91,J89))*100,"")</f>
        <v>3.4000000000000004</v>
      </c>
      <c r="AJ89" s="51">
        <f>IFERROR(IF('3 — Weights'!$E$4=1,PERCENTRANK(K$4:K$91,K89),1-PERCENTRANK(K$4:K$91,K89))*100,"")</f>
        <v>26.400000000000002</v>
      </c>
      <c r="AK89" s="51" t="str">
        <f>IFERROR(IF('3 — Weights'!$E$5=1,PERCENTRANK(L$4:L$91,L89),1-PERCENTRANK(L$4:L$91,L89))*100,"")</f>
        <v/>
      </c>
      <c r="AL89" s="51">
        <f>IFERROR(IF('3 — Weights'!$E$6=1,PERCENTRANK(M$4:M$91,M89),1-PERCENTRANK(M$4:M$91,M89))*100,"")</f>
        <v>9.7000000000000011</v>
      </c>
      <c r="AM89" s="51" t="str">
        <f>IFERROR(IF('3 — Weights'!$E$7=1,PERCENTRANK(N$4:N$91,N89),1-PERCENTRANK(N$4:N$91,N89))*100,"")</f>
        <v/>
      </c>
      <c r="AN89" s="51">
        <f>IFERROR(IF('3 — Weights'!$E$8=1,PERCENTRANK(O$4:O$91,O89),1-PERCENTRANK(O$4:O$91,O89))*100,"")</f>
        <v>7.1999999999999993</v>
      </c>
      <c r="AO89" s="51">
        <f>IFERROR(IF('3 — Weights'!$E$9=1,PERCENTRANK(P$4:P$91,P89),1-PERCENTRANK(P$4:P$91,P89))*100,"")</f>
        <v>15.700000000000003</v>
      </c>
      <c r="AP89" s="51">
        <f>IFERROR(IF('3 — Weights'!$E$10=1,PERCENTRANK(Q$4:Q$91,Q89),1-PERCENTRANK(Q$4:Q$91,Q89))*100,"")</f>
        <v>2.2999999999999998</v>
      </c>
      <c r="AQ89" s="51">
        <f>IFERROR(IF('3 — Weights'!$E$11=1,PERCENTRANK(R$4:R$91,R89),1-PERCENTRANK(R$4:R$91,R89))*100,"")</f>
        <v>71.7</v>
      </c>
      <c r="AR89" s="51">
        <f>IFERROR(IF('3 — Weights'!$E$12=1,PERCENTRANK(S$4:S$91,S89),1-PERCENTRANK(S$4:S$91,S89))*100,"")</f>
        <v>0</v>
      </c>
      <c r="AS89" s="51" t="str">
        <f>IFERROR(IF('3 — Weights'!$E$13=1,PERCENTRANK(T$4:T$91,T89),1-PERCENTRANK(T$4:T$91,T89))*100,"")</f>
        <v/>
      </c>
      <c r="AT89" s="51">
        <f>IFERROR(IF('3 — Weights'!$E$14=1,PERCENTRANK(U$4:U$91,U89),1-PERCENTRANK(U$4:U$91,U89))*100,"")</f>
        <v>0</v>
      </c>
      <c r="AU89" s="51">
        <f>IFERROR(IF('3 — Weights'!$E$15=1,PERCENTRANK(V$4:V$91,V89),1-PERCENTRANK(V$4:V$91,V89))*100,"")</f>
        <v>0</v>
      </c>
      <c r="AV89" s="51">
        <f>IFERROR(IF('3 — Weights'!$E$16=1,PERCENTRANK(W$4:W$91,W89),1-PERCENTRANK(W$4:W$91,W89))*100,"")</f>
        <v>50.6</v>
      </c>
      <c r="AW89" s="51">
        <f>IFERROR(IF('3 — Weights'!$E$17=1,PERCENTRANK(X$4:X$91,X89),1-PERCENTRANK(X$4:X$91,X89))*100,"")</f>
        <v>49.5</v>
      </c>
      <c r="AX89" s="51">
        <f>IFERROR(IF('3 — Weights'!$E$18=1,PERCENTRANK(Y$4:Y$91,Y89),1-PERCENTRANK(Y$4:Y$91,Y89))*100,"")</f>
        <v>11.7</v>
      </c>
      <c r="AY89" s="51">
        <f>IFERROR(IF('3 — Weights'!$E$18=1,PERCENTRANK(Z$4:Z$91,Z89),1-PERCENTRANK(Z$4:Z$91,Z89))*100,"")</f>
        <v>100</v>
      </c>
      <c r="AZ89" s="51">
        <f>IFERROR(IF('3 — Weights'!$E$18=1,PERCENTRANK(AA$4:AA$91,AA89),1-PERCENTRANK(AA$4:AA$91,AA89))*100,"")</f>
        <v>22.099999999999998</v>
      </c>
      <c r="BA89" s="51">
        <f>IFERROR(IF('3 — Weights'!$E$21=1,PERCENTRANK(AB$4:AB$91,AB89),1-PERCENTRANK(AB$4:AB$91,AB89))*100,"")</f>
        <v>86.2</v>
      </c>
      <c r="BB89" s="51">
        <f>IFERROR(IF('3 — Weights'!$E$22=1,PERCENTRANK(AC$4:AC$91,AC89),1-PERCENTRANK(AC$4:AC$91,AC89))*100,"")</f>
        <v>3.4000000000000004</v>
      </c>
      <c r="BC89" s="51">
        <f>IFERROR(IF('3 — Weights'!$E$23=1,PERCENTRANK(AD$4:AD$91,AD89),1-PERCENTRANK(AD$4:AD$91,AD89))*100,"")</f>
        <v>6.899999999999995</v>
      </c>
      <c r="BD89" s="51">
        <f>IFERROR(IF('3 — Weights'!$E$24=1,PERCENTRANK(AE$4:AE$91,AE89),1-PERCENTRANK(AE$4:AE$91,AE89))*100,"")</f>
        <v>8.0999999999999961</v>
      </c>
      <c r="BE89" s="51">
        <f>IFERROR(IF('3 — Weights'!$E$25=1,PERCENTRANK(AF$4:AF$91,AF89),1-PERCENTRANK(AF$4:AF$91,AF89))*100,"")</f>
        <v>9.1999999999999975</v>
      </c>
      <c r="BF89" s="52" cm="1">
        <f t="array" ref="BF89">IFERROR(SUMPRODUCT(TRANSPOSE(AH89:BE89), [1]!Table2[Weight
Claude]),"")</f>
        <v>27.050000000000004</v>
      </c>
      <c r="BG89" s="53" cm="1">
        <f t="array" ref="BG89">IFERROR(SUMPRODUCT(TRANSPOSE(AH89:BE89), [1]!Table2[Weight
Cape IMC]),"")</f>
        <v>27.050000000000004</v>
      </c>
    </row>
    <row r="90" spans="1:59" ht="22.5" customHeight="1" x14ac:dyDescent="0.25">
      <c r="A90" s="17">
        <f t="shared" si="1"/>
        <v>87</v>
      </c>
      <c r="B90" s="27" t="s">
        <v>251</v>
      </c>
      <c r="C90" s="27" t="s">
        <v>252</v>
      </c>
      <c r="D90" s="27" t="str">
        <f t="array" ref="D90">IFERROR(_xll.FDS($B90,"FR_RBICS_NAME_CURR(""IND"")"), "")</f>
        <v>Industry-Specific Software</v>
      </c>
      <c r="E90" s="18" t="str">
        <f t="array" ref="E90">PROPER(IFERROR(_xll.FDS($B90,"P_DCOUNTRY"), ""))</f>
        <v>China</v>
      </c>
      <c r="F90" s="19">
        <f t="array" ref="F90">IFERROR(_xll.FDS($B90,"FCS_EV_DAILY(MV,NOW,,,USD,M)"), "")</f>
        <v>5987.9848837668897</v>
      </c>
      <c r="G90" s="19">
        <f t="array" ref="G90">IFERROR(_xll.FDS($B90,"AVG(P_VOLUME_FRQ(-1AM,NOW,D,,6))*P_PRICE_AVG(-1AM,NOW,,USD)"), "")</f>
        <v>103.659392359892</v>
      </c>
      <c r="H90" s="20">
        <f t="array" ref="H90">IFERROR(_xll.FDS($B90,"OS_SEC_FLT_PCT(0D,,MTD,SEC)")/100, "")</f>
        <v>0.62902000000000002</v>
      </c>
      <c r="I90" s="19">
        <f t="array" ref="I90">IFERROR(_xll.FDS($B90,"FE_ACTUAL(ACTUAL,SALES,ANN_ROLL,0,,,,'CURRENCY=USD')"), "")</f>
        <v>715.45079999999996</v>
      </c>
      <c r="J90" s="19">
        <f t="array" ref="J90">IFERROR(_xll.FDS($B90,"FE_ACTUAL(ACTUAL,EPS,ANN_ROLL,0,,,,'CURRENCY=USD')"), "")</f>
        <v>-6.7443416000000006E-2</v>
      </c>
      <c r="K90" s="20">
        <f t="array" ref="K90">IFERROR(_xll.FDS($B90,"POW(FE_ESTIMATE(SALES,MEAN,STMA,,NOW,,,'CURRENCY=USD')/FE_ESTIMATE(SALES,MEAN,LTMA,,NOW,,,'CURRENCY=USD'),0.5)-1"), "")</f>
        <v>0.122180956887079</v>
      </c>
      <c r="L90" s="20">
        <f t="array" ref="L90">IFERROR(_xll.FDS($B90,"POW(FE_ESTIMATE(EPS,MEAN,STMA,,NOW,,,'CURRENCY=USD')/FE_ESTIMATE(EPS,MEAN,LTMA,,NOW,,,'CURRENCY=USD'),0.5)-1"), "")</f>
        <v>1.4078498707353</v>
      </c>
      <c r="M90" s="21">
        <f t="array" ref="M90">IFERROR(_xll.FDS($B90,"FF_GROSS_MGN(LTM_R,0)"), "")</f>
        <v>37.5023857548506</v>
      </c>
      <c r="N90" s="21" t="str">
        <f t="array" ref="N90">IFERROR(_xll.FDS($B90,"FF_EBITDA_OPER_MGN(LTM_R,0)"), "")</f>
        <v/>
      </c>
      <c r="O90" s="21">
        <f t="array" ref="O90">IFERROR(_xll.FDS($B90,"FF_NET_MGN(LTM_R,0)"), "")</f>
        <v>-3.2876096026104999</v>
      </c>
      <c r="P90" s="22" t="str">
        <f t="array" ref="P90">IFERROR(_xll.FDS($B90,"FE_VALUATION(NETDEBT_EBITDA,MEAN,NTMA,,NOW,,,'')"), "")</f>
        <v/>
      </c>
      <c r="Q90" s="23" t="str">
        <f t="array" ref="Q90">IFERROR(_xll.FDS($B90,"FE_VALUATION(MCAP_FCF,MEAN,NTMA,,NOW,,,'')"), "")</f>
        <v/>
      </c>
      <c r="R90" s="23" t="str">
        <f t="array" ref="R90">IFERROR(_xll.FDS($B90,"FE_VALUATION(DIV_YLD,MEAN,NTMA,,NOW,,,'')"), "")</f>
        <v/>
      </c>
      <c r="S90" s="21">
        <f t="array" ref="S90">IFERROR(_xll.FDS($B90,"FE_VALUATION(ROE,MEAN,NTMA,,0,,,'')" ), "")</f>
        <v>10.294197</v>
      </c>
      <c r="T90" s="21" t="str">
        <f t="array" ref="T90">IFERROR(_xll.FDS($B90,"FE_VALUATION(ROIC,MEAN,NTMA,,0,,,'')" ), "")</f>
        <v/>
      </c>
      <c r="U90" s="22" t="str">
        <f t="array" ref="U90">IFERROR(((_xll.FDS($B90,"FE_ACTUAL(ACTUAL,SALES,ANN_ROLL,0,,,,'CURRENCY=USD')")/_xll.FDS($B90,"FE_ACTUAL(ACTUAL,SALES,ANN_ROLL,-1,,,,'CURRENCY=USD')")-1)*100)+(_xll.FDS($B90,"FE_VALUATION(EBITDA_MARGIN,MEAN,ANN_ROLL,0,NOW,,,'')")  ), "")</f>
        <v/>
      </c>
      <c r="V90" s="24">
        <f t="array" ref="V90">IFERROR(_xll.FDS($B90,"FE_VALUATION(PE,MEAN,NTMA,,0,,,'')" ), "")</f>
        <v>167.77459999999999</v>
      </c>
      <c r="W90" s="24">
        <f t="array" ref="W90">IFERROR(_xll.FDS($B90,"FE_VALUATION(P_SALESPS,MEAN,NTMA,,0,,,'')" ), "")</f>
        <v>6.3803505999999999</v>
      </c>
      <c r="X90" s="24">
        <f t="array" ref="X90">IFERROR(_xll.FDS($B90,"FE_VALUATION(FFEV_SALES,MEAN,NTMA,,0,,,'')" ), "")</f>
        <v>6.2686023999999998</v>
      </c>
      <c r="Y90" s="24">
        <f t="array" ref="Y90">IFERROR(_xll.FDS($B90,"FE_VALUATION(FFEV_EBITDA,MEAN,NTMA,,0,,,'')" ), "")</f>
        <v>90.227239999999995</v>
      </c>
      <c r="Z90" s="20">
        <f t="array" ref="Z90">IFERROR(_xll.FDS($B90,"PERCENT_CHANGE(FE_VALUATION(PE,MEAN,NTMA,,0,,,''),MAX(FE_VALUATION(PE,MEAN,NTMA,,-1AY,0,,'')))")/100,"")</f>
        <v>-0.52989686538881597</v>
      </c>
      <c r="AA90" s="20">
        <f t="array" ref="AA90">IFERROR(_xll.FDS($B90,"PERCENT_CHANGE(FE_VALUATION(FFEV_EBITDA,MEAN,NTMA,,0,,,''),MAX(FE_VALUATION(FFEV_EBITDA,MEAN,NTMA,,-1AY,0,,'')))")/100,"")</f>
        <v>-0.240451566240483</v>
      </c>
      <c r="AB90" s="20">
        <f t="array" ref="AB90">IFERROR(_xll.FDS($B90,"FG_PRICE(0,,,USD)/P_PRICE_HIGH(-1AY,0,USD,,,""PRICE"",""INTRA"")")-1, "")</f>
        <v>-0.19056665648024795</v>
      </c>
      <c r="AC90" s="20">
        <f t="array" ref="AC90">IFERROR(_xll.FDS($B90,"RTP_PRICE_TARGET(USD)/FG_PRICE(0,,,USD)")-1, "")</f>
        <v>0.38165341545685005</v>
      </c>
      <c r="AD90" s="25">
        <f t="array" ref="AD90">IFERROR(_xll.FDS($B90,"FG_PRICE(0,,,USD)/FG_PRICE_MAVG(0,,,USD,50)")-1, "")</f>
        <v>-3.0644810978752046E-2</v>
      </c>
      <c r="AE90" s="25">
        <f t="array" ref="AE90">IFERROR(_xll.FDS($B90,"FG_PRICE(0,,,USD)/FG_PRICE_MAVG(0,,,USD,100)")-1, "")</f>
        <v>-5.4188176689042966E-2</v>
      </c>
      <c r="AF90" s="25">
        <f t="array" ref="AF90">IFERROR(_xll.FDS($B90,"FG_PRICE(0,,,USD)/FG_PRICE_MAVG(0,,,USD,200)")-1, "")</f>
        <v>-3.7241299065329025E-2</v>
      </c>
      <c r="AG90" s="26" t="str">
        <f t="array" ref="AG90">IFERROR(_xll.FDS($B90,"FE_RATING(MEAN,TEXTONLY,0,NOW,,,'')"), "")</f>
        <v>Buy</v>
      </c>
      <c r="AH90" s="50">
        <f>IFERROR(IF('3 — Weights'!$E$2=1,PERCENTRANK(I$4:I$91,I90),1-PERCENTRANK(I$4:I$91,I90))*100,"")</f>
        <v>14.899999999999999</v>
      </c>
      <c r="AI90" s="51">
        <f>IFERROR(IF('3 — Weights'!$E$3=1,PERCENTRANK(J$4:J$91,J90),1-PERCENTRANK(J$4:J$91,J90))*100,"")</f>
        <v>4.5</v>
      </c>
      <c r="AJ90" s="51">
        <f>IFERROR(IF('3 — Weights'!$E$4=1,PERCENTRANK(K$4:K$91,K90),1-PERCENTRANK(K$4:K$91,K90))*100,"")</f>
        <v>43.6</v>
      </c>
      <c r="AK90" s="51">
        <f>IFERROR(IF('3 — Weights'!$E$5=1,PERCENTRANK(L$4:L$91,L90),1-PERCENTRANK(L$4:L$91,L90))*100,"")</f>
        <v>100</v>
      </c>
      <c r="AL90" s="51">
        <f>IFERROR(IF('3 — Weights'!$E$6=1,PERCENTRANK(M$4:M$91,M90),1-PERCENTRANK(M$4:M$91,M90))*100,"")</f>
        <v>4.8</v>
      </c>
      <c r="AM90" s="51" t="str">
        <f>IFERROR(IF('3 — Weights'!$E$7=1,PERCENTRANK(N$4:N$91,N90),1-PERCENTRANK(N$4:N$91,N90))*100,"")</f>
        <v/>
      </c>
      <c r="AN90" s="51">
        <f>IFERROR(IF('3 — Weights'!$E$8=1,PERCENTRANK(O$4:O$91,O90),1-PERCENTRANK(O$4:O$91,O90))*100,"")</f>
        <v>21.6</v>
      </c>
      <c r="AO90" s="51" t="str">
        <f>IFERROR(IF('3 — Weights'!$E$9=1,PERCENTRANK(P$4:P$91,P90),1-PERCENTRANK(P$4:P$91,P90))*100,"")</f>
        <v/>
      </c>
      <c r="AP90" s="51" t="str">
        <f>IFERROR(IF('3 — Weights'!$E$10=1,PERCENTRANK(Q$4:Q$91,Q90),1-PERCENTRANK(Q$4:Q$91,Q90))*100,"")</f>
        <v/>
      </c>
      <c r="AQ90" s="51" t="str">
        <f>IFERROR(IF('3 — Weights'!$E$11=1,PERCENTRANK(R$4:R$91,R90),1-PERCENTRANK(R$4:R$91,R90))*100,"")</f>
        <v/>
      </c>
      <c r="AR90" s="51">
        <f>IFERROR(IF('3 — Weights'!$E$12=1,PERCENTRANK(S$4:S$91,S90),1-PERCENTRANK(S$4:S$91,S90))*100,"")</f>
        <v>12.3</v>
      </c>
      <c r="AS90" s="51" t="str">
        <f>IFERROR(IF('3 — Weights'!$E$13=1,PERCENTRANK(T$4:T$91,T90),1-PERCENTRANK(T$4:T$91,T90))*100,"")</f>
        <v/>
      </c>
      <c r="AT90" s="51" t="str">
        <f>IFERROR(IF('3 — Weights'!$E$14=1,PERCENTRANK(U$4:U$91,U90),1-PERCENTRANK(U$4:U$91,U90))*100,"")</f>
        <v/>
      </c>
      <c r="AU90" s="51">
        <f>IFERROR(IF('3 — Weights'!$E$15=1,PERCENTRANK(V$4:V$91,V90),1-PERCENTRANK(V$4:V$91,V90))*100,"")</f>
        <v>4.6000000000000041</v>
      </c>
      <c r="AV90" s="51">
        <f>IFERROR(IF('3 — Weights'!$E$16=1,PERCENTRANK(W$4:W$91,W90),1-PERCENTRANK(W$4:W$91,W90))*100,"")</f>
        <v>33.4</v>
      </c>
      <c r="AW90" s="51">
        <f>IFERROR(IF('3 — Weights'!$E$17=1,PERCENTRANK(X$4:X$91,X90),1-PERCENTRANK(X$4:X$91,X90))*100,"")</f>
        <v>33.4</v>
      </c>
      <c r="AX90" s="51">
        <f>IFERROR(IF('3 — Weights'!$E$18=1,PERCENTRANK(Y$4:Y$91,Y90),1-PERCENTRANK(Y$4:Y$91,Y90))*100,"")</f>
        <v>2.4000000000000021</v>
      </c>
      <c r="AY90" s="51">
        <f>IFERROR(IF('3 — Weights'!$E$18=1,PERCENTRANK(Z$4:Z$91,Z90),1-PERCENTRANK(Z$4:Z$91,Z90))*100,"")</f>
        <v>52.900000000000006</v>
      </c>
      <c r="AZ90" s="51">
        <f>IFERROR(IF('3 — Weights'!$E$18=1,PERCENTRANK(AA$4:AA$91,AA90),1-PERCENTRANK(AA$4:AA$91,AA90))*100,"")</f>
        <v>4.7000000000000046</v>
      </c>
      <c r="BA90" s="51">
        <f>IFERROR(IF('3 — Weights'!$E$21=1,PERCENTRANK(AB$4:AB$91,AB90),1-PERCENTRANK(AB$4:AB$91,AB90))*100,"")</f>
        <v>95.399999999999991</v>
      </c>
      <c r="BB90" s="51">
        <f>IFERROR(IF('3 — Weights'!$E$22=1,PERCENTRANK(AC$4:AC$91,AC90),1-PERCENTRANK(AC$4:AC$91,AC90))*100,"")</f>
        <v>26.400000000000002</v>
      </c>
      <c r="BC90" s="51">
        <f>IFERROR(IF('3 — Weights'!$E$23=1,PERCENTRANK(AD$4:AD$91,AD90),1-PERCENTRANK(AD$4:AD$91,AD90))*100,"")</f>
        <v>12.7</v>
      </c>
      <c r="BD90" s="51">
        <f>IFERROR(IF('3 — Weights'!$E$24=1,PERCENTRANK(AE$4:AE$91,AE90),1-PERCENTRANK(AE$4:AE$91,AE90))*100,"")</f>
        <v>12.7</v>
      </c>
      <c r="BE90" s="51">
        <f>IFERROR(IF('3 — Weights'!$E$25=1,PERCENTRANK(AF$4:AF$91,AF90),1-PERCENTRANK(AF$4:AF$91,AF90))*100,"")</f>
        <v>11.5</v>
      </c>
      <c r="BF90" s="52" cm="1">
        <f t="array" ref="BF90">IFERROR(SUMPRODUCT(TRANSPOSE(AH90:BE90), [1]!Table2[Weight
Claude]),"")</f>
        <v>23.834999999999997</v>
      </c>
      <c r="BG90" s="53" cm="1">
        <f t="array" ref="BG90">IFERROR(SUMPRODUCT(TRANSPOSE(AH90:BE90), [1]!Table2[Weight
Cape IMC]),"")</f>
        <v>23.834999999999997</v>
      </c>
    </row>
    <row r="91" spans="1:59" ht="22.5" customHeight="1" x14ac:dyDescent="0.25">
      <c r="A91" s="17">
        <f t="shared" si="1"/>
        <v>88</v>
      </c>
      <c r="B91" s="18" t="s">
        <v>253</v>
      </c>
      <c r="C91" s="18" t="s">
        <v>254</v>
      </c>
      <c r="D91" s="18" t="str">
        <f t="array" ref="D91">IFERROR(_xll.FDS($B91,"FR_RBICS_NAME_CURR(""IND"")"), "")</f>
        <v>Customer Relationship Management Software</v>
      </c>
      <c r="E91" s="18" t="str">
        <f t="array" ref="E91">PROPER(IFERROR(_xll.FDS($B91,"P_DCOUNTRY"), ""))</f>
        <v>South Korea</v>
      </c>
      <c r="F91" s="19">
        <f t="array" ref="F91">IFERROR(_xll.FDS($B91,"FCS_EV_DAILY(MV,NOW,,,USD,M)"), "")</f>
        <v>56375.015423599703</v>
      </c>
      <c r="G91" s="19">
        <f t="array" ref="G91">IFERROR(_xll.FDS($B91,"AVG(P_VOLUME_FRQ(-1AM,NOW,D,,6))*P_PRICE_AVG(-1AM,NOW,,USD)"), "")</f>
        <v>281.94959325023802</v>
      </c>
      <c r="H91" s="20">
        <f t="array" ref="H91">IFERROR(_xll.FDS($B91,"OS_SEC_FLT_PCT(0D,,MTD,SEC)")/100, "")</f>
        <v>0.67435100000000003</v>
      </c>
      <c r="I91" s="19">
        <f t="array" ref="I91">IFERROR(_xll.FDS($B91,"FE_ACTUAL(ACTUAL,SALES,ANN_ROLL,0,,,,'CURRENCY=USD')"), "")</f>
        <v>1312.0989999999999</v>
      </c>
      <c r="J91" s="19">
        <f t="array" ref="J91">IFERROR(_xll.FDS($B91,"FE_ACTUAL(ACTUAL,EPS,ANN_ROLL,0,,,,'CURRENCY=USD')"), "")</f>
        <v>18.967724</v>
      </c>
      <c r="K91" s="20">
        <f t="array" ref="K91">IFERROR(_xll.FDS($B91,"POW(FE_ESTIMATE(SALES,MEAN,STMA,,NOW,,,'CURRENCY=USD')/FE_ESTIMATE(SALES,MEAN,LTMA,,NOW,,,'CURRENCY=USD'),0.5)-1"), "")</f>
        <v>6.6641445884520999E-3</v>
      </c>
      <c r="L91" s="20">
        <f t="array" ref="L91">IFERROR(_xll.FDS($B91,"POW(FE_ESTIMATE(EPS,MEAN,STMA,,NOW,,,'CURRENCY=USD')/FE_ESTIMATE(EPS,MEAN,LTMA,,NOW,,,'CURRENCY=USD'),0.5)-1"), "")</f>
        <v>0.31495277481740802</v>
      </c>
      <c r="M91" s="21" t="str">
        <f t="array" ref="M91">IFERROR(_xll.FDS($B91,"FF_GROSS_MGN(LTM_R,0)"), "")</f>
        <v/>
      </c>
      <c r="N91" s="21" t="str">
        <f t="array" ref="N91">IFERROR(_xll.FDS($B91,"FF_EBITDA_OPER_MGN(LTM_R,0)"), "")</f>
        <v/>
      </c>
      <c r="O91" s="21">
        <f t="array" ref="O91">IFERROR(_xll.FDS($B91,"FF_NET_MGN(LTM_R,0)"), "")</f>
        <v>624.74925984098002</v>
      </c>
      <c r="P91" s="22">
        <f t="array" ref="P91">IFERROR(_xll.FDS($B91,"FE_VALUATION(NETDEBT_EBITDA,MEAN,NTMA,,NOW,,,'')"), "")</f>
        <v>-0.41803536000000002</v>
      </c>
      <c r="Q91" s="23">
        <f t="array" ref="Q91">IFERROR(_xll.FDS($B91,"FE_VALUATION(MCAP_FCF,MEAN,NTMA,,NOW,,,'')"), "")</f>
        <v>3.4963044999999998E-2</v>
      </c>
      <c r="R91" s="23">
        <f t="array" ref="R91">IFERROR(_xll.FDS($B91,"FE_VALUATION(DIV_YLD,MEAN,NTMA,,NOW,,,'')"), "")</f>
        <v>5.547204E-2</v>
      </c>
      <c r="S91" s="21">
        <f t="array" ref="S91">IFERROR(_xll.FDS($B91,"FE_VALUATION(ROE,MEAN,NTMA,,0,,,'')" ), "")</f>
        <v>41.476869999999998</v>
      </c>
      <c r="T91" s="21">
        <f t="array" ref="T91">IFERROR(_xll.FDS($B91,"FE_VALUATION(ROIC,MEAN,NTMA,,0,,,'')" ), "")</f>
        <v>36.306705000000001</v>
      </c>
      <c r="U91" s="22">
        <f t="array" ref="U91">IFERROR(((_xll.FDS($B91,"FE_ACTUAL(ACTUAL,SALES,ANN_ROLL,0,,,,'CURRENCY=USD')")/_xll.FDS($B91,"FE_ACTUAL(ACTUAL,SALES,ANN_ROLL,-1,,,,'CURRENCY=USD')")-1)*100)+(_xll.FDS($B91,"FE_VALUATION(EBITDA_MARGIN,MEAN,ANN_ROLL,0,NOW,,,'')")  ), "")</f>
        <v>187.42640176210872</v>
      </c>
      <c r="V91" s="24">
        <f t="array" ref="V91">IFERROR(_xll.FDS($B91,"FE_VALUATION(PE,MEAN,NTMA,,0,,,'')" ), "")</f>
        <v>5.5869603000000003</v>
      </c>
      <c r="W91" s="24">
        <f t="array" ref="W91">IFERROR(_xll.FDS($B91,"FE_VALUATION(P_SALESPS,MEAN,NTMA,,0,,,'')" ), "")</f>
        <v>49.160564000000001</v>
      </c>
      <c r="X91" s="24">
        <f t="array" ref="X91">IFERROR(_xll.FDS($B91,"FE_VALUATION(FFEV_SALES,MEAN,NTMA,,0,,,'')" ), "")</f>
        <v>48.442512999999998</v>
      </c>
      <c r="Y91" s="24">
        <f t="array" ref="Y91">IFERROR(_xll.FDS($B91,"FE_VALUATION(FFEV_EBITDA,MEAN,NTMA,,0,,,'')" ), "")</f>
        <v>5.168069</v>
      </c>
      <c r="Z91" s="20">
        <f t="array" ref="Z91">IFERROR(_xll.FDS($B91,"PERCENT_CHANGE(FE_VALUATION(PE,MEAN,NTMA,,0,,,''),MAX(FE_VALUATION(PE,MEAN,NTMA,,-1AY,0,,'')))")/100,"")</f>
        <v>-0.15253575859593402</v>
      </c>
      <c r="AA91" s="20">
        <f t="array" ref="AA91">IFERROR(_xll.FDS($B91,"PERCENT_CHANGE(FE_VALUATION(FFEV_EBITDA,MEAN,NTMA,,0,,,''),MAX(FE_VALUATION(FFEV_EBITDA,MEAN,NTMA,,-1AY,0,,'')))")/100,"")</f>
        <v>-0.26263856017833404</v>
      </c>
      <c r="AB91" s="20">
        <f t="array" ref="AB91">IFERROR(_xll.FDS($B91,"FG_PRICE(0,,,USD)/P_PRICE_HIGH(-1AY,0,USD,,,""PRICE"",""INTRA"")")-1, "")</f>
        <v>-2.6813865627327016E-2</v>
      </c>
      <c r="AC91" s="20">
        <f t="array" ref="AC91">IFERROR(_xll.FDS($B91,"RTP_PRICE_TARGET(USD)/FG_PRICE(0,,,USD)")-1, "")</f>
        <v>2.6472195958620048E-2</v>
      </c>
      <c r="AD91" s="25">
        <f t="array" ref="AD91">IFERROR(_xll.FDS($B91,"FG_PRICE(0,,,USD)/FG_PRICE_MAVG(0,,,USD,50)")-1, "")</f>
        <v>0.42361583446712991</v>
      </c>
      <c r="AE91" s="25">
        <f t="array" ref="AE91">IFERROR(_xll.FDS($B91,"FG_PRICE(0,,,USD)/FG_PRICE_MAVG(0,,,USD,100)")-1, "")</f>
        <v>0.75494733801507996</v>
      </c>
      <c r="AF91" s="25">
        <f t="array" ref="AF91">IFERROR(_xll.FDS($B91,"FG_PRICE(0,,,USD)/FG_PRICE_MAVG(0,,,USD,200)")-1, "")</f>
        <v>1.4523003380869501</v>
      </c>
      <c r="AG91" s="26" t="str">
        <f t="array" ref="AG91">IFERROR(_xll.FDS($B91,"FE_RATING(MEAN,TEXTONLY,0,NOW,,,'')"), "")</f>
        <v>Buy</v>
      </c>
      <c r="AH91" s="50">
        <f>IFERROR(IF('3 — Weights'!$E$2=1,PERCENTRANK(I$4:I$91,I91),1-PERCENTRANK(I$4:I$91,I91))*100,"")</f>
        <v>43.6</v>
      </c>
      <c r="AI91" s="51">
        <f>IFERROR(IF('3 — Weights'!$E$3=1,PERCENTRANK(J$4:J$91,J91),1-PERCENTRANK(J$4:J$91,J91))*100,"")</f>
        <v>96.5</v>
      </c>
      <c r="AJ91" s="51">
        <f>IFERROR(IF('3 — Weights'!$E$4=1,PERCENTRANK(K$4:K$91,K91),1-PERCENTRANK(K$4:K$91,K91))*100,"")</f>
        <v>0</v>
      </c>
      <c r="AK91" s="51">
        <f>IFERROR(IF('3 — Weights'!$E$5=1,PERCENTRANK(L$4:L$91,L91),1-PERCENTRANK(L$4:L$91,L91))*100,"")</f>
        <v>88</v>
      </c>
      <c r="AL91" s="51" t="str">
        <f>IFERROR(IF('3 — Weights'!$E$6=1,PERCENTRANK(M$4:M$91,M91),1-PERCENTRANK(M$4:M$91,M91))*100,"")</f>
        <v/>
      </c>
      <c r="AM91" s="51" t="str">
        <f>IFERROR(IF('3 — Weights'!$E$7=1,PERCENTRANK(N$4:N$91,N91),1-PERCENTRANK(N$4:N$91,N91))*100,"")</f>
        <v/>
      </c>
      <c r="AN91" s="51">
        <f>IFERROR(IF('3 — Weights'!$E$8=1,PERCENTRANK(O$4:O$91,O91),1-PERCENTRANK(O$4:O$91,O91))*100,"")</f>
        <v>100</v>
      </c>
      <c r="AO91" s="51">
        <f>IFERROR(IF('3 — Weights'!$E$9=1,PERCENTRANK(P$4:P$91,P91),1-PERCENTRANK(P$4:P$91,P91))*100,"")</f>
        <v>33.799999999999997</v>
      </c>
      <c r="AP91" s="51">
        <f>IFERROR(IF('3 — Weights'!$E$10=1,PERCENTRANK(Q$4:Q$91,Q91),1-PERCENTRANK(Q$4:Q$91,Q91))*100,"")</f>
        <v>3.5000000000000004</v>
      </c>
      <c r="AQ91" s="51">
        <f>IFERROR(IF('3 — Weights'!$E$11=1,PERCENTRANK(R$4:R$91,R91),1-PERCENTRANK(R$4:R$91,R91))*100,"")</f>
        <v>70.5</v>
      </c>
      <c r="AR91" s="51">
        <f>IFERROR(IF('3 — Weights'!$E$12=1,PERCENTRANK(S$4:S$91,S91),1-PERCENTRANK(S$4:S$91,S91))*100,"")</f>
        <v>85.1</v>
      </c>
      <c r="AS91" s="51">
        <f>IFERROR(IF('3 — Weights'!$E$13=1,PERCENTRANK(T$4:T$91,T91),1-PERCENTRANK(T$4:T$91,T91))*100,"")</f>
        <v>94.399999999999991</v>
      </c>
      <c r="AT91" s="51">
        <f>IFERROR(IF('3 — Weights'!$E$14=1,PERCENTRANK(U$4:U$91,U91),1-PERCENTRANK(U$4:U$91,U91))*100,"")</f>
        <v>100</v>
      </c>
      <c r="AU91" s="51">
        <f>IFERROR(IF('3 — Weights'!$E$15=1,PERCENTRANK(V$4:V$91,V91),1-PERCENTRANK(V$4:V$91,V91))*100,"")</f>
        <v>98.9</v>
      </c>
      <c r="AV91" s="51">
        <f>IFERROR(IF('3 — Weights'!$E$16=1,PERCENTRANK(W$4:W$91,W91),1-PERCENTRANK(W$4:W$91,W91))*100,"")</f>
        <v>0</v>
      </c>
      <c r="AW91" s="51">
        <f>IFERROR(IF('3 — Weights'!$E$17=1,PERCENTRANK(X$4:X$91,X91),1-PERCENTRANK(X$4:X$91,X91))*100,"")</f>
        <v>0</v>
      </c>
      <c r="AX91" s="51">
        <f>IFERROR(IF('3 — Weights'!$E$18=1,PERCENTRANK(Y$4:Y$91,Y91),1-PERCENTRANK(Y$4:Y$91,Y91))*100,"")</f>
        <v>100</v>
      </c>
      <c r="AY91" s="51">
        <f>IFERROR(IF('3 — Weights'!$E$18=1,PERCENTRANK(Z$4:Z$91,Z91),1-PERCENTRANK(Z$4:Z$91,Z91))*100,"")</f>
        <v>0</v>
      </c>
      <c r="AZ91" s="51">
        <f>IFERROR(IF('3 — Weights'!$E$18=1,PERCENTRANK(AA$4:AA$91,AA91),1-PERCENTRANK(AA$4:AA$91,AA91))*100,"")</f>
        <v>6.9999999999999947</v>
      </c>
      <c r="BA91" s="51">
        <f>IFERROR(IF('3 — Weights'!$E$21=1,PERCENTRANK(AB$4:AB$91,AB91),1-PERCENTRANK(AB$4:AB$91,AB91))*100,"")</f>
        <v>100</v>
      </c>
      <c r="BB91" s="51">
        <f>IFERROR(IF('3 — Weights'!$E$22=1,PERCENTRANK(AC$4:AC$91,AC91),1-PERCENTRANK(AC$4:AC$91,AC91))*100,"")</f>
        <v>1.0999999999999999</v>
      </c>
      <c r="BC91" s="51">
        <f>IFERROR(IF('3 — Weights'!$E$23=1,PERCENTRANK(AD$4:AD$91,AD91),1-PERCENTRANK(AD$4:AD$91,AD91))*100,"")</f>
        <v>0</v>
      </c>
      <c r="BD91" s="51">
        <f>IFERROR(IF('3 — Weights'!$E$24=1,PERCENTRANK(AE$4:AE$91,AE91),1-PERCENTRANK(AE$4:AE$91,AE91))*100,"")</f>
        <v>0</v>
      </c>
      <c r="BE91" s="51">
        <f>IFERROR(IF('3 — Weights'!$E$25=1,PERCENTRANK(AF$4:AF$91,AF91),1-PERCENTRANK(AF$4:AF$91,AF91))*100,"")</f>
        <v>0</v>
      </c>
      <c r="BF91" s="52" cm="1">
        <f t="array" ref="BF91">IFERROR(SUMPRODUCT(TRANSPOSE(AH91:BE91), [1]!Table2[Weight
Claude]),"")</f>
        <v>17.11</v>
      </c>
      <c r="BG91" s="53" cm="1">
        <f t="array" ref="BG91">IFERROR(SUMPRODUCT(TRANSPOSE(AH91:BE91), [1]!Table2[Weight
Cape IMC]),"")</f>
        <v>17.11</v>
      </c>
    </row>
    <row r="92" spans="1:59" ht="21.75" customHeight="1" x14ac:dyDescent="0.25">
      <c r="A92" s="17"/>
      <c r="B92" s="18"/>
      <c r="C92" s="18"/>
      <c r="D92" s="18"/>
      <c r="E92" s="18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7"/>
      <c r="BG92" s="17"/>
    </row>
    <row r="93" spans="1:59" ht="21.75" customHeight="1" x14ac:dyDescent="0.25">
      <c r="A93" s="17"/>
      <c r="B93" s="18"/>
      <c r="C93" s="18"/>
      <c r="D93" s="18"/>
      <c r="E93" s="18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7"/>
      <c r="BG93" s="17"/>
    </row>
    <row r="94" spans="1:59" ht="21.75" customHeight="1" x14ac:dyDescent="0.25">
      <c r="A94" s="17"/>
      <c r="B94" s="18"/>
      <c r="C94" s="18"/>
      <c r="D94" s="18"/>
      <c r="E94" s="18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7"/>
      <c r="BG94" s="17"/>
    </row>
    <row r="95" spans="1:59" ht="21.75" customHeight="1" x14ac:dyDescent="0.25">
      <c r="A95" s="17"/>
      <c r="B95" s="18"/>
      <c r="C95" s="18"/>
      <c r="D95" s="18"/>
      <c r="E95" s="18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7"/>
      <c r="BG95" s="17"/>
    </row>
    <row r="96" spans="1:59" ht="21.75" customHeight="1" x14ac:dyDescent="0.25">
      <c r="A96" s="17"/>
      <c r="B96" s="18"/>
      <c r="C96" s="18"/>
      <c r="D96" s="18"/>
      <c r="E96" s="18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7"/>
      <c r="BG96" s="17"/>
    </row>
    <row r="97" spans="1:59" ht="21.75" customHeight="1" x14ac:dyDescent="0.25">
      <c r="A97" s="17"/>
      <c r="B97" s="18"/>
      <c r="C97" s="18"/>
      <c r="D97" s="18"/>
      <c r="E97" s="18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7"/>
      <c r="BG97" s="17"/>
    </row>
    <row r="98" spans="1:59" ht="21.75" customHeight="1" x14ac:dyDescent="0.25">
      <c r="A98" s="17"/>
      <c r="B98" s="18"/>
      <c r="C98" s="18"/>
      <c r="D98" s="18"/>
      <c r="E98" s="18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7"/>
      <c r="BG98" s="17"/>
    </row>
    <row r="99" spans="1:59" ht="21.75" customHeight="1" x14ac:dyDescent="0.25">
      <c r="A99" s="17"/>
      <c r="B99" s="18"/>
      <c r="C99" s="18"/>
      <c r="D99" s="18"/>
      <c r="E99" s="18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7"/>
      <c r="BG99" s="17"/>
    </row>
    <row r="100" spans="1:59" ht="21.75" customHeight="1" x14ac:dyDescent="0.25">
      <c r="A100" s="17"/>
      <c r="B100" s="18"/>
      <c r="C100" s="18"/>
      <c r="D100" s="18"/>
      <c r="E100" s="18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7"/>
      <c r="BG100" s="17"/>
    </row>
    <row r="101" spans="1:59" ht="21.75" customHeight="1" x14ac:dyDescent="0.25">
      <c r="A101" s="17"/>
      <c r="B101" s="18"/>
      <c r="C101" s="18"/>
      <c r="D101" s="18"/>
      <c r="E101" s="18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7"/>
      <c r="BG101" s="17"/>
    </row>
    <row r="102" spans="1:59" ht="21.75" customHeight="1" x14ac:dyDescent="0.25"/>
    <row r="103" spans="1:59" ht="21.75" customHeight="1" x14ac:dyDescent="0.25">
      <c r="B103" s="18"/>
      <c r="C103" s="18"/>
      <c r="D103" s="18"/>
      <c r="E103" s="18"/>
      <c r="F103" s="19"/>
      <c r="G103" s="19"/>
      <c r="H103" s="20"/>
      <c r="I103" s="19"/>
      <c r="J103" s="19"/>
      <c r="K103" s="20"/>
      <c r="L103" s="20"/>
      <c r="M103" s="21"/>
      <c r="N103" s="21"/>
      <c r="O103" s="21"/>
      <c r="P103" s="22"/>
      <c r="Q103" s="23"/>
      <c r="R103" s="23"/>
      <c r="S103" s="21"/>
      <c r="T103" s="21"/>
      <c r="U103" s="22"/>
      <c r="V103" s="24"/>
      <c r="W103" s="24"/>
      <c r="X103" s="24"/>
      <c r="Y103" s="24"/>
      <c r="Z103" s="24"/>
      <c r="AA103" s="24"/>
      <c r="AB103" s="20"/>
      <c r="AC103" s="20"/>
      <c r="AD103" s="25"/>
      <c r="AE103" s="25"/>
      <c r="AF103" s="25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17"/>
      <c r="BG103" s="17"/>
    </row>
    <row r="104" spans="1:59" ht="21.75" customHeight="1" x14ac:dyDescent="0.25">
      <c r="A104" s="17"/>
      <c r="B104" s="18"/>
      <c r="C104" s="18"/>
      <c r="D104" s="18"/>
      <c r="E104" s="18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7"/>
      <c r="BG104" s="17"/>
    </row>
    <row r="105" spans="1:59" ht="21.75" customHeight="1" x14ac:dyDescent="0.25">
      <c r="A105" s="17"/>
      <c r="B105" s="18"/>
      <c r="C105" s="18"/>
      <c r="D105" s="18"/>
      <c r="E105" s="18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7"/>
      <c r="BG105" s="17"/>
    </row>
    <row r="106" spans="1:59" ht="21.75" customHeight="1" x14ac:dyDescent="0.25">
      <c r="A106" s="17"/>
      <c r="B106" s="18"/>
      <c r="C106" s="18"/>
      <c r="D106" s="18"/>
      <c r="E106" s="18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7"/>
      <c r="BG106" s="17"/>
    </row>
    <row r="107" spans="1:59" ht="21.75" customHeight="1" x14ac:dyDescent="0.25">
      <c r="A107" s="17"/>
      <c r="B107" s="18"/>
      <c r="C107" s="18"/>
      <c r="D107" s="18"/>
      <c r="E107" s="18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7"/>
      <c r="BG107" s="17"/>
    </row>
    <row r="108" spans="1:59" ht="21.75" customHeight="1" x14ac:dyDescent="0.25">
      <c r="A108" s="17"/>
      <c r="B108" s="18"/>
      <c r="C108" s="18"/>
      <c r="D108" s="18"/>
      <c r="E108" s="18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7"/>
      <c r="BG108" s="17"/>
    </row>
    <row r="109" spans="1:59" ht="21.75" customHeight="1" x14ac:dyDescent="0.25">
      <c r="A109" s="17"/>
      <c r="B109" s="18"/>
      <c r="C109" s="18"/>
      <c r="D109" s="18"/>
      <c r="E109" s="18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7"/>
      <c r="BG109" s="17"/>
    </row>
    <row r="110" spans="1:59" ht="21.75" customHeight="1" x14ac:dyDescent="0.25">
      <c r="A110" s="17"/>
      <c r="B110" s="18"/>
      <c r="C110" s="18"/>
      <c r="D110" s="18"/>
      <c r="E110" s="18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7"/>
      <c r="BG110" s="17"/>
    </row>
    <row r="128" spans="22:76" ht="15" customHeight="1" x14ac:dyDescent="0.25">
      <c r="V128" s="18"/>
      <c r="W128" s="18"/>
      <c r="X128" s="18"/>
      <c r="Y128" s="17"/>
      <c r="Z128" s="18"/>
      <c r="AA128" s="17"/>
      <c r="AB128" s="28"/>
      <c r="AC128" s="19"/>
      <c r="AD128" s="19"/>
      <c r="AE128" s="20"/>
      <c r="AF128" s="1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0"/>
      <c r="BG128" s="20"/>
      <c r="BH128" s="23"/>
      <c r="BI128" s="23"/>
      <c r="BJ128" s="21"/>
      <c r="BK128" s="21"/>
      <c r="BL128" s="22"/>
      <c r="BM128" s="24"/>
      <c r="BN128" s="24"/>
      <c r="BO128" s="24"/>
      <c r="BP128" s="24"/>
      <c r="BQ128" s="20"/>
      <c r="BR128" s="20"/>
      <c r="BS128" s="25"/>
      <c r="BT128" s="25"/>
      <c r="BU128" s="25"/>
      <c r="BV128" s="25"/>
      <c r="BW128" s="17"/>
      <c r="BX128" s="17"/>
    </row>
    <row r="129" spans="21:76" ht="15" customHeight="1" x14ac:dyDescent="0.25">
      <c r="U129" s="17"/>
      <c r="V129" s="18"/>
      <c r="W129" s="18"/>
      <c r="X129" s="18"/>
      <c r="Y129" s="17"/>
      <c r="Z129" s="18"/>
      <c r="AA129" s="17"/>
      <c r="AB129" s="17"/>
      <c r="AC129" s="17"/>
      <c r="AD129" s="17"/>
      <c r="AE129" s="17"/>
      <c r="AF129" s="17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</row>
    <row r="130" spans="21:76" ht="15" customHeight="1" x14ac:dyDescent="0.25">
      <c r="U130" s="17"/>
      <c r="V130" s="18"/>
      <c r="W130" s="18"/>
      <c r="X130" s="18"/>
      <c r="Y130" s="17"/>
      <c r="Z130" s="18"/>
      <c r="AA130" s="17"/>
      <c r="AB130" s="17"/>
      <c r="AC130" s="17"/>
      <c r="AD130" s="17"/>
      <c r="AE130" s="17"/>
      <c r="AF130" s="17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</row>
    <row r="131" spans="21:76" ht="15" customHeight="1" x14ac:dyDescent="0.25">
      <c r="U131" s="17"/>
      <c r="V131" s="18"/>
      <c r="W131" s="18"/>
      <c r="X131" s="18"/>
      <c r="Y131" s="17"/>
      <c r="Z131" s="18"/>
      <c r="AA131" s="17"/>
      <c r="AB131" s="17"/>
      <c r="AC131" s="17"/>
      <c r="AD131" s="17"/>
      <c r="AE131" s="17"/>
      <c r="AF131" s="17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</row>
    <row r="132" spans="21:76" ht="15" customHeight="1" x14ac:dyDescent="0.25">
      <c r="U132" s="17"/>
      <c r="V132" s="18"/>
      <c r="W132" s="18"/>
      <c r="X132" s="18"/>
      <c r="Y132" s="17"/>
      <c r="Z132" s="18"/>
      <c r="AA132" s="17"/>
      <c r="AB132" s="17"/>
      <c r="AC132" s="17"/>
      <c r="AD132" s="17"/>
      <c r="AE132" s="17"/>
      <c r="AF132" s="17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</row>
    <row r="133" spans="21:76" ht="15" customHeight="1" x14ac:dyDescent="0.25">
      <c r="U133" s="17"/>
      <c r="V133" s="18"/>
      <c r="W133" s="18"/>
      <c r="X133" s="18"/>
      <c r="Y133" s="17"/>
      <c r="Z133" s="18"/>
      <c r="AA133" s="17"/>
      <c r="AB133" s="17"/>
      <c r="AC133" s="17"/>
      <c r="AD133" s="17"/>
      <c r="AE133" s="17"/>
      <c r="AF133" s="17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</row>
    <row r="134" spans="21:76" ht="15" customHeight="1" x14ac:dyDescent="0.25">
      <c r="U134" s="17"/>
      <c r="V134" s="18"/>
      <c r="W134" s="18"/>
      <c r="X134" s="18"/>
      <c r="Y134" s="17"/>
      <c r="Z134" s="18"/>
      <c r="AA134" s="17"/>
      <c r="AB134" s="17"/>
      <c r="AC134" s="17"/>
      <c r="AD134" s="17"/>
      <c r="AE134" s="17"/>
      <c r="AF134" s="17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</row>
    <row r="135" spans="21:76" ht="15" customHeight="1" x14ac:dyDescent="0.25">
      <c r="U135" s="17"/>
      <c r="V135" s="18"/>
      <c r="W135" s="18"/>
      <c r="X135" s="18"/>
      <c r="Y135" s="17"/>
      <c r="Z135" s="18"/>
      <c r="AA135" s="17"/>
      <c r="AB135" s="17"/>
      <c r="AC135" s="17"/>
      <c r="AD135" s="17"/>
      <c r="AE135" s="17"/>
      <c r="AF135" s="17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</row>
    <row r="136" spans="21:76" ht="15" customHeight="1" x14ac:dyDescent="0.25">
      <c r="U136" s="17"/>
      <c r="V136" s="18"/>
      <c r="W136" s="18"/>
      <c r="X136" s="18"/>
      <c r="Y136" s="17"/>
      <c r="Z136" s="18"/>
      <c r="AA136" s="17"/>
      <c r="AB136" s="17"/>
      <c r="AC136" s="17"/>
      <c r="AD136" s="17"/>
      <c r="AE136" s="17"/>
      <c r="AF136" s="17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</row>
    <row r="137" spans="21:76" ht="15" customHeight="1" x14ac:dyDescent="0.25">
      <c r="U137" s="17"/>
      <c r="V137" s="18"/>
      <c r="W137" s="18"/>
      <c r="X137" s="18"/>
      <c r="Y137" s="17"/>
      <c r="Z137" s="18"/>
      <c r="AA137" s="17"/>
      <c r="AB137" s="17"/>
      <c r="AC137" s="17"/>
      <c r="AD137" s="17"/>
      <c r="AE137" s="17"/>
      <c r="AF137" s="17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</row>
    <row r="138" spans="21:76" ht="15" customHeight="1" x14ac:dyDescent="0.25">
      <c r="U138" s="17"/>
      <c r="V138" s="18"/>
      <c r="W138" s="18"/>
      <c r="X138" s="18"/>
      <c r="Y138" s="17"/>
      <c r="Z138" s="18"/>
      <c r="AA138" s="17"/>
      <c r="AB138" s="17"/>
      <c r="AC138" s="17"/>
      <c r="AD138" s="17"/>
      <c r="AE138" s="17"/>
      <c r="AF138" s="17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</row>
    <row r="139" spans="21:76" ht="15" customHeight="1" x14ac:dyDescent="0.25">
      <c r="U139" s="17"/>
      <c r="V139" s="18"/>
      <c r="W139" s="18"/>
      <c r="X139" s="18"/>
      <c r="Y139" s="17"/>
      <c r="Z139" s="18"/>
      <c r="AA139" s="17"/>
      <c r="AB139" s="17"/>
      <c r="AC139" s="17"/>
      <c r="AD139" s="17"/>
      <c r="AE139" s="17"/>
      <c r="AF139" s="17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</row>
    <row r="140" spans="21:76" ht="15" customHeight="1" x14ac:dyDescent="0.25">
      <c r="U140" s="17"/>
      <c r="V140" s="18"/>
      <c r="W140" s="18"/>
      <c r="X140" s="18"/>
      <c r="Y140" s="17"/>
      <c r="Z140" s="18"/>
      <c r="AA140" s="17"/>
      <c r="AB140" s="17"/>
      <c r="AC140" s="17"/>
      <c r="AD140" s="17"/>
      <c r="AE140" s="17"/>
      <c r="AF140" s="17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</row>
    <row r="141" spans="21:76" ht="15" customHeight="1" x14ac:dyDescent="0.25">
      <c r="U141" s="17"/>
      <c r="V141" s="18"/>
      <c r="W141" s="18"/>
      <c r="X141" s="18"/>
      <c r="Y141" s="17"/>
      <c r="Z141" s="18"/>
      <c r="AA141" s="17"/>
      <c r="AB141" s="17"/>
      <c r="AC141" s="17"/>
      <c r="AD141" s="17"/>
      <c r="AE141" s="17"/>
      <c r="AF141" s="17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</row>
    <row r="142" spans="21:76" ht="15" customHeight="1" x14ac:dyDescent="0.25">
      <c r="U142" s="17"/>
      <c r="V142" s="18"/>
      <c r="W142" s="18"/>
      <c r="X142" s="18"/>
      <c r="Y142" s="17"/>
      <c r="Z142" s="18"/>
      <c r="AA142" s="17"/>
      <c r="AB142" s="17"/>
      <c r="AC142" s="17"/>
      <c r="AD142" s="17"/>
      <c r="AE142" s="17"/>
      <c r="AF142" s="17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</row>
    <row r="143" spans="21:76" ht="15" customHeight="1" x14ac:dyDescent="0.25">
      <c r="U143" s="17"/>
      <c r="V143" s="18"/>
      <c r="W143" s="18"/>
      <c r="X143" s="18"/>
      <c r="Y143" s="17"/>
      <c r="Z143" s="18"/>
      <c r="AA143" s="17"/>
      <c r="AB143" s="17"/>
      <c r="AC143" s="17"/>
      <c r="AD143" s="17"/>
      <c r="AE143" s="17"/>
      <c r="AF143" s="17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</row>
    <row r="144" spans="21:76" ht="15" customHeight="1" x14ac:dyDescent="0.25">
      <c r="U144" s="17"/>
      <c r="V144" s="18"/>
      <c r="W144" s="18"/>
      <c r="X144" s="18"/>
      <c r="Y144" s="17"/>
      <c r="Z144" s="18"/>
      <c r="AA144" s="17"/>
      <c r="AB144" s="17"/>
      <c r="AC144" s="17"/>
      <c r="AD144" s="17"/>
      <c r="AE144" s="17"/>
      <c r="AF144" s="17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</row>
    <row r="145" spans="21:76" ht="15" customHeight="1" x14ac:dyDescent="0.25">
      <c r="U145" s="17"/>
      <c r="V145" s="18"/>
      <c r="W145" s="18"/>
      <c r="X145" s="18"/>
      <c r="Y145" s="17"/>
      <c r="Z145" s="18"/>
      <c r="AA145" s="17"/>
      <c r="AB145" s="17"/>
      <c r="AC145" s="17"/>
      <c r="AD145" s="17"/>
      <c r="AE145" s="17"/>
      <c r="AF145" s="17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</row>
    <row r="146" spans="21:76" ht="15" customHeight="1" x14ac:dyDescent="0.25">
      <c r="U146" s="17"/>
      <c r="V146" s="18"/>
      <c r="W146" s="18"/>
      <c r="X146" s="18"/>
      <c r="Y146" s="17"/>
      <c r="Z146" s="18"/>
      <c r="AA146" s="17"/>
      <c r="AB146" s="17"/>
      <c r="AC146" s="17"/>
      <c r="AD146" s="17"/>
      <c r="AE146" s="17"/>
      <c r="AF146" s="17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</row>
    <row r="147" spans="21:76" ht="15" customHeight="1" x14ac:dyDescent="0.25">
      <c r="U147" s="17"/>
      <c r="V147" s="18"/>
      <c r="W147" s="18"/>
      <c r="X147" s="18"/>
      <c r="Y147" s="17"/>
      <c r="Z147" s="18"/>
      <c r="AA147" s="17"/>
      <c r="AB147" s="17"/>
      <c r="AC147" s="17"/>
      <c r="AD147" s="17"/>
      <c r="AE147" s="17"/>
      <c r="AF147" s="17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</row>
    <row r="148" spans="21:76" ht="15" customHeight="1" x14ac:dyDescent="0.25">
      <c r="V148" s="30"/>
      <c r="W148" s="30"/>
      <c r="X148" s="30"/>
      <c r="Z148" s="30"/>
    </row>
    <row r="149" spans="21:76" ht="15" customHeight="1" x14ac:dyDescent="0.25">
      <c r="V149" s="18"/>
      <c r="W149" s="18"/>
      <c r="X149" s="18"/>
      <c r="Y149" s="17"/>
      <c r="Z149" s="18"/>
      <c r="AA149" s="17"/>
      <c r="AB149" s="28"/>
      <c r="AC149" s="19"/>
      <c r="AD149" s="19"/>
      <c r="AE149" s="20"/>
      <c r="AF149" s="1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0"/>
      <c r="BG149" s="20"/>
      <c r="BH149" s="23"/>
      <c r="BI149" s="23"/>
      <c r="BJ149" s="21"/>
      <c r="BK149" s="21"/>
      <c r="BL149" s="22"/>
      <c r="BM149" s="24"/>
      <c r="BN149" s="24"/>
      <c r="BO149" s="24"/>
      <c r="BP149" s="24"/>
      <c r="BQ149" s="20"/>
      <c r="BR149" s="20"/>
      <c r="BS149" s="25"/>
      <c r="BT149" s="25"/>
      <c r="BU149" s="25"/>
      <c r="BV149" s="25"/>
      <c r="BW149" s="17"/>
      <c r="BX149" s="17"/>
    </row>
    <row r="150" spans="21:76" ht="15" customHeight="1" x14ac:dyDescent="0.25">
      <c r="U150" s="17"/>
      <c r="V150" s="18"/>
      <c r="W150" s="18"/>
      <c r="X150" s="18"/>
      <c r="Y150" s="17"/>
      <c r="Z150" s="18"/>
      <c r="AA150" s="17"/>
      <c r="AB150" s="17"/>
      <c r="AC150" s="17"/>
      <c r="AD150" s="17"/>
      <c r="AE150" s="17"/>
      <c r="AF150" s="17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</row>
    <row r="151" spans="21:76" ht="15" customHeight="1" x14ac:dyDescent="0.25">
      <c r="U151" s="17"/>
      <c r="V151" s="18"/>
      <c r="W151" s="18"/>
      <c r="X151" s="18"/>
      <c r="Y151" s="17"/>
      <c r="Z151" s="18"/>
      <c r="AA151" s="17"/>
      <c r="AB151" s="17"/>
      <c r="AC151" s="17"/>
      <c r="AD151" s="17"/>
      <c r="AE151" s="17"/>
      <c r="AF151" s="17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</row>
    <row r="152" spans="21:76" ht="15" customHeight="1" x14ac:dyDescent="0.25">
      <c r="U152" s="17"/>
      <c r="V152" s="18"/>
      <c r="W152" s="18"/>
      <c r="X152" s="18"/>
      <c r="Y152" s="17"/>
      <c r="Z152" s="18"/>
      <c r="AA152" s="17"/>
      <c r="AB152" s="17"/>
      <c r="AC152" s="17"/>
      <c r="AD152" s="17"/>
      <c r="AE152" s="17"/>
      <c r="AF152" s="17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</row>
    <row r="153" spans="21:76" ht="15" customHeight="1" x14ac:dyDescent="0.25">
      <c r="U153" s="17"/>
      <c r="V153" s="18"/>
      <c r="W153" s="18"/>
      <c r="X153" s="18"/>
      <c r="Y153" s="17"/>
      <c r="Z153" s="18"/>
      <c r="AA153" s="17"/>
      <c r="AB153" s="17"/>
      <c r="AC153" s="17"/>
      <c r="AD153" s="17"/>
      <c r="AE153" s="17"/>
      <c r="AF153" s="17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</row>
    <row r="154" spans="21:76" ht="15" customHeight="1" x14ac:dyDescent="0.25">
      <c r="U154" s="17"/>
      <c r="V154" s="18"/>
      <c r="W154" s="18"/>
      <c r="X154" s="18"/>
      <c r="Y154" s="17"/>
      <c r="Z154" s="18"/>
      <c r="AA154" s="17"/>
      <c r="AB154" s="17"/>
      <c r="AC154" s="17"/>
      <c r="AD154" s="17"/>
      <c r="AE154" s="17"/>
      <c r="AF154" s="17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</row>
    <row r="155" spans="21:76" ht="15" customHeight="1" x14ac:dyDescent="0.25">
      <c r="U155" s="17"/>
      <c r="V155" s="18"/>
      <c r="W155" s="18"/>
      <c r="X155" s="18"/>
      <c r="Y155" s="17"/>
      <c r="Z155" s="18"/>
      <c r="AA155" s="17"/>
      <c r="AB155" s="17"/>
      <c r="AC155" s="17"/>
      <c r="AD155" s="17"/>
      <c r="AE155" s="17"/>
      <c r="AF155" s="17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</row>
    <row r="156" spans="21:76" ht="15" customHeight="1" x14ac:dyDescent="0.25">
      <c r="U156" s="17"/>
      <c r="V156" s="18"/>
      <c r="W156" s="18"/>
      <c r="X156" s="18"/>
      <c r="Y156" s="17"/>
      <c r="Z156" s="18"/>
      <c r="AA156" s="17"/>
      <c r="AB156" s="17"/>
      <c r="AC156" s="17"/>
      <c r="AD156" s="17"/>
      <c r="AE156" s="17"/>
      <c r="AF156" s="17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</row>
  </sheetData>
  <mergeCells count="7">
    <mergeCell ref="BF2:BG2"/>
    <mergeCell ref="V2:AA2"/>
    <mergeCell ref="I2:U2"/>
    <mergeCell ref="A2:B2"/>
    <mergeCell ref="AH2:BE2"/>
    <mergeCell ref="AB2:AF2"/>
    <mergeCell ref="F2:H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zoomScaleNormal="100" workbookViewId="0">
      <selection activeCell="G3" sqref="G3"/>
    </sheetView>
  </sheetViews>
  <sheetFormatPr defaultColWidth="8.7109375" defaultRowHeight="15" x14ac:dyDescent="0.25"/>
  <cols>
    <col min="1" max="2" width="26.140625" customWidth="1"/>
    <col min="4" max="4" width="10.5703125" customWidth="1"/>
    <col min="6" max="6" width="18.7109375" customWidth="1"/>
    <col min="7" max="7" width="93.42578125" customWidth="1"/>
    <col min="8" max="8" width="9.140625" customWidth="1"/>
  </cols>
  <sheetData>
    <row r="1" spans="1:7" ht="43.5" customHeight="1" x14ac:dyDescent="0.25">
      <c r="A1" s="31" t="s">
        <v>255</v>
      </c>
      <c r="B1" s="31" t="s">
        <v>256</v>
      </c>
      <c r="C1" s="32" t="s">
        <v>257</v>
      </c>
      <c r="D1" s="32" t="s">
        <v>258</v>
      </c>
      <c r="E1" s="31" t="s">
        <v>259</v>
      </c>
      <c r="F1" s="32" t="s">
        <v>260</v>
      </c>
      <c r="G1" s="31" t="s">
        <v>261</v>
      </c>
    </row>
    <row r="2" spans="1:7" ht="27" customHeight="1" x14ac:dyDescent="0.25">
      <c r="A2" s="33" t="s">
        <v>16</v>
      </c>
      <c r="B2" s="34" t="s">
        <v>28</v>
      </c>
      <c r="C2" s="35"/>
      <c r="D2" s="35"/>
      <c r="E2" s="31">
        <v>1</v>
      </c>
      <c r="F2" s="36" t="str">
        <f ca="1">IFERROR(_xlfn.FORMULATEXT('2 — IC Universe Table'!I45), '2 — IC Universe Table'!I45)</f>
        <v>{=IFERROR(FDS($B45,"FE_ACTUAL(ACTUAL,SALES,ANN_ROLL,0,,,,'CURRENCY=USD')"), "")}</v>
      </c>
      <c r="G2" s="32" t="s">
        <v>262</v>
      </c>
    </row>
    <row r="3" spans="1:7" ht="27" customHeight="1" x14ac:dyDescent="0.25">
      <c r="A3" s="33" t="s">
        <v>16</v>
      </c>
      <c r="B3" s="34" t="s">
        <v>263</v>
      </c>
      <c r="C3" s="35"/>
      <c r="D3" s="35"/>
      <c r="E3" s="31">
        <v>1</v>
      </c>
      <c r="F3" s="36" t="str">
        <f ca="1">IFERROR(_xlfn.FORMULATEXT('2 — IC Universe Table'!J45), '2 — IC Universe Table'!J45)</f>
        <v>{=IFERROR(FDS($B45,"FE_ACTUAL(ACTUAL,EPS,ANN_ROLL,0,,,,'CURRENCY=USD')"), "")}</v>
      </c>
      <c r="G3" s="32" t="s">
        <v>264</v>
      </c>
    </row>
    <row r="4" spans="1:7" ht="27" customHeight="1" x14ac:dyDescent="0.25">
      <c r="A4" s="33" t="s">
        <v>16</v>
      </c>
      <c r="B4" s="37" t="s">
        <v>265</v>
      </c>
      <c r="C4" s="35">
        <v>0.15</v>
      </c>
      <c r="D4" s="35">
        <v>0.15</v>
      </c>
      <c r="E4" s="31">
        <v>1</v>
      </c>
      <c r="F4" s="36" t="str">
        <f ca="1">IFERROR(_xlfn.FORMULATEXT('2 — IC Universe Table'!K45), '2 — IC Universe Table'!K45)</f>
        <v>{=IFERROR(FDS($B45,"POW(FE_ESTIMATE(SALES,MEAN,STMA,,NOW,,,'CURRENCY=USD')/FE_ESTIMATE(SALES,MEAN,LTMA,,NOW,,,'CURRENCY=USD'),0.5)-1"), "")}</v>
      </c>
      <c r="G4" s="32" t="s">
        <v>266</v>
      </c>
    </row>
    <row r="5" spans="1:7" ht="27" customHeight="1" x14ac:dyDescent="0.25">
      <c r="A5" s="33" t="s">
        <v>16</v>
      </c>
      <c r="B5" s="34" t="s">
        <v>267</v>
      </c>
      <c r="C5" s="35"/>
      <c r="D5" s="35"/>
      <c r="E5" s="31">
        <v>1</v>
      </c>
      <c r="F5" s="36" t="str">
        <f ca="1">IFERROR(_xlfn.FORMULATEXT('2 — IC Universe Table'!L45), '2 — IC Universe Table'!L45)</f>
        <v>{=IFERROR(FDS($B45,"POW(FE_ESTIMATE(EPS,MEAN,STMA,,NOW,,,'CURRENCY=USD')/FE_ESTIMATE(EPS,MEAN,LTMA,,NOW,,,'CURRENCY=USD'),0.5)-1"), "")}</v>
      </c>
      <c r="G5" s="32" t="s">
        <v>268</v>
      </c>
    </row>
    <row r="6" spans="1:7" ht="27" customHeight="1" x14ac:dyDescent="0.25">
      <c r="A6" s="33" t="s">
        <v>16</v>
      </c>
      <c r="B6" s="34" t="s">
        <v>269</v>
      </c>
      <c r="C6" s="35">
        <v>0.2</v>
      </c>
      <c r="D6" s="35">
        <v>0.2</v>
      </c>
      <c r="E6" s="31">
        <v>1</v>
      </c>
      <c r="F6" s="36" t="str">
        <f ca="1">IFERROR(_xlfn.FORMULATEXT('2 — IC Universe Table'!M45), '2 — IC Universe Table'!M45)</f>
        <v>{=IFERROR(FDS($B45,"FF_GROSS_MGN(LTM_R,0)"), "")}</v>
      </c>
      <c r="G6" s="32" t="s">
        <v>270</v>
      </c>
    </row>
    <row r="7" spans="1:7" ht="27" customHeight="1" x14ac:dyDescent="0.25">
      <c r="A7" s="33" t="s">
        <v>16</v>
      </c>
      <c r="B7" s="34" t="s">
        <v>271</v>
      </c>
      <c r="C7" s="35">
        <v>0.1</v>
      </c>
      <c r="D7" s="35">
        <v>0.1</v>
      </c>
      <c r="E7" s="31">
        <v>1</v>
      </c>
      <c r="F7" s="36" t="str">
        <f ca="1">IFERROR(_xlfn.FORMULATEXT('2 — IC Universe Table'!N45), '2 — IC Universe Table'!N45)</f>
        <v>{=IFERROR(FDS($B45,"FF_EBITDA_OPER_MGN(LTM_R,0)"), "")}</v>
      </c>
      <c r="G7" s="32" t="s">
        <v>272</v>
      </c>
    </row>
    <row r="8" spans="1:7" ht="27" customHeight="1" x14ac:dyDescent="0.25">
      <c r="A8" s="33" t="s">
        <v>16</v>
      </c>
      <c r="B8" s="34" t="s">
        <v>273</v>
      </c>
      <c r="C8" s="35"/>
      <c r="D8" s="35"/>
      <c r="E8" s="31">
        <v>1</v>
      </c>
      <c r="F8" s="36" t="str">
        <f ca="1">IFERROR(_xlfn.FORMULATEXT('2 — IC Universe Table'!O45), '2 — IC Universe Table'!O45)</f>
        <v>{=IFERROR(FDS($B45,"FF_NET_MGN(LTM_R,0)"), "")}</v>
      </c>
      <c r="G8" s="32" t="s">
        <v>274</v>
      </c>
    </row>
    <row r="9" spans="1:7" ht="27" customHeight="1" x14ac:dyDescent="0.25">
      <c r="A9" s="33" t="s">
        <v>16</v>
      </c>
      <c r="B9" s="34" t="s">
        <v>275</v>
      </c>
      <c r="C9" s="35">
        <v>0.05</v>
      </c>
      <c r="D9" s="35">
        <v>0.05</v>
      </c>
      <c r="E9" s="31">
        <v>-1</v>
      </c>
      <c r="F9" s="36" t="str">
        <f ca="1">IFERROR(_xlfn.FORMULATEXT('2 — IC Universe Table'!P45), '2 — IC Universe Table'!P45)</f>
        <v>{=IFERROR(FDS($B45,"FE_VALUATION(NETDEBT_EBITDA,MEAN,NTMA,,NOW,,,'')"), "")}</v>
      </c>
      <c r="G9" s="32" t="s">
        <v>276</v>
      </c>
    </row>
    <row r="10" spans="1:7" ht="27" customHeight="1" x14ac:dyDescent="0.25">
      <c r="A10" s="33" t="s">
        <v>16</v>
      </c>
      <c r="B10" s="34" t="s">
        <v>277</v>
      </c>
      <c r="C10" s="35">
        <v>0.1</v>
      </c>
      <c r="D10" s="35">
        <v>0.1</v>
      </c>
      <c r="E10" s="31">
        <v>1</v>
      </c>
      <c r="F10" s="36" t="str">
        <f ca="1">IFERROR(_xlfn.FORMULATEXT('2 — IC Universe Table'!Q45), '2 — IC Universe Table'!Q45)</f>
        <v>{=IFERROR(FDS($B45,"FE_VALUATION(MCAP_FCF,MEAN,NTMA,,NOW,,,'')"), "")}</v>
      </c>
      <c r="G10" s="32" t="s">
        <v>278</v>
      </c>
    </row>
    <row r="11" spans="1:7" ht="27" customHeight="1" x14ac:dyDescent="0.25">
      <c r="A11" s="33" t="s">
        <v>16</v>
      </c>
      <c r="B11" s="34" t="s">
        <v>279</v>
      </c>
      <c r="C11" s="35"/>
      <c r="D11" s="35"/>
      <c r="E11" s="31">
        <v>1</v>
      </c>
      <c r="F11" s="36" t="str">
        <f ca="1">IFERROR(_xlfn.FORMULATEXT('2 — IC Universe Table'!R45), '2 — IC Universe Table'!R45)</f>
        <v>{=IFERROR(FDS($B45,"FE_VALUATION(DIV_YLD,MEAN,NTMA,,NOW,,,'')"), "")}</v>
      </c>
      <c r="G11" s="32" t="s">
        <v>280</v>
      </c>
    </row>
    <row r="12" spans="1:7" ht="27" customHeight="1" x14ac:dyDescent="0.25">
      <c r="A12" s="33" t="s">
        <v>16</v>
      </c>
      <c r="B12" s="34" t="s">
        <v>281</v>
      </c>
      <c r="C12" s="35"/>
      <c r="D12" s="35"/>
      <c r="E12" s="31">
        <v>1</v>
      </c>
      <c r="F12" s="36" t="str">
        <f ca="1">IFERROR(_xlfn.FORMULATEXT('2 — IC Universe Table'!S45), '2 — IC Universe Table'!S45)</f>
        <v>{=IFERROR(FDS($B45,"FE_VALUATION(ROE,MEAN,NTMA,,0,,,'')" ), "")}</v>
      </c>
      <c r="G12" s="32" t="s">
        <v>282</v>
      </c>
    </row>
    <row r="13" spans="1:7" ht="27" customHeight="1" x14ac:dyDescent="0.25">
      <c r="A13" s="33" t="s">
        <v>16</v>
      </c>
      <c r="B13" s="34" t="s">
        <v>283</v>
      </c>
      <c r="C13" s="35">
        <v>0.05</v>
      </c>
      <c r="D13" s="35">
        <v>0.05</v>
      </c>
      <c r="E13" s="31">
        <v>1</v>
      </c>
      <c r="F13" s="36" t="str">
        <f ca="1">IFERROR(_xlfn.FORMULATEXT('2 — IC Universe Table'!T45), '2 — IC Universe Table'!T45)</f>
        <v>{=IFERROR(FDS($B45,"FE_VALUATION(ROIC,MEAN,NTMA,,0,,,'')" ), "")}</v>
      </c>
      <c r="G13" s="32" t="s">
        <v>284</v>
      </c>
    </row>
    <row r="14" spans="1:7" ht="27" customHeight="1" x14ac:dyDescent="0.25">
      <c r="A14" s="33" t="s">
        <v>16</v>
      </c>
      <c r="B14" s="34" t="s">
        <v>285</v>
      </c>
      <c r="C14" s="35"/>
      <c r="D14" s="35"/>
      <c r="E14" s="31">
        <v>1</v>
      </c>
      <c r="F14" s="36" t="str">
        <f ca="1">IFERROR(_xlfn.FORMULATEXT('2 — IC Universe Table'!U45), '2 — IC Universe Table'!U45)</f>
        <v>{=IFERROR(((FDS($B45,"FE_ACTUAL(ACTUAL,SALES,ANN_ROLL,0,,,,'CURRENCY=USD')")/FDS($B45,"FE_ACTUAL(ACTUAL,SALES,ANN_ROLL,-1,,,,'CURRENCY=USD')")-1)*100)+(FDS($B45,"FE_VALUATION(EBITDA_MARGIN,MEAN,ANN_ROLL,0,NOW,,,'')")  ), "")}</v>
      </c>
      <c r="G14" s="32" t="s">
        <v>286</v>
      </c>
    </row>
    <row r="15" spans="1:7" ht="27" customHeight="1" x14ac:dyDescent="0.25">
      <c r="A15" s="38" t="s">
        <v>17</v>
      </c>
      <c r="B15" s="34" t="s">
        <v>287</v>
      </c>
      <c r="C15" s="35"/>
      <c r="D15" s="35"/>
      <c r="E15" s="31">
        <v>-1</v>
      </c>
      <c r="F15" s="36" t="str">
        <f ca="1">IFERROR(_xlfn.FORMULATEXT('2 — IC Universe Table'!V45), '2 — IC Universe Table'!V45)</f>
        <v>{=IFERROR(FDS($B45,"FE_VALUATION(PE,MEAN,NTMA,,0,,,'')" ), "")}</v>
      </c>
      <c r="G15" s="32" t="s">
        <v>288</v>
      </c>
    </row>
    <row r="16" spans="1:7" ht="27" customHeight="1" x14ac:dyDescent="0.25">
      <c r="A16" s="38" t="s">
        <v>17</v>
      </c>
      <c r="B16" s="34" t="s">
        <v>289</v>
      </c>
      <c r="C16" s="35"/>
      <c r="D16" s="35"/>
      <c r="E16" s="31">
        <v>-1</v>
      </c>
      <c r="F16" s="36" t="str">
        <f ca="1">IFERROR(_xlfn.FORMULATEXT('2 — IC Universe Table'!W45), '2 — IC Universe Table'!W45)</f>
        <v>{=IFERROR(FDS($B45,"FE_VALUATION(P_SALESPS,MEAN,NTMA,,0,,,'')" ), "")}</v>
      </c>
      <c r="G16" s="32" t="s">
        <v>290</v>
      </c>
    </row>
    <row r="17" spans="1:7" ht="27" customHeight="1" x14ac:dyDescent="0.25">
      <c r="A17" s="38" t="s">
        <v>17</v>
      </c>
      <c r="B17" s="34" t="s">
        <v>291</v>
      </c>
      <c r="C17" s="35">
        <v>0.1</v>
      </c>
      <c r="D17" s="35">
        <v>0.1</v>
      </c>
      <c r="E17" s="31">
        <v>-1</v>
      </c>
      <c r="F17" s="36" t="str">
        <f ca="1">IFERROR(_xlfn.FORMULATEXT('2 — IC Universe Table'!X45), '2 — IC Universe Table'!X45)</f>
        <v>{=IFERROR(FDS($B45,"FE_VALUATION(FFEV_SALES,MEAN,NTMA,,0,,,'')" ), "")}</v>
      </c>
      <c r="G17" s="32" t="s">
        <v>292</v>
      </c>
    </row>
    <row r="18" spans="1:7" ht="27" customHeight="1" x14ac:dyDescent="0.25">
      <c r="A18" s="38" t="s">
        <v>17</v>
      </c>
      <c r="B18" s="34" t="s">
        <v>293</v>
      </c>
      <c r="C18" s="35"/>
      <c r="D18" s="35"/>
      <c r="E18" s="31">
        <v>-1</v>
      </c>
      <c r="F18" s="36" t="str">
        <f ca="1">IFERROR(_xlfn.FORMULATEXT('2 — IC Universe Table'!Y45), '2 — IC Universe Table'!Y45)</f>
        <v>{=IFERROR(FDS($B45,"FE_VALUATION(FFEV_EBITDA,MEAN,NTMA,,0,,,'')" ), "")}</v>
      </c>
      <c r="G18" s="32" t="s">
        <v>294</v>
      </c>
    </row>
    <row r="19" spans="1:7" ht="27" customHeight="1" x14ac:dyDescent="0.25">
      <c r="A19" s="38" t="s">
        <v>17</v>
      </c>
      <c r="B19" s="34" t="s">
        <v>295</v>
      </c>
      <c r="C19" s="35">
        <v>0.05</v>
      </c>
      <c r="D19" s="35">
        <v>0.05</v>
      </c>
      <c r="E19" s="31">
        <v>-1</v>
      </c>
      <c r="F19" s="36" t="str">
        <f ca="1">IFERROR(_xlfn.FORMULATEXT('2 — IC Universe Table'!Z45), '2 — IC Universe Table'!Z45)</f>
        <v>{=IFERROR(FDS($B45,"PERCENT_CHANGE(FE_VALUATION(PE,MEAN,NTMA,,0,,,''),MAX(FE_VALUATION(PE,MEAN,NTMA,,-1AY,0,,'')))")/100,"")}</v>
      </c>
      <c r="G19" s="32" t="s">
        <v>296</v>
      </c>
    </row>
    <row r="20" spans="1:7" ht="27" customHeight="1" x14ac:dyDescent="0.25">
      <c r="A20" s="38" t="s">
        <v>17</v>
      </c>
      <c r="B20" s="34" t="s">
        <v>297</v>
      </c>
      <c r="C20" s="35">
        <v>0.05</v>
      </c>
      <c r="D20" s="35">
        <v>0.05</v>
      </c>
      <c r="E20" s="31">
        <v>-1</v>
      </c>
      <c r="F20" s="36" t="str">
        <f ca="1">IFERROR(_xlfn.FORMULATEXT('2 — IC Universe Table'!AA45), '2 — IC Universe Table'!AA45)</f>
        <v>{=IFERROR(FDS($B45,"PERCENT_CHANGE(FE_VALUATION(FFEV_EBITDA,MEAN,NTMA,,0,,,''),MAX(FE_VALUATION(FFEV_EBITDA,MEAN,NTMA,,-1AY,0,,'')))")/100,"")}</v>
      </c>
      <c r="G20" s="32" t="s">
        <v>298</v>
      </c>
    </row>
    <row r="21" spans="1:7" ht="27" customHeight="1" x14ac:dyDescent="0.25">
      <c r="A21" s="39" t="s">
        <v>18</v>
      </c>
      <c r="B21" s="34" t="s">
        <v>47</v>
      </c>
      <c r="C21" s="35">
        <v>0.1</v>
      </c>
      <c r="D21" s="35">
        <v>0.1</v>
      </c>
      <c r="E21" s="31">
        <v>1</v>
      </c>
      <c r="F21" s="36" t="str">
        <f ca="1">IFERROR(_xlfn.FORMULATEXT('2 — IC Universe Table'!AB45), '2 — IC Universe Table'!AB45)</f>
        <v>{=IFERROR(FDS($B45,"FG_PRICE(0,,,USD)/P_PRICE_HIGH(-1AY,0,USD,,,""PRICE"",""INTRA"")")-1, "")}</v>
      </c>
      <c r="G21" s="32" t="s">
        <v>299</v>
      </c>
    </row>
    <row r="22" spans="1:7" ht="27" customHeight="1" x14ac:dyDescent="0.25">
      <c r="A22" s="39" t="s">
        <v>18</v>
      </c>
      <c r="B22" s="34" t="s">
        <v>48</v>
      </c>
      <c r="C22" s="35"/>
      <c r="D22" s="35"/>
      <c r="E22" s="31">
        <v>1</v>
      </c>
      <c r="F22" s="36" t="str">
        <f ca="1">IFERROR(_xlfn.FORMULATEXT('2 — IC Universe Table'!AC45), '2 — IC Universe Table'!AC45)</f>
        <v>{=IFERROR(FDS($B45,"RTP_PRICE_TARGET(USD)/FG_PRICE(0,,,USD)")-1, "")}</v>
      </c>
      <c r="G22" s="32" t="s">
        <v>300</v>
      </c>
    </row>
    <row r="23" spans="1:7" ht="27" customHeight="1" x14ac:dyDescent="0.25">
      <c r="A23" s="39" t="s">
        <v>18</v>
      </c>
      <c r="B23" s="34" t="s">
        <v>49</v>
      </c>
      <c r="C23" s="35"/>
      <c r="D23" s="35"/>
      <c r="E23" s="31">
        <v>-1</v>
      </c>
      <c r="F23" s="36" t="str">
        <f ca="1">IFERROR(_xlfn.FORMULATEXT('2 — IC Universe Table'!AD45), '2 — IC Universe Table'!AD45)</f>
        <v>{=IFERROR(FDS($B45,"FG_PRICE(0,,,USD)/FG_PRICE_MAVG(0,,,USD,50)")-1, "")}</v>
      </c>
      <c r="G23" s="32" t="s">
        <v>301</v>
      </c>
    </row>
    <row r="24" spans="1:7" ht="27" customHeight="1" x14ac:dyDescent="0.25">
      <c r="A24" s="39" t="s">
        <v>18</v>
      </c>
      <c r="B24" s="34" t="s">
        <v>50</v>
      </c>
      <c r="C24" s="35"/>
      <c r="D24" s="35"/>
      <c r="E24" s="31">
        <v>-1</v>
      </c>
      <c r="F24" s="36" t="str">
        <f ca="1">IFERROR(_xlfn.FORMULATEXT('2 — IC Universe Table'!AE45), '2 — IC Universe Table'!AE45)</f>
        <v>{=IFERROR(FDS($B45,"FG_PRICE(0,,,USD)/FG_PRICE_MAVG(0,,,USD,100)")-1, "")}</v>
      </c>
      <c r="G24" s="32" t="s">
        <v>302</v>
      </c>
    </row>
    <row r="25" spans="1:7" ht="27" customHeight="1" x14ac:dyDescent="0.25">
      <c r="A25" s="39" t="s">
        <v>18</v>
      </c>
      <c r="B25" s="34" t="s">
        <v>51</v>
      </c>
      <c r="C25" s="35">
        <v>0.05</v>
      </c>
      <c r="D25" s="35">
        <v>0.05</v>
      </c>
      <c r="E25" s="31">
        <v>-1</v>
      </c>
      <c r="F25" s="36" t="str">
        <f ca="1">IFERROR(_xlfn.FORMULATEXT('2 — IC Universe Table'!AF45), '2 — IC Universe Table'!AF45)</f>
        <v>{=IFERROR(FDS($B45,"FG_PRICE(0,,,USD)/FG_PRICE_MAVG(0,,,USD,200)")-1, "")}</v>
      </c>
      <c r="G25" s="32" t="s">
        <v>303</v>
      </c>
    </row>
    <row r="26" spans="1:7" ht="15.75" customHeight="1" x14ac:dyDescent="0.25">
      <c r="A26" s="34"/>
      <c r="B26" s="34" t="s">
        <v>304</v>
      </c>
      <c r="C26" s="40">
        <f>SUM(C2:C25)</f>
        <v>1</v>
      </c>
      <c r="D26" s="40">
        <f>SUM(D2:D25)</f>
        <v>1</v>
      </c>
      <c r="E26" s="41"/>
      <c r="F26" s="36"/>
      <c r="G26" s="4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55"/>
  <sheetViews>
    <sheetView zoomScaleNormal="100" workbookViewId="0">
      <selection activeCell="D32" sqref="D32"/>
    </sheetView>
  </sheetViews>
  <sheetFormatPr defaultColWidth="8.7109375" defaultRowHeight="15" x14ac:dyDescent="0.25"/>
  <cols>
    <col min="1" max="1" width="14.140625" customWidth="1"/>
    <col min="2" max="2" width="27" customWidth="1"/>
    <col min="3" max="3" width="16" customWidth="1"/>
    <col min="8" max="8" width="11.28515625" customWidth="1"/>
    <col min="13" max="14" width="16" customWidth="1"/>
    <col min="18" max="18" width="11.28515625" customWidth="1"/>
    <col min="23" max="23" width="10.28515625" customWidth="1"/>
    <col min="25" max="25" width="14.140625" customWidth="1"/>
    <col min="26" max="26" width="27" customWidth="1"/>
    <col min="27" max="27" width="16" customWidth="1"/>
    <col min="32" max="32" width="11.28515625" customWidth="1"/>
    <col min="37" max="38" width="16" customWidth="1"/>
    <col min="42" max="42" width="11.28515625" customWidth="1"/>
    <col min="47" max="47" width="10.28515625" customWidth="1"/>
  </cols>
  <sheetData>
    <row r="1" spans="1:46" ht="27" customHeight="1" x14ac:dyDescent="0.25">
      <c r="A1" s="67" t="s">
        <v>305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Y1" s="68" t="s">
        <v>306</v>
      </c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</row>
    <row r="2" spans="1:46" ht="20.25" customHeight="1" x14ac:dyDescent="0.25">
      <c r="A2" s="43" t="s">
        <v>307</v>
      </c>
      <c r="B2" s="43" t="s">
        <v>308</v>
      </c>
      <c r="C2" s="66" t="s">
        <v>309</v>
      </c>
      <c r="D2" s="56"/>
      <c r="E2" s="56"/>
      <c r="F2" s="56"/>
      <c r="G2" s="56"/>
      <c r="H2" s="66" t="s">
        <v>310</v>
      </c>
      <c r="I2" s="56"/>
      <c r="J2" s="56"/>
      <c r="K2" s="56"/>
      <c r="L2" s="56"/>
      <c r="M2" s="66" t="s">
        <v>311</v>
      </c>
      <c r="N2" s="56"/>
      <c r="O2" s="56"/>
      <c r="P2" s="56"/>
      <c r="Q2" s="56"/>
      <c r="R2" s="66" t="s">
        <v>310</v>
      </c>
      <c r="S2" s="56"/>
      <c r="T2" s="56"/>
      <c r="U2" s="56"/>
      <c r="V2" s="56"/>
      <c r="W2" s="44" t="s">
        <v>312</v>
      </c>
      <c r="Y2" s="43" t="s">
        <v>307</v>
      </c>
      <c r="Z2" s="43" t="s">
        <v>308</v>
      </c>
      <c r="AA2" s="66" t="s">
        <v>313</v>
      </c>
      <c r="AB2" s="56"/>
      <c r="AC2" s="56"/>
      <c r="AD2" s="56"/>
      <c r="AE2" s="56"/>
      <c r="AF2" s="66" t="s">
        <v>314</v>
      </c>
      <c r="AG2" s="56"/>
      <c r="AH2" s="56"/>
      <c r="AI2" s="56"/>
      <c r="AJ2" s="56"/>
      <c r="AK2" s="66" t="s">
        <v>315</v>
      </c>
      <c r="AL2" s="56"/>
      <c r="AM2" s="56"/>
      <c r="AN2" s="56"/>
      <c r="AO2" s="56"/>
      <c r="AP2" s="66" t="s">
        <v>310</v>
      </c>
      <c r="AQ2" s="56"/>
      <c r="AR2" s="56"/>
      <c r="AS2" s="56"/>
      <c r="AT2" s="56"/>
    </row>
    <row r="3" spans="1:46" ht="15" customHeight="1" x14ac:dyDescent="0.25">
      <c r="A3" s="18" t="str">
        <f>'2 — IC Universe Table'!B4</f>
        <v>HUBS-US</v>
      </c>
      <c r="B3" s="18" t="str">
        <f>'2 — IC Universe Table'!C4</f>
        <v>HubSpot, Inc.</v>
      </c>
      <c r="C3" s="45" t="str">
        <f t="array" ref="C3:G3">TRANSPOSE(_xll.FDS(A3,"TRANSPOSE(TRANSPOSE(FF_GEOREV_COUNTRY_REV_PCT_MATRIX)[1:1])[0:4]"))</f>
        <v>United States</v>
      </c>
      <c r="D3" s="45" t="str">
        <v>United States</v>
      </c>
      <c r="E3" s="45" t="str">
        <v>United States</v>
      </c>
      <c r="F3" s="45" t="str">
        <v>United States</v>
      </c>
      <c r="G3" s="45" t="str">
        <v>United States</v>
      </c>
      <c r="H3" s="46" t="str">
        <f t="array" ref="H3:L3">TRANSPOSE(_xll.FDS(A3,"TRANSPOSE(TRANSPOSE(FF_GEOREV_COUNTRY_REV_PCT_MATRIX)[2:2])[0:4]"))</f>
        <v>57.398004</v>
      </c>
      <c r="I3" s="46" t="str">
        <v>16.143119</v>
      </c>
      <c r="J3" s="46" t="str">
        <v>3.520623</v>
      </c>
      <c r="K3" s="46" t="str">
        <v>2.848654</v>
      </c>
      <c r="L3" s="46" t="str">
        <v>2.502672</v>
      </c>
      <c r="M3" s="42" t="str">
        <f t="shared" ref="M3:M34" si="0">IFERROR(C3, "")</f>
        <v>United States</v>
      </c>
      <c r="N3" s="45" t="str">
        <f t="shared" ref="N3:N34" si="1">IFERROR(D3, "")</f>
        <v>United States</v>
      </c>
      <c r="O3" s="45" t="str">
        <f t="shared" ref="O3:O34" si="2">IFERROR(E3, "")</f>
        <v>United States</v>
      </c>
      <c r="P3" s="45" t="str">
        <f t="shared" ref="P3:P34" si="3">IFERROR(F3, "")</f>
        <v>United States</v>
      </c>
      <c r="Q3" s="45" t="str">
        <f t="shared" ref="Q3:Q34" si="4">IFERROR(G3, "")</f>
        <v>United States</v>
      </c>
      <c r="R3" s="46">
        <f t="shared" ref="R3:R34" si="5">IFERROR(ROUND(VALUE(H3), 0)/100, "")</f>
        <v>0.56999999999999995</v>
      </c>
      <c r="S3" s="46">
        <f t="shared" ref="S3:S34" si="6">IFERROR(ROUND(VALUE(I3), 0)/100, "")</f>
        <v>0.16</v>
      </c>
      <c r="T3" s="46">
        <f t="shared" ref="T3:T34" si="7">IFERROR(ROUND(VALUE(J3), 0)/100, "")</f>
        <v>0.04</v>
      </c>
      <c r="U3" s="46">
        <f t="shared" ref="U3:U34" si="8">IFERROR(ROUND(VALUE(K3), 0)/100, "")</f>
        <v>0.03</v>
      </c>
      <c r="V3" s="46">
        <f t="shared" ref="V3:V34" si="9">IFERROR(ROUND(VALUE(L3), 0)/100, "")</f>
        <v>0.03</v>
      </c>
      <c r="Y3" s="18" t="str">
        <f>'2 — IC Universe Table'!B4</f>
        <v>HUBS-US</v>
      </c>
      <c r="Z3" s="18" t="str">
        <f>'2 — IC Universe Table'!C4</f>
        <v>HubSpot, Inc.</v>
      </c>
      <c r="AA3" s="45" t="str">
        <f t="array" ref="AA3:AE3">TRANSPOSE(_xll.FDS(Y3,"String_array Name= TRANSPOSE(TRANSPOSE(SA_SUBARRAY(FR_RBICS_REV_MATRIX_CURRENT(""IND""),1,9))[13:13]);float_array pct=TRANSPOSE(TRANSPOSE(SA_SUBARRAY(FR_RBICS_REV_MATRIX_CURRENT(""IND""),1,9))[14:14]);SORT_INDIRECT(Name,pct,2)[0:4]"))</f>
        <v>Customer Relationship Management Software</v>
      </c>
      <c r="AB3" s="45" t="str">
        <v>Customer Relationship Management Software</v>
      </c>
      <c r="AC3" s="45" t="str">
        <v>Customer Relationship Management Software</v>
      </c>
      <c r="AD3" s="45" t="str">
        <v>Customer Relationship Management Software</v>
      </c>
      <c r="AE3" s="45" t="str">
        <v>Customer Relationship Management Software</v>
      </c>
      <c r="AF3" s="45" t="str">
        <f t="array" ref="AF3:AJ3">TRANSPOSE(_xll.FDS(Y3,"String_array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3" s="46" t="str">
        <v>100.000000</v>
      </c>
      <c r="AH3" s="46" t="str">
        <v>100.000000</v>
      </c>
      <c r="AI3" s="46" t="str">
        <v>100.000000</v>
      </c>
      <c r="AJ3" s="46" t="str">
        <v>100.000000</v>
      </c>
      <c r="AK3" s="42" t="str">
        <f t="shared" ref="AK3:AK34" si="10">IFERROR(AA3, "")</f>
        <v>Customer Relationship Management Software</v>
      </c>
      <c r="AL3" s="45" t="str">
        <f t="shared" ref="AL3:AL34" si="11">IFERROR(AB3, "")</f>
        <v>Customer Relationship Management Software</v>
      </c>
      <c r="AM3" s="45" t="str">
        <f t="shared" ref="AM3:AM34" si="12">IFERROR(AC3, "")</f>
        <v>Customer Relationship Management Software</v>
      </c>
      <c r="AN3" s="45" t="str">
        <f t="shared" ref="AN3:AN34" si="13">IFERROR(AD3, "")</f>
        <v>Customer Relationship Management Software</v>
      </c>
      <c r="AO3" s="45" t="str">
        <f t="shared" ref="AO3:AO34" si="14">IFERROR(AE3, "")</f>
        <v>Customer Relationship Management Software</v>
      </c>
      <c r="AP3" s="46">
        <f t="shared" ref="AP3:AP34" si="15">IFERROR(ROUND(VALUE(AF3), 0)/100, "")</f>
        <v>1</v>
      </c>
      <c r="AQ3" s="46">
        <f t="shared" ref="AQ3:AQ34" si="16">IFERROR(ROUND(VALUE(AG3), 0)/100, "")</f>
        <v>1</v>
      </c>
      <c r="AR3" s="46">
        <f t="shared" ref="AR3:AR34" si="17">IFERROR(ROUND(VALUE(AH3), 0)/100, "")</f>
        <v>1</v>
      </c>
      <c r="AS3" s="46">
        <f t="shared" ref="AS3:AS34" si="18">IFERROR(ROUND(VALUE(AI3), 0)/100, "")</f>
        <v>1</v>
      </c>
      <c r="AT3" s="46">
        <f t="shared" ref="AT3:AT34" si="19">IFERROR(ROUND(VALUE(AJ3), 0)/100, "")</f>
        <v>1</v>
      </c>
    </row>
    <row r="4" spans="1:46" ht="15" customHeight="1" x14ac:dyDescent="0.25">
      <c r="A4" s="18" t="str">
        <f>'2 — IC Universe Table'!B5</f>
        <v>NTNX-US</v>
      </c>
      <c r="B4" s="18" t="str">
        <f>'2 — IC Universe Table'!C5</f>
        <v>Nutanix, Inc.</v>
      </c>
      <c r="C4" s="45" t="str">
        <f t="array" ref="C4:G4">TRANSPOSE(_xll.FDS(A4,"TRANSPOSE(TRANSPOSE(FF_GEOREV_COUNTRY_REV_PCT_MATRIX)[1:1])[0:4]"))</f>
        <v>United States</v>
      </c>
      <c r="D4" s="45" t="str">
        <v>Mainland China</v>
      </c>
      <c r="E4" s="45" t="str">
        <v>India</v>
      </c>
      <c r="F4" s="45" t="str">
        <v>Japan</v>
      </c>
      <c r="G4" s="45" t="str">
        <v>France</v>
      </c>
      <c r="H4" s="46" t="str">
        <f t="array" ref="H4:L4">TRANSPOSE(_xll.FDS(A4,"TRANSPOSE(TRANSPOSE(FF_GEOREV_COUNTRY_REV_PCT_MATRIX)[2:2])[0:4]"))</f>
        <v>55.532212</v>
      </c>
      <c r="I4" s="47" t="str">
        <v>2.861865</v>
      </c>
      <c r="J4" s="47" t="str">
        <v>2.416489</v>
      </c>
      <c r="K4" s="47" t="str">
        <v>2.416151</v>
      </c>
      <c r="L4" s="47" t="str">
        <v>2.357529</v>
      </c>
      <c r="M4" s="42" t="str">
        <f t="shared" si="0"/>
        <v>United States</v>
      </c>
      <c r="N4" s="45" t="str">
        <f t="shared" si="1"/>
        <v>Mainland China</v>
      </c>
      <c r="O4" s="45" t="str">
        <f t="shared" si="2"/>
        <v>India</v>
      </c>
      <c r="P4" s="45" t="str">
        <f t="shared" si="3"/>
        <v>Japan</v>
      </c>
      <c r="Q4" s="45" t="str">
        <f t="shared" si="4"/>
        <v>France</v>
      </c>
      <c r="R4" s="46">
        <f t="shared" si="5"/>
        <v>0.56000000000000005</v>
      </c>
      <c r="S4" s="46">
        <f t="shared" si="6"/>
        <v>0.03</v>
      </c>
      <c r="T4" s="46">
        <f t="shared" si="7"/>
        <v>0.02</v>
      </c>
      <c r="U4" s="46">
        <f t="shared" si="8"/>
        <v>0.02</v>
      </c>
      <c r="V4" s="46">
        <f t="shared" si="9"/>
        <v>0.02</v>
      </c>
      <c r="Y4" s="18" t="str">
        <f>'2 — IC Universe Table'!B5</f>
        <v>NTNX-US</v>
      </c>
      <c r="Z4" s="18" t="str">
        <f>'2 — IC Universe Table'!C5</f>
        <v>Nutanix, Inc.</v>
      </c>
      <c r="AA4" s="45" t="str">
        <f t="array" ref="AA4:AE4">TRANSPOSE(_xll.FDS(Y4,"String_array Name= TRANSPOSE(TRANSPOSE(SA_SUBARRAY(FR_RBICS_REV_MATRIX_CURRENT(""IND""),1,9))[13:13]);float_array pct=TRANSPOSE(TRANSPOSE(SA_SUBARRAY(FR_RBICS_REV_MATRIX_CURRENT(""IND""),1,9))[14:14]);SORT_INDIRECT(Name,pct,2)[0:4]"))</f>
        <v>Data Storage Infrastructure Software</v>
      </c>
      <c r="AB4" s="45" t="e">
        <v>#N/A</v>
      </c>
      <c r="AC4" s="45" t="e">
        <v>#N/A</v>
      </c>
      <c r="AD4" s="45" t="e">
        <v>#N/A</v>
      </c>
      <c r="AE4" s="45" t="e">
        <v>#N/A</v>
      </c>
      <c r="AF4" s="45" t="str">
        <f t="array" ref="AF4:AJ4">TRANSPOSE(_xll.FDS(Y4,"String_array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4" s="47" t="e">
        <v>#N/A</v>
      </c>
      <c r="AH4" s="47" t="e">
        <v>#N/A</v>
      </c>
      <c r="AI4" s="47" t="e">
        <v>#N/A</v>
      </c>
      <c r="AJ4" s="47" t="e">
        <v>#N/A</v>
      </c>
      <c r="AK4" s="42" t="str">
        <f t="shared" si="10"/>
        <v>Data Storage Infrastructure Software</v>
      </c>
      <c r="AL4" s="45" t="str">
        <f t="shared" si="11"/>
        <v/>
      </c>
      <c r="AM4" s="45" t="str">
        <f t="shared" si="12"/>
        <v/>
      </c>
      <c r="AN4" s="45" t="str">
        <f t="shared" si="13"/>
        <v/>
      </c>
      <c r="AO4" s="45" t="str">
        <f t="shared" si="14"/>
        <v/>
      </c>
      <c r="AP4" s="46">
        <f t="shared" si="15"/>
        <v>1</v>
      </c>
      <c r="AQ4" s="46" t="str">
        <f t="shared" si="16"/>
        <v/>
      </c>
      <c r="AR4" s="46" t="str">
        <f t="shared" si="17"/>
        <v/>
      </c>
      <c r="AS4" s="46" t="str">
        <f t="shared" si="18"/>
        <v/>
      </c>
      <c r="AT4" s="46" t="str">
        <f t="shared" si="19"/>
        <v/>
      </c>
    </row>
    <row r="5" spans="1:46" ht="15" customHeight="1" x14ac:dyDescent="0.25">
      <c r="A5" s="18" t="str">
        <f>'2 — IC Universe Table'!B6</f>
        <v>APP-US</v>
      </c>
      <c r="B5" s="18" t="str">
        <f>'2 — IC Universe Table'!C6</f>
        <v>AppLovin Corp. Class A</v>
      </c>
      <c r="C5" s="45" t="str">
        <f t="array" ref="C5:G5">TRANSPOSE(_xll.FDS(A5,"TRANSPOSE(TRANSPOSE(FF_GEOREV_COUNTRY_REV_PCT_MATRIX)[1:1])[0:4]"))</f>
        <v>United States</v>
      </c>
      <c r="D5" s="45" t="str">
        <v>Mainland China</v>
      </c>
      <c r="E5" s="45" t="str">
        <v>Germany</v>
      </c>
      <c r="F5" s="45" t="str">
        <v>India</v>
      </c>
      <c r="G5" s="45" t="str">
        <v>Japan</v>
      </c>
      <c r="H5" s="46" t="str">
        <f t="array" ref="H5:L5">TRANSPOSE(_xll.FDS(A5,"TRANSPOSE(TRANSPOSE(FF_GEOREV_COUNTRY_REV_PCT_MATRIX)[2:2])[0:4]"))</f>
        <v>51.585367</v>
      </c>
      <c r="I5" s="47" t="str">
        <v>11.150833</v>
      </c>
      <c r="J5" s="47" t="str">
        <v>2.751109</v>
      </c>
      <c r="K5" s="47" t="str">
        <v>2.427696</v>
      </c>
      <c r="L5" s="47" t="str">
        <v>2.427356</v>
      </c>
      <c r="M5" s="42" t="str">
        <f t="shared" si="0"/>
        <v>United States</v>
      </c>
      <c r="N5" s="45" t="str">
        <f t="shared" si="1"/>
        <v>Mainland China</v>
      </c>
      <c r="O5" s="45" t="str">
        <f t="shared" si="2"/>
        <v>Germany</v>
      </c>
      <c r="P5" s="45" t="str">
        <f t="shared" si="3"/>
        <v>India</v>
      </c>
      <c r="Q5" s="45" t="str">
        <f t="shared" si="4"/>
        <v>Japan</v>
      </c>
      <c r="R5" s="46">
        <f t="shared" si="5"/>
        <v>0.52</v>
      </c>
      <c r="S5" s="46">
        <f t="shared" si="6"/>
        <v>0.11</v>
      </c>
      <c r="T5" s="46">
        <f t="shared" si="7"/>
        <v>0.03</v>
      </c>
      <c r="U5" s="46">
        <f t="shared" si="8"/>
        <v>0.02</v>
      </c>
      <c r="V5" s="46">
        <f t="shared" si="9"/>
        <v>0.02</v>
      </c>
      <c r="Y5" s="18" t="str">
        <f>'2 — IC Universe Table'!B6</f>
        <v>APP-US</v>
      </c>
      <c r="Z5" s="18" t="str">
        <f>'2 — IC Universe Table'!C6</f>
        <v>AppLovin Corp. Class A</v>
      </c>
      <c r="AA5" s="45" t="str">
        <f t="array" ref="AA5:AE5">TRANSPOSE(_xll.FDS(Y5,"String_array Name= TRANSPOSE(TRANSPOSE(SA_SUBARRAY(FR_RBICS_REV_MATRIX_CURRENT(""IND""),1,9))[13:13]);float_array pct=TRANSPOSE(TRANSPOSE(SA_SUBARRAY(FR_RBICS_REV_MATRIX_CURRENT(""IND""),1,9))[14:14]);SORT_INDIRECT(Name,pct,2)[0:4]"))</f>
        <v>Customer Relationship Management Software</v>
      </c>
      <c r="AB5" s="45" t="str">
        <v>Handheld/Smart Phone Games Software</v>
      </c>
      <c r="AC5" s="45" t="e">
        <v>#N/A</v>
      </c>
      <c r="AD5" s="45" t="e">
        <v>#N/A</v>
      </c>
      <c r="AE5" s="45" t="e">
        <v>#N/A</v>
      </c>
      <c r="AF5" s="45" t="str">
        <f t="array" ref="AF5:AJ5">TRANSPOSE(_xll.FDS(Y5,"String_array Name= TRANSPOSE(TRANSPOSE(SA_SUBARRAY(FR_RBICS_REV_MATRIX_CURRENT(""IND""),1,9))[14:14]);float_array pct=TRANSPOSE(TRANSPOSE(SA_SUBARRAY(FR_RBICS_REV_MATRIX_CURRENT(""IND""),1,9))[14:14]);SORT_INDIRECT(Name,pct,2)[0:4]"))</f>
        <v>68.462268</v>
      </c>
      <c r="AG5" s="47" t="str">
        <v>31.537732</v>
      </c>
      <c r="AH5" s="47" t="e">
        <v>#N/A</v>
      </c>
      <c r="AI5" s="47" t="e">
        <v>#N/A</v>
      </c>
      <c r="AJ5" s="47" t="e">
        <v>#N/A</v>
      </c>
      <c r="AK5" s="42" t="str">
        <f t="shared" si="10"/>
        <v>Customer Relationship Management Software</v>
      </c>
      <c r="AL5" s="45" t="str">
        <f t="shared" si="11"/>
        <v>Handheld/Smart Phone Games Software</v>
      </c>
      <c r="AM5" s="45" t="str">
        <f t="shared" si="12"/>
        <v/>
      </c>
      <c r="AN5" s="45" t="str">
        <f t="shared" si="13"/>
        <v/>
      </c>
      <c r="AO5" s="45" t="str">
        <f t="shared" si="14"/>
        <v/>
      </c>
      <c r="AP5" s="46">
        <f t="shared" si="15"/>
        <v>0.68</v>
      </c>
      <c r="AQ5" s="46">
        <f t="shared" si="16"/>
        <v>0.32</v>
      </c>
      <c r="AR5" s="46" t="str">
        <f t="shared" si="17"/>
        <v/>
      </c>
      <c r="AS5" s="46" t="str">
        <f t="shared" si="18"/>
        <v/>
      </c>
      <c r="AT5" s="46" t="str">
        <f t="shared" si="19"/>
        <v/>
      </c>
    </row>
    <row r="6" spans="1:46" ht="15" customHeight="1" x14ac:dyDescent="0.25">
      <c r="A6" s="18" t="str">
        <f>'2 — IC Universe Table'!B7</f>
        <v>QLYS-US</v>
      </c>
      <c r="B6" s="18" t="str">
        <f>'2 — IC Universe Table'!C7</f>
        <v>Qualys, Inc.</v>
      </c>
      <c r="C6" s="45" t="str">
        <f t="array" ref="C6:G6">TRANSPOSE(_xll.FDS(A6,"TRANSPOSE(TRANSPOSE(FF_GEOREV_COUNTRY_REV_PCT_MATRIX)[1:1])[0:4]"))</f>
        <v>United States</v>
      </c>
      <c r="D6" s="45" t="str">
        <v>Mainland China</v>
      </c>
      <c r="E6" s="45" t="str">
        <v>Germany</v>
      </c>
      <c r="F6" s="45" t="str">
        <v>India</v>
      </c>
      <c r="G6" s="45" t="str">
        <v>Japan</v>
      </c>
      <c r="H6" s="46" t="str">
        <f t="array" ref="H6:L6">TRANSPOSE(_xll.FDS(A6,"TRANSPOSE(TRANSPOSE(FF_GEOREV_COUNTRY_REV_PCT_MATRIX)[2:2])[0:4]"))</f>
        <v>56.412479</v>
      </c>
      <c r="I6" s="47" t="str">
        <v>10.039055</v>
      </c>
      <c r="J6" s="47" t="str">
        <v>2.476814</v>
      </c>
      <c r="K6" s="47" t="str">
        <v>2.185646</v>
      </c>
      <c r="L6" s="47" t="str">
        <v>2.18534</v>
      </c>
      <c r="M6" s="42" t="str">
        <f t="shared" si="0"/>
        <v>United States</v>
      </c>
      <c r="N6" s="45" t="str">
        <f t="shared" si="1"/>
        <v>Mainland China</v>
      </c>
      <c r="O6" s="45" t="str">
        <f t="shared" si="2"/>
        <v>Germany</v>
      </c>
      <c r="P6" s="45" t="str">
        <f t="shared" si="3"/>
        <v>India</v>
      </c>
      <c r="Q6" s="45" t="str">
        <f t="shared" si="4"/>
        <v>Japan</v>
      </c>
      <c r="R6" s="46">
        <f t="shared" si="5"/>
        <v>0.56000000000000005</v>
      </c>
      <c r="S6" s="46">
        <f t="shared" si="6"/>
        <v>0.1</v>
      </c>
      <c r="T6" s="46">
        <f t="shared" si="7"/>
        <v>0.02</v>
      </c>
      <c r="U6" s="46">
        <f t="shared" si="8"/>
        <v>0.02</v>
      </c>
      <c r="V6" s="46">
        <f t="shared" si="9"/>
        <v>0.02</v>
      </c>
      <c r="Y6" s="18" t="str">
        <f>'2 — IC Universe Table'!B7</f>
        <v>QLYS-US</v>
      </c>
      <c r="Z6" s="18" t="str">
        <f>'2 — IC Universe Table'!C7</f>
        <v>Qualys, Inc.</v>
      </c>
      <c r="AA6" s="45" t="str">
        <f t="array" ref="AA6:AE6">TRANSPOSE(_xll.FDS(Y6,"String_array Name= TRANSPOSE(TRANSPOSE(SA_SUBARRAY(FR_RBICS_REV_MATRIX_CURRENT(""IND""),1,9))[13:13]);float_array pct=TRANSPOSE(TRANSPOSE(SA_SUBARRAY(FR_RBICS_REV_MATRIX_CURRENT(""IND""),1,9))[14:14]);SORT_INDIRECT(Name,pct,2)[0:4]"))</f>
        <v>Network Infrastructure Software</v>
      </c>
      <c r="AB6" s="45" t="e">
        <v>#N/A</v>
      </c>
      <c r="AC6" s="45" t="e">
        <v>#N/A</v>
      </c>
      <c r="AD6" s="45" t="e">
        <v>#N/A</v>
      </c>
      <c r="AE6" s="45" t="e">
        <v>#N/A</v>
      </c>
      <c r="AF6" s="45" t="str">
        <f t="array" ref="AF6:AJ6">TRANSPOSE(_xll.FDS(Y6,"String_array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6" s="47" t="e">
        <v>#N/A</v>
      </c>
      <c r="AH6" s="47" t="e">
        <v>#N/A</v>
      </c>
      <c r="AI6" s="47" t="e">
        <v>#N/A</v>
      </c>
      <c r="AJ6" s="47" t="e">
        <v>#N/A</v>
      </c>
      <c r="AK6" s="42" t="str">
        <f t="shared" si="10"/>
        <v>Network Infrastructure Software</v>
      </c>
      <c r="AL6" s="45" t="str">
        <f t="shared" si="11"/>
        <v/>
      </c>
      <c r="AM6" s="45" t="str">
        <f t="shared" si="12"/>
        <v/>
      </c>
      <c r="AN6" s="45" t="str">
        <f t="shared" si="13"/>
        <v/>
      </c>
      <c r="AO6" s="45" t="str">
        <f t="shared" si="14"/>
        <v/>
      </c>
      <c r="AP6" s="46">
        <f t="shared" si="15"/>
        <v>1</v>
      </c>
      <c r="AQ6" s="46" t="str">
        <f t="shared" si="16"/>
        <v/>
      </c>
      <c r="AR6" s="46" t="str">
        <f t="shared" si="17"/>
        <v/>
      </c>
      <c r="AS6" s="46" t="str">
        <f t="shared" si="18"/>
        <v/>
      </c>
      <c r="AT6" s="46" t="str">
        <f t="shared" si="19"/>
        <v/>
      </c>
    </row>
    <row r="7" spans="1:46" ht="15" customHeight="1" x14ac:dyDescent="0.25">
      <c r="A7" s="18" t="str">
        <f>'2 — IC Universe Table'!B8</f>
        <v>WK-US</v>
      </c>
      <c r="B7" s="18" t="str">
        <f>'2 — IC Universe Table'!C8</f>
        <v>Workiva Inc.</v>
      </c>
      <c r="C7" s="45" t="str">
        <f t="array" ref="C7:G7">TRANSPOSE(_xll.FDS(A7,"TRANSPOSE(TRANSPOSE(FF_GEOREV_COUNTRY_REV_PCT_MATRIX)[1:1])[0:4]"))</f>
        <v>United States</v>
      </c>
      <c r="D7" s="45" t="str">
        <v>Mainland China</v>
      </c>
      <c r="E7" s="45" t="str">
        <v>Germany</v>
      </c>
      <c r="F7" s="45" t="str">
        <v>India</v>
      </c>
      <c r="G7" s="45" t="str">
        <v>Japan</v>
      </c>
      <c r="H7" s="46" t="str">
        <f t="array" ref="H7:L7">TRANSPOSE(_xll.FDS(A7,"TRANSPOSE(TRANSPOSE(FF_GEOREV_COUNTRY_REV_PCT_MATRIX)[2:2])[0:4]"))</f>
        <v>73.301205</v>
      </c>
      <c r="I7" s="47" t="str">
        <v>6.149253</v>
      </c>
      <c r="J7" s="47" t="str">
        <v>1.51713</v>
      </c>
      <c r="K7" s="47" t="str">
        <v>1.33878</v>
      </c>
      <c r="L7" s="47" t="str">
        <v>1.338593</v>
      </c>
      <c r="M7" s="42" t="str">
        <f t="shared" si="0"/>
        <v>United States</v>
      </c>
      <c r="N7" s="45" t="str">
        <f t="shared" si="1"/>
        <v>Mainland China</v>
      </c>
      <c r="O7" s="45" t="str">
        <f t="shared" si="2"/>
        <v>Germany</v>
      </c>
      <c r="P7" s="45" t="str">
        <f t="shared" si="3"/>
        <v>India</v>
      </c>
      <c r="Q7" s="45" t="str">
        <f t="shared" si="4"/>
        <v>Japan</v>
      </c>
      <c r="R7" s="46">
        <f t="shared" si="5"/>
        <v>0.73</v>
      </c>
      <c r="S7" s="46">
        <f t="shared" si="6"/>
        <v>0.06</v>
      </c>
      <c r="T7" s="46">
        <f t="shared" si="7"/>
        <v>0.02</v>
      </c>
      <c r="U7" s="46">
        <f t="shared" si="8"/>
        <v>0.01</v>
      </c>
      <c r="V7" s="46">
        <f t="shared" si="9"/>
        <v>0.01</v>
      </c>
      <c r="Y7" s="18" t="str">
        <f>'2 — IC Universe Table'!B8</f>
        <v>WK-US</v>
      </c>
      <c r="Z7" s="18" t="str">
        <f>'2 — IC Universe Table'!C8</f>
        <v>Workiva Inc.</v>
      </c>
      <c r="AA7" s="45" t="str">
        <f t="array" ref="AA7:AE7">TRANSPOSE(_xll.FDS(Y7,"String_array Name= TRANSPOSE(TRANSPOSE(SA_SUBARRAY(FR_RBICS_REV_MATRIX_CURRENT(""IND""),1,9))[13:13]);float_array pct=TRANSPOSE(TRANSPOSE(SA_SUBARRAY(FR_RBICS_REV_MATRIX_CURRENT(""IND""),1,9))[14:14]);SORT_INDIRECT(Name,pct,2)[0:4]"))</f>
        <v>Enterprise Resource Planning Software</v>
      </c>
      <c r="AB7" s="45" t="e">
        <v>#N/A</v>
      </c>
      <c r="AC7" s="45" t="e">
        <v>#N/A</v>
      </c>
      <c r="AD7" s="45" t="e">
        <v>#N/A</v>
      </c>
      <c r="AE7" s="45" t="e">
        <v>#N/A</v>
      </c>
      <c r="AF7" s="45" t="str">
        <f t="array" ref="AF7:AJ7">TRANSPOSE(_xll.FDS(Y7,"String_array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7" s="47" t="e">
        <v>#N/A</v>
      </c>
      <c r="AH7" s="47" t="e">
        <v>#N/A</v>
      </c>
      <c r="AI7" s="47" t="e">
        <v>#N/A</v>
      </c>
      <c r="AJ7" s="47" t="e">
        <v>#N/A</v>
      </c>
      <c r="AK7" s="42" t="str">
        <f t="shared" si="10"/>
        <v>Enterprise Resource Planning Software</v>
      </c>
      <c r="AL7" s="45" t="str">
        <f t="shared" si="11"/>
        <v/>
      </c>
      <c r="AM7" s="45" t="str">
        <f t="shared" si="12"/>
        <v/>
      </c>
      <c r="AN7" s="45" t="str">
        <f t="shared" si="13"/>
        <v/>
      </c>
      <c r="AO7" s="45" t="str">
        <f t="shared" si="14"/>
        <v/>
      </c>
      <c r="AP7" s="46">
        <f t="shared" si="15"/>
        <v>1</v>
      </c>
      <c r="AQ7" s="46" t="str">
        <f t="shared" si="16"/>
        <v/>
      </c>
      <c r="AR7" s="46" t="str">
        <f t="shared" si="17"/>
        <v/>
      </c>
      <c r="AS7" s="46" t="str">
        <f t="shared" si="18"/>
        <v/>
      </c>
      <c r="AT7" s="46" t="str">
        <f t="shared" si="19"/>
        <v/>
      </c>
    </row>
    <row r="8" spans="1:46" ht="15" customHeight="1" x14ac:dyDescent="0.25">
      <c r="A8" s="18" t="str">
        <f>'2 — IC Universe Table'!B9</f>
        <v>PLTR-US</v>
      </c>
      <c r="B8" s="18" t="str">
        <f>'2 — IC Universe Table'!C9</f>
        <v>Palantir Technologies Inc. Class A</v>
      </c>
      <c r="C8" s="45" t="str">
        <f t="array" ref="C8:G8">TRANSPOSE(_xll.FDS(A8,"TRANSPOSE(TRANSPOSE(FF_GEOREV_COUNTRY_REV_PCT_MATRIX)[1:1])[0:4]"))</f>
        <v>United States</v>
      </c>
      <c r="D8" s="45" t="str">
        <v>United Kingdom</v>
      </c>
      <c r="E8" s="45" t="str">
        <v>Germany</v>
      </c>
      <c r="F8" s="45" t="str">
        <v>India</v>
      </c>
      <c r="G8" s="45" t="str">
        <v>Japan</v>
      </c>
      <c r="H8" s="46" t="str">
        <f t="array" ref="H8:L8">TRANSPOSE(_xll.FDS(A8,"TRANSPOSE(TRANSPOSE(FF_GEOREV_COUNTRY_REV_PCT_MATRIX)[2:2])[0:4]"))</f>
        <v>74.183511</v>
      </c>
      <c r="I8" s="47" t="str">
        <v>9.549842</v>
      </c>
      <c r="J8" s="47" t="str">
        <v>1.27723</v>
      </c>
      <c r="K8" s="47" t="str">
        <v>1.127082</v>
      </c>
      <c r="L8" s="47" t="str">
        <v>1.126925</v>
      </c>
      <c r="M8" s="42" t="str">
        <f t="shared" si="0"/>
        <v>United States</v>
      </c>
      <c r="N8" s="45" t="str">
        <f t="shared" si="1"/>
        <v>United Kingdom</v>
      </c>
      <c r="O8" s="45" t="str">
        <f t="shared" si="2"/>
        <v>Germany</v>
      </c>
      <c r="P8" s="45" t="str">
        <f t="shared" si="3"/>
        <v>India</v>
      </c>
      <c r="Q8" s="45" t="str">
        <f t="shared" si="4"/>
        <v>Japan</v>
      </c>
      <c r="R8" s="46">
        <f t="shared" si="5"/>
        <v>0.74</v>
      </c>
      <c r="S8" s="46">
        <f t="shared" si="6"/>
        <v>0.1</v>
      </c>
      <c r="T8" s="46">
        <f t="shared" si="7"/>
        <v>0.01</v>
      </c>
      <c r="U8" s="46">
        <f t="shared" si="8"/>
        <v>0.01</v>
      </c>
      <c r="V8" s="46">
        <f t="shared" si="9"/>
        <v>0.01</v>
      </c>
      <c r="Y8" s="18" t="str">
        <f>'2 — IC Universe Table'!B9</f>
        <v>PLTR-US</v>
      </c>
      <c r="Z8" s="18" t="str">
        <f>'2 — IC Universe Table'!C9</f>
        <v>Palantir Technologies Inc. Class A</v>
      </c>
      <c r="AA8" s="45" t="str">
        <f t="array" ref="AA8:AE8">TRANSPOSE(_xll.FDS(Y8,"String_array Name= TRANSPOSE(TRANSPOSE(SA_SUBARRAY(FR_RBICS_REV_MATRIX_CURRENT(""IND""),1,9))[13:13]);float_array pct=TRANSPOSE(TRANSPOSE(SA_SUBARRAY(FR_RBICS_REV_MATRIX_CURRENT(""IND""),1,9))[14:14]);SORT_INDIRECT(Name,pct,2)[0:4]"))</f>
        <v>Government and Not-For-Profit Industry Software</v>
      </c>
      <c r="AB8" s="45" t="str">
        <v>Business Intelligence Software</v>
      </c>
      <c r="AC8" s="45" t="e">
        <v>#N/A</v>
      </c>
      <c r="AD8" s="45" t="e">
        <v>#N/A</v>
      </c>
      <c r="AE8" s="45" t="e">
        <v>#N/A</v>
      </c>
      <c r="AF8" s="45" t="str">
        <f t="array" ref="AF8:AJ8">TRANSPOSE(_xll.FDS(Y8,"String_array Name= TRANSPOSE(TRANSPOSE(SA_SUBARRAY(FR_RBICS_REV_MATRIX_CURRENT(""IND""),1,9))[14:14]);float_array pct=TRANSPOSE(TRANSPOSE(SA_SUBARRAY(FR_RBICS_REV_MATRIX_CURRENT(""IND""),1,9))[14:14]);SORT_INDIRECT(Name,pct,2)[0:4]"))</f>
        <v>54.775822</v>
      </c>
      <c r="AG8" s="47" t="str">
        <v>45.224178</v>
      </c>
      <c r="AH8" s="47" t="e">
        <v>#N/A</v>
      </c>
      <c r="AI8" s="47" t="e">
        <v>#N/A</v>
      </c>
      <c r="AJ8" s="47" t="e">
        <v>#N/A</v>
      </c>
      <c r="AK8" s="42" t="str">
        <f t="shared" si="10"/>
        <v>Government and Not-For-Profit Industry Software</v>
      </c>
      <c r="AL8" s="45" t="str">
        <f t="shared" si="11"/>
        <v>Business Intelligence Software</v>
      </c>
      <c r="AM8" s="45" t="str">
        <f t="shared" si="12"/>
        <v/>
      </c>
      <c r="AN8" s="45" t="str">
        <f t="shared" si="13"/>
        <v/>
      </c>
      <c r="AO8" s="45" t="str">
        <f t="shared" si="14"/>
        <v/>
      </c>
      <c r="AP8" s="46">
        <f t="shared" si="15"/>
        <v>0.55000000000000004</v>
      </c>
      <c r="AQ8" s="46">
        <f t="shared" si="16"/>
        <v>0.45</v>
      </c>
      <c r="AR8" s="46" t="str">
        <f t="shared" si="17"/>
        <v/>
      </c>
      <c r="AS8" s="46" t="str">
        <f t="shared" si="18"/>
        <v/>
      </c>
      <c r="AT8" s="46" t="str">
        <f t="shared" si="19"/>
        <v/>
      </c>
    </row>
    <row r="9" spans="1:46" ht="15" customHeight="1" x14ac:dyDescent="0.25">
      <c r="A9" s="18" t="str">
        <f>'2 — IC Universe Table'!B10</f>
        <v>DT-US</v>
      </c>
      <c r="B9" s="18" t="str">
        <f>'2 — IC Universe Table'!C10</f>
        <v>Dynatrace, Inc.</v>
      </c>
      <c r="C9" s="45" t="str">
        <f t="array" ref="C9:G9">TRANSPOSE(_xll.FDS(A9,"TRANSPOSE(TRANSPOSE(FF_GEOREV_COUNTRY_REV_PCT_MATRIX)[1:1])[0:4]"))</f>
        <v>United States</v>
      </c>
      <c r="D9" s="45" t="str">
        <v>Canada</v>
      </c>
      <c r="E9" s="45" t="str">
        <v>Mainland China</v>
      </c>
      <c r="F9" s="45" t="str">
        <v>Germany</v>
      </c>
      <c r="G9" s="45" t="str">
        <v>United Kingdom</v>
      </c>
      <c r="H9" s="46" t="str">
        <f t="array" ref="H9:L9">TRANSPOSE(_xll.FDS(A9,"TRANSPOSE(TRANSPOSE(FF_GEOREV_COUNTRY_REV_PCT_MATRIX)[2:2])[0:4]"))</f>
        <v>58.115611</v>
      </c>
      <c r="I9" s="47" t="str">
        <v>2.911903</v>
      </c>
      <c r="J9" s="47" t="str">
        <v>2.807108</v>
      </c>
      <c r="K9" s="47" t="str">
        <v>2.096321</v>
      </c>
      <c r="L9" s="47" t="str">
        <v>2.092057</v>
      </c>
      <c r="M9" s="42" t="str">
        <f t="shared" si="0"/>
        <v>United States</v>
      </c>
      <c r="N9" s="45" t="str">
        <f t="shared" si="1"/>
        <v>Canada</v>
      </c>
      <c r="O9" s="45" t="str">
        <f t="shared" si="2"/>
        <v>Mainland China</v>
      </c>
      <c r="P9" s="45" t="str">
        <f t="shared" si="3"/>
        <v>Germany</v>
      </c>
      <c r="Q9" s="45" t="str">
        <f t="shared" si="4"/>
        <v>United Kingdom</v>
      </c>
      <c r="R9" s="46">
        <f t="shared" si="5"/>
        <v>0.57999999999999996</v>
      </c>
      <c r="S9" s="46">
        <f t="shared" si="6"/>
        <v>0.03</v>
      </c>
      <c r="T9" s="46">
        <f t="shared" si="7"/>
        <v>0.03</v>
      </c>
      <c r="U9" s="46">
        <f t="shared" si="8"/>
        <v>0.02</v>
      </c>
      <c r="V9" s="46">
        <f t="shared" si="9"/>
        <v>0.02</v>
      </c>
      <c r="Y9" s="18" t="str">
        <f>'2 — IC Universe Table'!B10</f>
        <v>DT-US</v>
      </c>
      <c r="Z9" s="18" t="str">
        <f>'2 — IC Universe Table'!C10</f>
        <v>Dynatrace, Inc.</v>
      </c>
      <c r="AA9" s="45" t="str">
        <f t="array" ref="AA9:AE9">TRANSPOSE(_xll.FDS(Y9,"String_array Name= TRANSPOSE(TRANSPOSE(SA_SUBARRAY(FR_RBICS_REV_MATRIX_CURRENT(""IND""),1,9))[13:13]);float_array pct=TRANSPOSE(TRANSPOSE(SA_SUBARRAY(FR_RBICS_REV_MATRIX_CURRENT(""IND""),1,9))[14:14]);SORT_INDIRECT(Name,pct,2)[0:4]"))</f>
        <v>Network Infrastructure Software</v>
      </c>
      <c r="AB9" s="45" t="e">
        <v>#N/A</v>
      </c>
      <c r="AC9" s="45" t="e">
        <v>#N/A</v>
      </c>
      <c r="AD9" s="45" t="e">
        <v>#N/A</v>
      </c>
      <c r="AE9" s="45" t="e">
        <v>#N/A</v>
      </c>
      <c r="AF9" s="45" t="str">
        <f t="array" ref="AF9:AJ9">TRANSPOSE(_xll.FDS(Y9,"String_array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9" s="47" t="e">
        <v>#N/A</v>
      </c>
      <c r="AH9" s="47" t="e">
        <v>#N/A</v>
      </c>
      <c r="AI9" s="47" t="e">
        <v>#N/A</v>
      </c>
      <c r="AJ9" s="47" t="e">
        <v>#N/A</v>
      </c>
      <c r="AK9" s="42" t="str">
        <f t="shared" si="10"/>
        <v>Network Infrastructure Software</v>
      </c>
      <c r="AL9" s="45" t="str">
        <f t="shared" si="11"/>
        <v/>
      </c>
      <c r="AM9" s="45" t="str">
        <f t="shared" si="12"/>
        <v/>
      </c>
      <c r="AN9" s="45" t="str">
        <f t="shared" si="13"/>
        <v/>
      </c>
      <c r="AO9" s="45" t="str">
        <f t="shared" si="14"/>
        <v/>
      </c>
      <c r="AP9" s="46">
        <f t="shared" si="15"/>
        <v>1</v>
      </c>
      <c r="AQ9" s="46" t="str">
        <f t="shared" si="16"/>
        <v/>
      </c>
      <c r="AR9" s="46" t="str">
        <f t="shared" si="17"/>
        <v/>
      </c>
      <c r="AS9" s="46" t="str">
        <f t="shared" si="18"/>
        <v/>
      </c>
      <c r="AT9" s="46" t="str">
        <f t="shared" si="19"/>
        <v/>
      </c>
    </row>
    <row r="10" spans="1:46" ht="15" customHeight="1" x14ac:dyDescent="0.25">
      <c r="A10" s="18" t="str">
        <f>'2 — IC Universe Table'!B11</f>
        <v>NOW-US</v>
      </c>
      <c r="B10" s="18" t="str">
        <f>'2 — IC Universe Table'!C11</f>
        <v>ServiceNow, Inc.</v>
      </c>
      <c r="C10" s="45" t="str">
        <f t="array" ref="C10:G10">TRANSPOSE(_xll.FDS(A10,"TRANSPOSE(TRANSPOSE(FF_GEOREV_COUNTRY_REV_PCT_MATRIX)[1:1])[0:4]"))</f>
        <v>United States</v>
      </c>
      <c r="D10" s="45" t="str">
        <v>Canada</v>
      </c>
      <c r="E10" s="45" t="str">
        <v>Mainland China</v>
      </c>
      <c r="F10" s="45" t="str">
        <v>France</v>
      </c>
      <c r="G10" s="45" t="str">
        <v>Italy</v>
      </c>
      <c r="H10" s="46" t="str">
        <f t="array" ref="H10:L10">TRANSPOSE(_xll.FDS(A10,"TRANSPOSE(TRANSPOSE(FF_GEOREV_COUNTRY_REV_PCT_MATRIX)[2:2])[0:4]"))</f>
        <v>59.098659</v>
      </c>
      <c r="I10" s="47" t="str">
        <v>3.772255</v>
      </c>
      <c r="J10" s="47" t="str">
        <v>2.995982</v>
      </c>
      <c r="K10" s="47" t="str">
        <v>2.236076</v>
      </c>
      <c r="L10" s="47" t="str">
        <v>1.687075</v>
      </c>
      <c r="M10" s="42" t="str">
        <f t="shared" si="0"/>
        <v>United States</v>
      </c>
      <c r="N10" s="45" t="str">
        <f t="shared" si="1"/>
        <v>Canada</v>
      </c>
      <c r="O10" s="45" t="str">
        <f t="shared" si="2"/>
        <v>Mainland China</v>
      </c>
      <c r="P10" s="45" t="str">
        <f t="shared" si="3"/>
        <v>France</v>
      </c>
      <c r="Q10" s="45" t="str">
        <f t="shared" si="4"/>
        <v>Italy</v>
      </c>
      <c r="R10" s="46">
        <f t="shared" si="5"/>
        <v>0.59</v>
      </c>
      <c r="S10" s="46">
        <f t="shared" si="6"/>
        <v>0.04</v>
      </c>
      <c r="T10" s="46">
        <f t="shared" si="7"/>
        <v>0.03</v>
      </c>
      <c r="U10" s="46">
        <f t="shared" si="8"/>
        <v>0.02</v>
      </c>
      <c r="V10" s="46">
        <f t="shared" si="9"/>
        <v>0.02</v>
      </c>
      <c r="Y10" s="18" t="str">
        <f>'2 — IC Universe Table'!B11</f>
        <v>NOW-US</v>
      </c>
      <c r="Z10" s="18" t="str">
        <f>'2 — IC Universe Table'!C11</f>
        <v>ServiceNow, Inc.</v>
      </c>
      <c r="AA10" s="45" t="str">
        <f t="array" ref="AA10:AE10">TRANSPOSE(_xll.FDS(Y10,"String_array Name= TRANSPOSE(TRANSPOSE(SA_SUBARRAY(FR_RBICS_REV_MATRIX_CURRENT(""IND""),1,9))[13:13]);float_array pct=TRANSPOSE(TRANSPOSE(SA_SUBARRAY(FR_RBICS_REV_MATRIX_CURRENT(""IND""),1,9))[14:14]);SORT_INDIRECT(Name,pct,2)[0:4]"))</f>
        <v>General Enterprise Management Software</v>
      </c>
      <c r="AB10" s="45" t="e">
        <v>#N/A</v>
      </c>
      <c r="AC10" s="45" t="e">
        <v>#N/A</v>
      </c>
      <c r="AD10" s="45" t="e">
        <v>#N/A</v>
      </c>
      <c r="AE10" s="45" t="e">
        <v>#N/A</v>
      </c>
      <c r="AF10" s="45" t="str">
        <f t="array" ref="AF10:AJ10">TRANSPOSE(_xll.FDS(Y10,"String_array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10" s="47" t="e">
        <v>#N/A</v>
      </c>
      <c r="AH10" s="47" t="e">
        <v>#N/A</v>
      </c>
      <c r="AI10" s="47" t="e">
        <v>#N/A</v>
      </c>
      <c r="AJ10" s="47" t="e">
        <v>#N/A</v>
      </c>
      <c r="AK10" s="42" t="str">
        <f t="shared" si="10"/>
        <v>General Enterprise Management Software</v>
      </c>
      <c r="AL10" s="45" t="str">
        <f t="shared" si="11"/>
        <v/>
      </c>
      <c r="AM10" s="45" t="str">
        <f t="shared" si="12"/>
        <v/>
      </c>
      <c r="AN10" s="45" t="str">
        <f t="shared" si="13"/>
        <v/>
      </c>
      <c r="AO10" s="45" t="str">
        <f t="shared" si="14"/>
        <v/>
      </c>
      <c r="AP10" s="46">
        <f t="shared" si="15"/>
        <v>1</v>
      </c>
      <c r="AQ10" s="46" t="str">
        <f t="shared" si="16"/>
        <v/>
      </c>
      <c r="AR10" s="46" t="str">
        <f t="shared" si="17"/>
        <v/>
      </c>
      <c r="AS10" s="46" t="str">
        <f t="shared" si="18"/>
        <v/>
      </c>
      <c r="AT10" s="46" t="str">
        <f t="shared" si="19"/>
        <v/>
      </c>
    </row>
    <row r="11" spans="1:46" ht="15" customHeight="1" x14ac:dyDescent="0.25">
      <c r="A11" s="18" t="str">
        <f>'2 — IC Universe Table'!B12</f>
        <v>TENB-US</v>
      </c>
      <c r="B11" s="18" t="str">
        <f>'2 — IC Universe Table'!C12</f>
        <v>Tenable Holdings, Inc.</v>
      </c>
      <c r="C11" s="45" t="str">
        <f t="array" ref="C11:G11">TRANSPOSE(_xll.FDS(A11,"TRANSPOSE(TRANSPOSE(FF_GEOREV_COUNTRY_REV_PCT_MATRIX)[1:1])[0:4]"))</f>
        <v>United States</v>
      </c>
      <c r="D11" s="45" t="str">
        <v>Mainland China</v>
      </c>
      <c r="E11" s="45" t="str">
        <v>Brazil</v>
      </c>
      <c r="F11" s="45" t="str">
        <v>Canada</v>
      </c>
      <c r="G11" s="45" t="str">
        <v>Germany</v>
      </c>
      <c r="H11" s="46" t="str">
        <f t="array" ref="H11:L11">TRANSPOSE(_xll.FDS(A11,"TRANSPOSE(TRANSPOSE(FF_GEOREV_COUNTRY_REV_PCT_MATRIX)[2:2])[0:4]"))</f>
        <v>54</v>
      </c>
      <c r="I11" s="47" t="str">
        <v>2.012783</v>
      </c>
      <c r="J11" s="47" t="str">
        <v>1.96535</v>
      </c>
      <c r="K11" s="47" t="str">
        <v>1.890147</v>
      </c>
      <c r="L11" s="47" t="str">
        <v>1.88413</v>
      </c>
      <c r="M11" s="42" t="str">
        <f t="shared" si="0"/>
        <v>United States</v>
      </c>
      <c r="N11" s="45" t="str">
        <f t="shared" si="1"/>
        <v>Mainland China</v>
      </c>
      <c r="O11" s="45" t="str">
        <f t="shared" si="2"/>
        <v>Brazil</v>
      </c>
      <c r="P11" s="45" t="str">
        <f t="shared" si="3"/>
        <v>Canada</v>
      </c>
      <c r="Q11" s="45" t="str">
        <f t="shared" si="4"/>
        <v>Germany</v>
      </c>
      <c r="R11" s="46">
        <f t="shared" si="5"/>
        <v>0.54</v>
      </c>
      <c r="S11" s="46">
        <f t="shared" si="6"/>
        <v>0.02</v>
      </c>
      <c r="T11" s="46">
        <f t="shared" si="7"/>
        <v>0.02</v>
      </c>
      <c r="U11" s="46">
        <f t="shared" si="8"/>
        <v>0.02</v>
      </c>
      <c r="V11" s="46">
        <f t="shared" si="9"/>
        <v>0.02</v>
      </c>
      <c r="Y11" s="18" t="str">
        <f>'2 — IC Universe Table'!B12</f>
        <v>TENB-US</v>
      </c>
      <c r="Z11" s="18" t="str">
        <f>'2 — IC Universe Table'!C12</f>
        <v>Tenable Holdings, Inc.</v>
      </c>
      <c r="AA11" s="45" t="str">
        <f t="array" ref="AA11:AE11">TRANSPOSE(_xll.FDS(Y11,"String_array Name= TRANSPOSE(TRANSPOSE(SA_SUBARRAY(FR_RBICS_REV_MATRIX_CURRENT(""IND""),1,9))[13:13]);float_array pct=TRANSPOSE(TRANSPOSE(SA_SUBARRAY(FR_RBICS_REV_MATRIX_CURRENT(""IND""),1,9))[14:14]);SORT_INDIRECT(Name,pct,2)[0:4]"))</f>
        <v>Network Infrastructure Software</v>
      </c>
      <c r="AB11" s="45" t="e">
        <v>#N/A</v>
      </c>
      <c r="AC11" s="45" t="e">
        <v>#N/A</v>
      </c>
      <c r="AD11" s="45" t="e">
        <v>#N/A</v>
      </c>
      <c r="AE11" s="45" t="e">
        <v>#N/A</v>
      </c>
      <c r="AF11" s="45" t="str">
        <f t="array" ref="AF11:AJ11">TRANSPOSE(_xll.FDS(Y11,"String_array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11" s="47" t="e">
        <v>#N/A</v>
      </c>
      <c r="AH11" s="47" t="e">
        <v>#N/A</v>
      </c>
      <c r="AI11" s="47" t="e">
        <v>#N/A</v>
      </c>
      <c r="AJ11" s="47" t="e">
        <v>#N/A</v>
      </c>
      <c r="AK11" s="42" t="str">
        <f t="shared" si="10"/>
        <v>Network Infrastructure Software</v>
      </c>
      <c r="AL11" s="45" t="str">
        <f t="shared" si="11"/>
        <v/>
      </c>
      <c r="AM11" s="45" t="str">
        <f t="shared" si="12"/>
        <v/>
      </c>
      <c r="AN11" s="45" t="str">
        <f t="shared" si="13"/>
        <v/>
      </c>
      <c r="AO11" s="45" t="str">
        <f t="shared" si="14"/>
        <v/>
      </c>
      <c r="AP11" s="46">
        <f t="shared" si="15"/>
        <v>1</v>
      </c>
      <c r="AQ11" s="46" t="str">
        <f t="shared" si="16"/>
        <v/>
      </c>
      <c r="AR11" s="46" t="str">
        <f t="shared" si="17"/>
        <v/>
      </c>
      <c r="AS11" s="46" t="str">
        <f t="shared" si="18"/>
        <v/>
      </c>
      <c r="AT11" s="46" t="str">
        <f t="shared" si="19"/>
        <v/>
      </c>
    </row>
    <row r="12" spans="1:46" ht="15" customHeight="1" x14ac:dyDescent="0.25">
      <c r="A12" s="18" t="str">
        <f>'2 — IC Universe Table'!B13</f>
        <v>FICO-US</v>
      </c>
      <c r="B12" s="18" t="str">
        <f>'2 — IC Universe Table'!C13</f>
        <v>Fair Isaac Corporation</v>
      </c>
      <c r="C12" s="45" t="str">
        <f t="array" ref="C12:G12">TRANSPOSE(_xll.FDS(A12,"TRANSPOSE(TRANSPOSE(FF_GEOREV_COUNTRY_REV_PCT_MATRIX)[1:1])[0:4]"))</f>
        <v>United States</v>
      </c>
      <c r="D12" s="45" t="str">
        <v>Canada</v>
      </c>
      <c r="E12" s="45" t="str">
        <v>Brazil</v>
      </c>
      <c r="F12" s="45" t="str">
        <v>Mexico</v>
      </c>
      <c r="G12" s="45" t="str">
        <v>Mainland China</v>
      </c>
      <c r="H12" s="46" t="str">
        <f t="array" ref="H12:L12">TRANSPOSE(_xll.FDS(A12,"TRANSPOSE(TRANSPOSE(FF_GEOREV_COUNTRY_REV_PCT_MATRIX)[2:2])[0:4]"))</f>
        <v>77</v>
      </c>
      <c r="I12" s="47" t="str">
        <v>2.431836</v>
      </c>
      <c r="J12" s="47" t="str">
        <v>2.323231</v>
      </c>
      <c r="K12" s="47" t="str">
        <v>1.849704</v>
      </c>
      <c r="L12" s="47" t="str">
        <v>0.916663</v>
      </c>
      <c r="M12" s="42" t="str">
        <f t="shared" si="0"/>
        <v>United States</v>
      </c>
      <c r="N12" s="45" t="str">
        <f t="shared" si="1"/>
        <v>Canada</v>
      </c>
      <c r="O12" s="45" t="str">
        <f t="shared" si="2"/>
        <v>Brazil</v>
      </c>
      <c r="P12" s="45" t="str">
        <f t="shared" si="3"/>
        <v>Mexico</v>
      </c>
      <c r="Q12" s="45" t="str">
        <f t="shared" si="4"/>
        <v>Mainland China</v>
      </c>
      <c r="R12" s="46">
        <f t="shared" si="5"/>
        <v>0.77</v>
      </c>
      <c r="S12" s="46">
        <f t="shared" si="6"/>
        <v>0.02</v>
      </c>
      <c r="T12" s="46">
        <f t="shared" si="7"/>
        <v>0.02</v>
      </c>
      <c r="U12" s="46">
        <f t="shared" si="8"/>
        <v>0.02</v>
      </c>
      <c r="V12" s="46">
        <f t="shared" si="9"/>
        <v>0.01</v>
      </c>
      <c r="Y12" s="18" t="str">
        <f>'2 — IC Universe Table'!B13</f>
        <v>FICO-US</v>
      </c>
      <c r="Z12" s="18" t="str">
        <f>'2 — IC Universe Table'!C13</f>
        <v>Fair Isaac Corporation</v>
      </c>
      <c r="AA12" s="45" t="str">
        <f t="array" ref="AA12:AE12">TRANSPOSE(_xll.FDS(Y12,"String_array Name= TRANSPOSE(TRANSPOSE(SA_SUBARRAY(FR_RBICS_REV_MATRIX_CURRENT(""IND""),1,9))[13:13]);float_array pct=TRANSPOSE(TRANSPOSE(SA_SUBARRAY(FR_RBICS_REV_MATRIX_CURRENT(""IND""),1,9))[14:14]);SORT_INDIRECT(Name,pct,2)[0:4]"))</f>
        <v>Other Business Administrative Services</v>
      </c>
      <c r="AB12" s="45" t="str">
        <v>General and Mixed-Type Software</v>
      </c>
      <c r="AC12" s="45" t="e">
        <v>#N/A</v>
      </c>
      <c r="AD12" s="45" t="e">
        <v>#N/A</v>
      </c>
      <c r="AE12" s="45" t="e">
        <v>#N/A</v>
      </c>
      <c r="AF12" s="45" t="str">
        <f t="array" ref="AF12:AJ12">TRANSPOSE(_xll.FDS(Y12,"String_array Name= TRANSPOSE(TRANSPOSE(SA_SUBARRAY(FR_RBICS_REV_MATRIX_CURRENT(""IND""),1,9))[14:14]);float_array pct=TRANSPOSE(TRANSPOSE(SA_SUBARRAY(FR_RBICS_REV_MATRIX_CURRENT(""IND""),1,9))[14:14]);SORT_INDIRECT(Name,pct,2)[0:4]"))</f>
        <v>58.696729</v>
      </c>
      <c r="AG12" s="47" t="str">
        <v>41.303271</v>
      </c>
      <c r="AH12" s="47" t="e">
        <v>#N/A</v>
      </c>
      <c r="AI12" s="47" t="e">
        <v>#N/A</v>
      </c>
      <c r="AJ12" s="47" t="e">
        <v>#N/A</v>
      </c>
      <c r="AK12" s="42" t="str">
        <f t="shared" si="10"/>
        <v>Other Business Administrative Services</v>
      </c>
      <c r="AL12" s="45" t="str">
        <f t="shared" si="11"/>
        <v>General and Mixed-Type Software</v>
      </c>
      <c r="AM12" s="45" t="str">
        <f t="shared" si="12"/>
        <v/>
      </c>
      <c r="AN12" s="45" t="str">
        <f t="shared" si="13"/>
        <v/>
      </c>
      <c r="AO12" s="45" t="str">
        <f t="shared" si="14"/>
        <v/>
      </c>
      <c r="AP12" s="46">
        <f t="shared" si="15"/>
        <v>0.59</v>
      </c>
      <c r="AQ12" s="46">
        <f t="shared" si="16"/>
        <v>0.41</v>
      </c>
      <c r="AR12" s="46" t="str">
        <f t="shared" si="17"/>
        <v/>
      </c>
      <c r="AS12" s="46" t="str">
        <f t="shared" si="18"/>
        <v/>
      </c>
      <c r="AT12" s="46" t="str">
        <f t="shared" si="19"/>
        <v/>
      </c>
    </row>
    <row r="13" spans="1:46" ht="15" customHeight="1" x14ac:dyDescent="0.25">
      <c r="A13" s="18" t="str">
        <f>'2 — IC Universe Table'!B14</f>
        <v>DOCU-US</v>
      </c>
      <c r="B13" s="18" t="str">
        <f>'2 — IC Universe Table'!C14</f>
        <v>DocuSign, Inc.</v>
      </c>
      <c r="C13" s="45" t="e">
        <f t="array" ref="C13:G13">TRANSPOSE(_xll.FDS(A13,"TRANSPOSE(TRANSPOSE(FF_GEOREV_COUNTRY_REV_PCT_MATRIX)[1:1])[0:4]"))</f>
        <v>#N/A</v>
      </c>
      <c r="D13" s="45" t="e">
        <v>#N/A</v>
      </c>
      <c r="E13" s="45" t="e">
        <v>#N/A</v>
      </c>
      <c r="F13" s="45" t="e">
        <v>#N/A</v>
      </c>
      <c r="G13" s="45" t="e">
        <v>#N/A</v>
      </c>
      <c r="H13" s="46" t="e">
        <f t="array" ref="H13:L13">TRANSPOSE(_xll.FDS(A13,"TRANSPOSE(TRANSPOSE(FF_GEOREV_COUNTRY_REV_PCT_MATRIX)[2:2])[0:4]"))</f>
        <v>#N/A</v>
      </c>
      <c r="I13" s="47" t="e">
        <v>#N/A</v>
      </c>
      <c r="J13" s="47" t="e">
        <v>#N/A</v>
      </c>
      <c r="K13" s="47" t="e">
        <v>#N/A</v>
      </c>
      <c r="L13" s="47" t="e">
        <v>#N/A</v>
      </c>
      <c r="M13" s="42" t="str">
        <f t="shared" si="0"/>
        <v/>
      </c>
      <c r="N13" s="45" t="str">
        <f t="shared" si="1"/>
        <v/>
      </c>
      <c r="O13" s="45" t="str">
        <f t="shared" si="2"/>
        <v/>
      </c>
      <c r="P13" s="45" t="str">
        <f t="shared" si="3"/>
        <v/>
      </c>
      <c r="Q13" s="45" t="str">
        <f t="shared" si="4"/>
        <v/>
      </c>
      <c r="R13" s="46" t="str">
        <f t="shared" si="5"/>
        <v/>
      </c>
      <c r="S13" s="46" t="str">
        <f t="shared" si="6"/>
        <v/>
      </c>
      <c r="T13" s="46" t="str">
        <f t="shared" si="7"/>
        <v/>
      </c>
      <c r="U13" s="46" t="str">
        <f t="shared" si="8"/>
        <v/>
      </c>
      <c r="V13" s="46" t="str">
        <f t="shared" si="9"/>
        <v/>
      </c>
      <c r="Y13" s="18" t="str">
        <f>'2 — IC Universe Table'!B14</f>
        <v>DOCU-US</v>
      </c>
      <c r="Z13" s="18" t="str">
        <f>'2 — IC Universe Table'!C14</f>
        <v>DocuSign, Inc.</v>
      </c>
      <c r="AA13" s="45" t="str">
        <f t="array" ref="AA13:AE13">TRANSPOSE(_xll.FDS(Y13,"String_array Name= TRANSPOSE(TRANSPOSE(SA_SUBARRAY(FR_RBICS_REV_MATRIX_CURRENT(""IND""),1,9))[13:13]);float_array pct=TRANSPOSE(TRANSPOSE(SA_SUBARRAY(FR_RBICS_REV_MATRIX_CURRENT(""IND""),1,9))[14:14]);SORT_INDIRECT(Name,pct,2)[0:4]"))</f>
        <v>Content Management Software</v>
      </c>
      <c r="AB13" s="45" t="e">
        <v>#N/A</v>
      </c>
      <c r="AC13" s="45" t="e">
        <v>#N/A</v>
      </c>
      <c r="AD13" s="45" t="e">
        <v>#N/A</v>
      </c>
      <c r="AE13" s="45" t="e">
        <v>#N/A</v>
      </c>
      <c r="AF13" s="45" t="str">
        <f t="array" ref="AF13:AJ13">TRANSPOSE(_xll.FDS(Y13,"String_array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13" s="47" t="e">
        <v>#N/A</v>
      </c>
      <c r="AH13" s="47" t="e">
        <v>#N/A</v>
      </c>
      <c r="AI13" s="47" t="e">
        <v>#N/A</v>
      </c>
      <c r="AJ13" s="47" t="e">
        <v>#N/A</v>
      </c>
      <c r="AK13" s="42" t="str">
        <f t="shared" si="10"/>
        <v>Content Management Software</v>
      </c>
      <c r="AL13" s="45" t="str">
        <f t="shared" si="11"/>
        <v/>
      </c>
      <c r="AM13" s="45" t="str">
        <f t="shared" si="12"/>
        <v/>
      </c>
      <c r="AN13" s="45" t="str">
        <f t="shared" si="13"/>
        <v/>
      </c>
      <c r="AO13" s="45" t="str">
        <f t="shared" si="14"/>
        <v/>
      </c>
      <c r="AP13" s="46">
        <f t="shared" si="15"/>
        <v>1</v>
      </c>
      <c r="AQ13" s="46" t="str">
        <f t="shared" si="16"/>
        <v/>
      </c>
      <c r="AR13" s="46" t="str">
        <f t="shared" si="17"/>
        <v/>
      </c>
      <c r="AS13" s="46" t="str">
        <f t="shared" si="18"/>
        <v/>
      </c>
      <c r="AT13" s="46" t="str">
        <f t="shared" si="19"/>
        <v/>
      </c>
    </row>
    <row r="14" spans="1:46" ht="15" customHeight="1" x14ac:dyDescent="0.25">
      <c r="A14" s="18" t="str">
        <f>'2 — IC Universe Table'!B15</f>
        <v>CVLT-US</v>
      </c>
      <c r="B14" s="18" t="str">
        <f>'2 — IC Universe Table'!C15</f>
        <v>Commvault Systems, Inc.</v>
      </c>
      <c r="C14" s="45" t="str">
        <f t="array" ref="C14:G14">TRANSPOSE(_xll.FDS(A14,"TRANSPOSE(TRANSPOSE(FF_GEOREV_COUNTRY_REV_PCT_MATRIX)[1:1])[0:4]"))</f>
        <v>United States</v>
      </c>
      <c r="D14" s="45" t="str">
        <v>Mainland China</v>
      </c>
      <c r="E14" s="45" t="str">
        <v>Germany</v>
      </c>
      <c r="F14" s="45" t="str">
        <v>India</v>
      </c>
      <c r="G14" s="45" t="str">
        <v>United Kingdom</v>
      </c>
      <c r="H14" s="46" t="str">
        <f t="array" ref="H14:L14">TRANSPOSE(_xll.FDS(A14,"TRANSPOSE(TRANSPOSE(FF_GEOREV_COUNTRY_REV_PCT_MATRIX)[2:2])[0:4]"))</f>
        <v>53.687606</v>
      </c>
      <c r="I14" s="47" t="str">
        <v>11.304324</v>
      </c>
      <c r="J14" s="47" t="str">
        <v>2.800427</v>
      </c>
      <c r="K14" s="47" t="str">
        <v>2.401453</v>
      </c>
      <c r="L14" s="47" t="str">
        <v>2.131999</v>
      </c>
      <c r="M14" s="42" t="str">
        <f t="shared" si="0"/>
        <v>United States</v>
      </c>
      <c r="N14" s="45" t="str">
        <f t="shared" si="1"/>
        <v>Mainland China</v>
      </c>
      <c r="O14" s="45" t="str">
        <f t="shared" si="2"/>
        <v>Germany</v>
      </c>
      <c r="P14" s="45" t="str">
        <f t="shared" si="3"/>
        <v>India</v>
      </c>
      <c r="Q14" s="45" t="str">
        <f t="shared" si="4"/>
        <v>United Kingdom</v>
      </c>
      <c r="R14" s="46">
        <f t="shared" si="5"/>
        <v>0.54</v>
      </c>
      <c r="S14" s="46">
        <f t="shared" si="6"/>
        <v>0.11</v>
      </c>
      <c r="T14" s="46">
        <f t="shared" si="7"/>
        <v>0.03</v>
      </c>
      <c r="U14" s="46">
        <f t="shared" si="8"/>
        <v>0.02</v>
      </c>
      <c r="V14" s="46">
        <f t="shared" si="9"/>
        <v>0.02</v>
      </c>
      <c r="Y14" s="18" t="str">
        <f>'2 — IC Universe Table'!B15</f>
        <v>CVLT-US</v>
      </c>
      <c r="Z14" s="18" t="str">
        <f>'2 — IC Universe Table'!C15</f>
        <v>Commvault Systems, Inc.</v>
      </c>
      <c r="AA14" s="45" t="str">
        <f t="array" ref="AA14:AE14">TRANSPOSE(_xll.FDS(Y14,"String_array Name= TRANSPOSE(TRANSPOSE(SA_SUBARRAY(FR_RBICS_REV_MATRIX_CURRENT(""IND""),1,9))[13:13]);float_array pct=TRANSPOSE(TRANSPOSE(SA_SUBARRAY(FR_RBICS_REV_MATRIX_CURRENT(""IND""),1,9))[14:14]);SORT_INDIRECT(Name,pct,2)[0:4]"))</f>
        <v>Data Storage Infrastructure Software</v>
      </c>
      <c r="AB14" s="45" t="e">
        <v>#N/A</v>
      </c>
      <c r="AC14" s="45" t="e">
        <v>#N/A</v>
      </c>
      <c r="AD14" s="45" t="e">
        <v>#N/A</v>
      </c>
      <c r="AE14" s="45" t="e">
        <v>#N/A</v>
      </c>
      <c r="AF14" s="45" t="str">
        <f t="array" ref="AF14:AJ14">TRANSPOSE(_xll.FDS(Y14,"String_array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14" s="47" t="e">
        <v>#N/A</v>
      </c>
      <c r="AH14" s="47" t="e">
        <v>#N/A</v>
      </c>
      <c r="AI14" s="47" t="e">
        <v>#N/A</v>
      </c>
      <c r="AJ14" s="47" t="e">
        <v>#N/A</v>
      </c>
      <c r="AK14" s="42" t="str">
        <f t="shared" si="10"/>
        <v>Data Storage Infrastructure Software</v>
      </c>
      <c r="AL14" s="45" t="str">
        <f t="shared" si="11"/>
        <v/>
      </c>
      <c r="AM14" s="45" t="str">
        <f t="shared" si="12"/>
        <v/>
      </c>
      <c r="AN14" s="45" t="str">
        <f t="shared" si="13"/>
        <v/>
      </c>
      <c r="AO14" s="45" t="str">
        <f t="shared" si="14"/>
        <v/>
      </c>
      <c r="AP14" s="46">
        <f t="shared" si="15"/>
        <v>1</v>
      </c>
      <c r="AQ14" s="46" t="str">
        <f t="shared" si="16"/>
        <v/>
      </c>
      <c r="AR14" s="46" t="str">
        <f t="shared" si="17"/>
        <v/>
      </c>
      <c r="AS14" s="46" t="str">
        <f t="shared" si="18"/>
        <v/>
      </c>
      <c r="AT14" s="46" t="str">
        <f t="shared" si="19"/>
        <v/>
      </c>
    </row>
    <row r="15" spans="1:46" ht="15" customHeight="1" x14ac:dyDescent="0.25">
      <c r="A15" s="18" t="str">
        <f>'2 — IC Universe Table'!B16</f>
        <v>WDAY-US</v>
      </c>
      <c r="B15" s="18" t="str">
        <f>'2 — IC Universe Table'!C16</f>
        <v>Workday, Inc. Class A</v>
      </c>
      <c r="C15" s="45" t="str">
        <f t="array" ref="C15:G15">TRANSPOSE(_xll.FDS(A15,"TRANSPOSE(TRANSPOSE(FF_GEOREV_COUNTRY_REV_PCT_MATRIX)[1:1])[0:4]"))</f>
        <v>United States</v>
      </c>
      <c r="D15" s="45" t="str">
        <v>Mainland China</v>
      </c>
      <c r="E15" s="45" t="str">
        <v>Germany</v>
      </c>
      <c r="F15" s="45" t="str">
        <v>Japan</v>
      </c>
      <c r="G15" s="45" t="str">
        <v>India</v>
      </c>
      <c r="H15" s="46" t="str">
        <f t="array" ref="H15:L15">TRANSPOSE(_xll.FDS(A15,"TRANSPOSE(TRANSPOSE(FF_GEOREV_COUNTRY_REV_PCT_MATRIX)[2:2])[0:4]"))</f>
        <v>74.9704</v>
      </c>
      <c r="I15" s="47" t="str">
        <v>5.729917</v>
      </c>
      <c r="J15" s="47" t="str">
        <v>1.419476</v>
      </c>
      <c r="K15" s="47" t="str">
        <v>1.270869</v>
      </c>
      <c r="L15" s="47" t="str">
        <v>1.217244</v>
      </c>
      <c r="M15" s="42" t="str">
        <f t="shared" si="0"/>
        <v>United States</v>
      </c>
      <c r="N15" s="45" t="str">
        <f t="shared" si="1"/>
        <v>Mainland China</v>
      </c>
      <c r="O15" s="45" t="str">
        <f t="shared" si="2"/>
        <v>Germany</v>
      </c>
      <c r="P15" s="45" t="str">
        <f t="shared" si="3"/>
        <v>Japan</v>
      </c>
      <c r="Q15" s="45" t="str">
        <f t="shared" si="4"/>
        <v>India</v>
      </c>
      <c r="R15" s="46">
        <f t="shared" si="5"/>
        <v>0.75</v>
      </c>
      <c r="S15" s="46">
        <f t="shared" si="6"/>
        <v>0.06</v>
      </c>
      <c r="T15" s="46">
        <f t="shared" si="7"/>
        <v>0.01</v>
      </c>
      <c r="U15" s="46">
        <f t="shared" si="8"/>
        <v>0.01</v>
      </c>
      <c r="V15" s="46">
        <f t="shared" si="9"/>
        <v>0.01</v>
      </c>
      <c r="Y15" s="18" t="str">
        <f>'2 — IC Universe Table'!B16</f>
        <v>WDAY-US</v>
      </c>
      <c r="Z15" s="18" t="str">
        <f>'2 — IC Universe Table'!C16</f>
        <v>Workday, Inc. Class A</v>
      </c>
      <c r="AA15" s="45" t="str">
        <f t="array" ref="AA15:AE15">TRANSPOSE(_xll.FDS(Y15,"String_array Name= TRANSPOSE(TRANSPOSE(SA_SUBARRAY(FR_RBICS_REV_MATRIX_CURRENT(""IND""),1,9))[13:13]);float_array pct=TRANSPOSE(TRANSPOSE(SA_SUBARRAY(FR_RBICS_REV_MATRIX_CURRENT(""IND""),1,9))[14:14]);SORT_INDIRECT(Name,pct,2)[0:4]"))</f>
        <v>Enterprise Resource Planning Software</v>
      </c>
      <c r="AB15" s="45" t="e">
        <v>#N/A</v>
      </c>
      <c r="AC15" s="45" t="e">
        <v>#N/A</v>
      </c>
      <c r="AD15" s="45" t="e">
        <v>#N/A</v>
      </c>
      <c r="AE15" s="45" t="e">
        <v>#N/A</v>
      </c>
      <c r="AF15" s="45" t="str">
        <f t="array" ref="AF15:AJ15">TRANSPOSE(_xll.FDS(Y15,"String_array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15" s="47" t="e">
        <v>#N/A</v>
      </c>
      <c r="AH15" s="47" t="e">
        <v>#N/A</v>
      </c>
      <c r="AI15" s="47" t="e">
        <v>#N/A</v>
      </c>
      <c r="AJ15" s="47" t="e">
        <v>#N/A</v>
      </c>
      <c r="AK15" s="42" t="str">
        <f t="shared" si="10"/>
        <v>Enterprise Resource Planning Software</v>
      </c>
      <c r="AL15" s="45" t="str">
        <f t="shared" si="11"/>
        <v/>
      </c>
      <c r="AM15" s="45" t="str">
        <f t="shared" si="12"/>
        <v/>
      </c>
      <c r="AN15" s="45" t="str">
        <f t="shared" si="13"/>
        <v/>
      </c>
      <c r="AO15" s="45" t="str">
        <f t="shared" si="14"/>
        <v/>
      </c>
      <c r="AP15" s="46">
        <f t="shared" si="15"/>
        <v>1</v>
      </c>
      <c r="AQ15" s="46" t="str">
        <f t="shared" si="16"/>
        <v/>
      </c>
      <c r="AR15" s="46" t="str">
        <f t="shared" si="17"/>
        <v/>
      </c>
      <c r="AS15" s="46" t="str">
        <f t="shared" si="18"/>
        <v/>
      </c>
      <c r="AT15" s="46" t="str">
        <f t="shared" si="19"/>
        <v/>
      </c>
    </row>
    <row r="16" spans="1:46" ht="15" customHeight="1" x14ac:dyDescent="0.25">
      <c r="A16" s="18" t="str">
        <f>'2 — IC Universe Table'!B17</f>
        <v>PATH-US</v>
      </c>
      <c r="B16" s="18" t="str">
        <f>'2 — IC Universe Table'!C17</f>
        <v>UiPath, Inc. Class A</v>
      </c>
      <c r="C16" s="45" t="str">
        <f t="array" ref="C16:G16">TRANSPOSE(_xll.FDS(A16,"TRANSPOSE(TRANSPOSE(FF_GEOREV_COUNTRY_REV_PCT_MATRIX)[1:1])[0:4]"))</f>
        <v>United States</v>
      </c>
      <c r="D16" s="45" t="str">
        <v>Japan</v>
      </c>
      <c r="E16" s="45" t="str">
        <v>Mainland China</v>
      </c>
      <c r="F16" s="45" t="str">
        <v>Germany</v>
      </c>
      <c r="G16" s="45" t="str">
        <v>Italy</v>
      </c>
      <c r="H16" s="46" t="str">
        <f t="array" ref="H16:L16">TRANSPOSE(_xll.FDS(A16,"TRANSPOSE(TRANSPOSE(FF_GEOREV_COUNTRY_REV_PCT_MATRIX)[2:2])[0:4]"))</f>
        <v>44</v>
      </c>
      <c r="I16" s="47" t="str">
        <v>9</v>
      </c>
      <c r="J16" s="47" t="str">
        <v>5.946985</v>
      </c>
      <c r="K16" s="47" t="str">
        <v>2.264493</v>
      </c>
      <c r="L16" s="47" t="str">
        <v>2.12734</v>
      </c>
      <c r="M16" s="42" t="str">
        <f t="shared" si="0"/>
        <v>United States</v>
      </c>
      <c r="N16" s="45" t="str">
        <f t="shared" si="1"/>
        <v>Japan</v>
      </c>
      <c r="O16" s="45" t="str">
        <f t="shared" si="2"/>
        <v>Mainland China</v>
      </c>
      <c r="P16" s="45" t="str">
        <f t="shared" si="3"/>
        <v>Germany</v>
      </c>
      <c r="Q16" s="45" t="str">
        <f t="shared" si="4"/>
        <v>Italy</v>
      </c>
      <c r="R16" s="46">
        <f t="shared" si="5"/>
        <v>0.44</v>
      </c>
      <c r="S16" s="46">
        <f t="shared" si="6"/>
        <v>0.09</v>
      </c>
      <c r="T16" s="46">
        <f t="shared" si="7"/>
        <v>0.06</v>
      </c>
      <c r="U16" s="46">
        <f t="shared" si="8"/>
        <v>0.02</v>
      </c>
      <c r="V16" s="46">
        <f t="shared" si="9"/>
        <v>0.02</v>
      </c>
      <c r="Y16" s="18" t="str">
        <f>'2 — IC Universe Table'!B17</f>
        <v>PATH-US</v>
      </c>
      <c r="Z16" s="18" t="str">
        <f>'2 — IC Universe Table'!C17</f>
        <v>UiPath, Inc. Class A</v>
      </c>
      <c r="AA16" s="45" t="str">
        <f t="array" ref="AA16:AE16">TRANSPOSE(_xll.FDS(Y16,"String_array Name= TRANSPOSE(TRANSPOSE(SA_SUBARRAY(FR_RBICS_REV_MATRIX_CURRENT(""IND""),1,9))[13:13]);float_array pct=TRANSPOSE(TRANSPOSE(SA_SUBARRAY(FR_RBICS_REV_MATRIX_CURRENT(""IND""),1,9))[14:14]);SORT_INDIRECT(Name,pct,2)[0:4]"))</f>
        <v>Enterprise Resource Planning Software</v>
      </c>
      <c r="AB16" s="45" t="e">
        <v>#N/A</v>
      </c>
      <c r="AC16" s="45" t="e">
        <v>#N/A</v>
      </c>
      <c r="AD16" s="45" t="e">
        <v>#N/A</v>
      </c>
      <c r="AE16" s="45" t="e">
        <v>#N/A</v>
      </c>
      <c r="AF16" s="45" t="str">
        <f t="array" ref="AF16:AJ16">TRANSPOSE(_xll.FDS(Y16,"String_array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16" s="47" t="e">
        <v>#N/A</v>
      </c>
      <c r="AH16" s="47" t="e">
        <v>#N/A</v>
      </c>
      <c r="AI16" s="47" t="e">
        <v>#N/A</v>
      </c>
      <c r="AJ16" s="47" t="e">
        <v>#N/A</v>
      </c>
      <c r="AK16" s="42" t="str">
        <f t="shared" si="10"/>
        <v>Enterprise Resource Planning Software</v>
      </c>
      <c r="AL16" s="45" t="str">
        <f t="shared" si="11"/>
        <v/>
      </c>
      <c r="AM16" s="45" t="str">
        <f t="shared" si="12"/>
        <v/>
      </c>
      <c r="AN16" s="45" t="str">
        <f t="shared" si="13"/>
        <v/>
      </c>
      <c r="AO16" s="45" t="str">
        <f t="shared" si="14"/>
        <v/>
      </c>
      <c r="AP16" s="46">
        <f t="shared" si="15"/>
        <v>1</v>
      </c>
      <c r="AQ16" s="46" t="str">
        <f t="shared" si="16"/>
        <v/>
      </c>
      <c r="AR16" s="46" t="str">
        <f t="shared" si="17"/>
        <v/>
      </c>
      <c r="AS16" s="46" t="str">
        <f t="shared" si="18"/>
        <v/>
      </c>
      <c r="AT16" s="46" t="str">
        <f t="shared" si="19"/>
        <v/>
      </c>
    </row>
    <row r="17" spans="1:46" ht="15" customHeight="1" x14ac:dyDescent="0.25">
      <c r="A17" s="18" t="str">
        <f>'2 — IC Universe Table'!B18</f>
        <v>INTU-US</v>
      </c>
      <c r="B17" s="18" t="str">
        <f>'2 — IC Universe Table'!C18</f>
        <v>Intuit Inc.</v>
      </c>
      <c r="C17" s="45" t="str">
        <f t="array" ref="C17:G17">TRANSPOSE(_xll.FDS(A17,"TRANSPOSE(TRANSPOSE(FF_GEOREV_COUNTRY_REV_PCT_MATRIX)[1:1])[0:4]"))</f>
        <v>United States</v>
      </c>
      <c r="D17" s="45" t="str">
        <v>Mainland China</v>
      </c>
      <c r="E17" s="45" t="str">
        <v>Germany</v>
      </c>
      <c r="F17" s="45" t="str">
        <v>India</v>
      </c>
      <c r="G17" s="45" t="str">
        <v>Japan</v>
      </c>
      <c r="H17" s="46" t="str">
        <f t="array" ref="H17:L17">TRANSPOSE(_xll.FDS(A17,"TRANSPOSE(TRANSPOSE(FF_GEOREV_COUNTRY_REV_PCT_MATRIX)[2:2])[0:4]"))</f>
        <v>92</v>
      </c>
      <c r="I17" s="47" t="str">
        <v>1.842556</v>
      </c>
      <c r="J17" s="47" t="str">
        <v>0.454591</v>
      </c>
      <c r="K17" s="47" t="str">
        <v>0.401151</v>
      </c>
      <c r="L17" s="47" t="str">
        <v>0.401095</v>
      </c>
      <c r="M17" s="42" t="str">
        <f t="shared" si="0"/>
        <v>United States</v>
      </c>
      <c r="N17" s="45" t="str">
        <f t="shared" si="1"/>
        <v>Mainland China</v>
      </c>
      <c r="O17" s="45" t="str">
        <f t="shared" si="2"/>
        <v>Germany</v>
      </c>
      <c r="P17" s="45" t="str">
        <f t="shared" si="3"/>
        <v>India</v>
      </c>
      <c r="Q17" s="45" t="str">
        <f t="shared" si="4"/>
        <v>Japan</v>
      </c>
      <c r="R17" s="46">
        <f t="shared" si="5"/>
        <v>0.92</v>
      </c>
      <c r="S17" s="46">
        <f t="shared" si="6"/>
        <v>0.02</v>
      </c>
      <c r="T17" s="46">
        <f t="shared" si="7"/>
        <v>0</v>
      </c>
      <c r="U17" s="46">
        <f t="shared" si="8"/>
        <v>0</v>
      </c>
      <c r="V17" s="46">
        <f t="shared" si="9"/>
        <v>0</v>
      </c>
      <c r="Y17" s="18" t="str">
        <f>'2 — IC Universe Table'!B18</f>
        <v>INTU-US</v>
      </c>
      <c r="Z17" s="18" t="str">
        <f>'2 — IC Universe Table'!C18</f>
        <v>Intuit Inc.</v>
      </c>
      <c r="AA17" s="45" t="str">
        <f t="array" ref="AA17:AE17">TRANSPOSE(_xll.FDS(Y17,"String_array Name= TRANSPOSE(TRANSPOSE(SA_SUBARRAY(FR_RBICS_REV_MATRIX_CURRENT(""IND""),1,9))[13:13]);float_array pct=TRANSPOSE(TRANSPOSE(SA_SUBARRAY(FR_RBICS_REV_MATRIX_CURRENT(""IND""),1,9))[14:14]);SORT_INDIRECT(Name,pct,2)[0:4]"))</f>
        <v>Enterprise Resource Planning Software</v>
      </c>
      <c r="AB17" s="45" t="str">
        <v>Productivity Software</v>
      </c>
      <c r="AC17" s="45" t="str">
        <v>Accounting, Tax Preparers and Bookkeeping Services</v>
      </c>
      <c r="AD17" s="45" t="e">
        <v>#N/A</v>
      </c>
      <c r="AE17" s="45" t="e">
        <v>#N/A</v>
      </c>
      <c r="AF17" s="45" t="str">
        <f t="array" ref="AF17:AJ17">TRANSPOSE(_xll.FDS(Y17,"String_array Name= TRANSPOSE(TRANSPOSE(SA_SUBARRAY(FR_RBICS_REV_MATRIX_CURRENT(""IND""),1,9))[14:14]);float_array pct=TRANSPOSE(TRANSPOSE(SA_SUBARRAY(FR_RBICS_REV_MATRIX_CURRENT(""IND""),1,9))[14:14]);SORT_INDIRECT(Name,pct,2)[0:4]"))</f>
        <v>58.823217</v>
      </c>
      <c r="AG17" s="47" t="str">
        <v>37.879029</v>
      </c>
      <c r="AH17" s="47" t="str">
        <v>3.297754</v>
      </c>
      <c r="AI17" s="47" t="e">
        <v>#N/A</v>
      </c>
      <c r="AJ17" s="47" t="e">
        <v>#N/A</v>
      </c>
      <c r="AK17" s="42" t="str">
        <f t="shared" si="10"/>
        <v>Enterprise Resource Planning Software</v>
      </c>
      <c r="AL17" s="45" t="str">
        <f t="shared" si="11"/>
        <v>Productivity Software</v>
      </c>
      <c r="AM17" s="45" t="str">
        <f t="shared" si="12"/>
        <v>Accounting, Tax Preparers and Bookkeeping Services</v>
      </c>
      <c r="AN17" s="45" t="str">
        <f t="shared" si="13"/>
        <v/>
      </c>
      <c r="AO17" s="45" t="str">
        <f t="shared" si="14"/>
        <v/>
      </c>
      <c r="AP17" s="46">
        <f t="shared" si="15"/>
        <v>0.59</v>
      </c>
      <c r="AQ17" s="46">
        <f t="shared" si="16"/>
        <v>0.38</v>
      </c>
      <c r="AR17" s="46">
        <f t="shared" si="17"/>
        <v>0.03</v>
      </c>
      <c r="AS17" s="46" t="str">
        <f t="shared" si="18"/>
        <v/>
      </c>
      <c r="AT17" s="46" t="str">
        <f t="shared" si="19"/>
        <v/>
      </c>
    </row>
    <row r="18" spans="1:46" ht="15" customHeight="1" x14ac:dyDescent="0.25">
      <c r="A18" s="18" t="str">
        <f>'2 — IC Universe Table'!B19</f>
        <v>AVPT-US</v>
      </c>
      <c r="B18" s="18" t="str">
        <f>'2 — IC Universe Table'!C19</f>
        <v>AvePoint, Inc. Class A</v>
      </c>
      <c r="C18" s="45" t="str">
        <f t="array" ref="C18:G18">TRANSPOSE(_xll.FDS(A18,"TRANSPOSE(TRANSPOSE(FF_GEOREV_COUNTRY_REV_PCT_MATRIX)[1:1])[0:4]"))</f>
        <v>United States</v>
      </c>
      <c r="D18" s="45" t="str">
        <v>Singapore</v>
      </c>
      <c r="E18" s="45" t="str">
        <v>Germany</v>
      </c>
      <c r="F18" s="45" t="str">
        <v>Mainland China</v>
      </c>
      <c r="G18" s="45" t="str">
        <v>United Kingdom</v>
      </c>
      <c r="H18" s="46" t="str">
        <f t="array" ref="H18:L18">TRANSPOSE(_xll.FDS(A18,"TRANSPOSE(TRANSPOSE(FF_GEOREV_COUNTRY_REV_PCT_MATRIX)[2:2])[0:4]"))</f>
        <v>40.936572</v>
      </c>
      <c r="I18" s="47" t="str">
        <v>13.045491</v>
      </c>
      <c r="J18" s="47" t="str">
        <v>12.637602</v>
      </c>
      <c r="K18" s="47" t="str">
        <v>8.161202</v>
      </c>
      <c r="L18" s="47" t="str">
        <v>1.997248</v>
      </c>
      <c r="M18" s="42" t="str">
        <f t="shared" si="0"/>
        <v>United States</v>
      </c>
      <c r="N18" s="45" t="str">
        <f t="shared" si="1"/>
        <v>Singapore</v>
      </c>
      <c r="O18" s="45" t="str">
        <f t="shared" si="2"/>
        <v>Germany</v>
      </c>
      <c r="P18" s="45" t="str">
        <f t="shared" si="3"/>
        <v>Mainland China</v>
      </c>
      <c r="Q18" s="45" t="str">
        <f t="shared" si="4"/>
        <v>United Kingdom</v>
      </c>
      <c r="R18" s="46">
        <f t="shared" si="5"/>
        <v>0.41</v>
      </c>
      <c r="S18" s="46">
        <f t="shared" si="6"/>
        <v>0.13</v>
      </c>
      <c r="T18" s="46">
        <f t="shared" si="7"/>
        <v>0.13</v>
      </c>
      <c r="U18" s="46">
        <f t="shared" si="8"/>
        <v>0.08</v>
      </c>
      <c r="V18" s="46">
        <f t="shared" si="9"/>
        <v>0.02</v>
      </c>
      <c r="Y18" s="18" t="str">
        <f>'2 — IC Universe Table'!B19</f>
        <v>AVPT-US</v>
      </c>
      <c r="Z18" s="18" t="str">
        <f>'2 — IC Universe Table'!C19</f>
        <v>AvePoint, Inc. Class A</v>
      </c>
      <c r="AA18" s="45" t="str">
        <f t="array" ref="AA18:AE18">TRANSPOSE(_xll.FDS(Y18,"String_array Name= TRANSPOSE(TRANSPOSE(SA_SUBARRAY(FR_RBICS_REV_MATRIX_CURRENT(""IND""),1,9))[13:13]);float_array pct=TRANSPOSE(TRANSPOSE(SA_SUBARRAY(FR_RBICS_REV_MATRIX_CURRENT(""IND""),1,9))[14:14]);SORT_INDIRECT(Name,pct,2)[0:4]"))</f>
        <v>Data Storage Infrastructure Software</v>
      </c>
      <c r="AB18" s="45" t="str">
        <v>Software Design and Engineering Consulting</v>
      </c>
      <c r="AC18" s="45" t="e">
        <v>#N/A</v>
      </c>
      <c r="AD18" s="45" t="e">
        <v>#N/A</v>
      </c>
      <c r="AE18" s="45" t="e">
        <v>#N/A</v>
      </c>
      <c r="AF18" s="45" t="str">
        <f t="array" ref="AF18:AJ18">TRANSPOSE(_xll.FDS(Y18,"String_array Name= TRANSPOSE(TRANSPOSE(SA_SUBARRAY(FR_RBICS_REV_MATRIX_CURRENT(""IND""),1,9))[14:14]);float_array pct=TRANSPOSE(TRANSPOSE(SA_SUBARRAY(FR_RBICS_REV_MATRIX_CURRENT(""IND""),1,9))[14:14]);SORT_INDIRECT(Name,pct,2)[0:4]"))</f>
        <v>86.675220</v>
      </c>
      <c r="AG18" s="47" t="str">
        <v>13.324780</v>
      </c>
      <c r="AH18" s="47" t="e">
        <v>#N/A</v>
      </c>
      <c r="AI18" s="47" t="e">
        <v>#N/A</v>
      </c>
      <c r="AJ18" s="47" t="e">
        <v>#N/A</v>
      </c>
      <c r="AK18" s="42" t="str">
        <f t="shared" si="10"/>
        <v>Data Storage Infrastructure Software</v>
      </c>
      <c r="AL18" s="45" t="str">
        <f t="shared" si="11"/>
        <v>Software Design and Engineering Consulting</v>
      </c>
      <c r="AM18" s="45" t="str">
        <f t="shared" si="12"/>
        <v/>
      </c>
      <c r="AN18" s="45" t="str">
        <f t="shared" si="13"/>
        <v/>
      </c>
      <c r="AO18" s="45" t="str">
        <f t="shared" si="14"/>
        <v/>
      </c>
      <c r="AP18" s="46">
        <f t="shared" si="15"/>
        <v>0.87</v>
      </c>
      <c r="AQ18" s="46">
        <f t="shared" si="16"/>
        <v>0.13</v>
      </c>
      <c r="AR18" s="46" t="str">
        <f t="shared" si="17"/>
        <v/>
      </c>
      <c r="AS18" s="46" t="str">
        <f t="shared" si="18"/>
        <v/>
      </c>
      <c r="AT18" s="46" t="str">
        <f t="shared" si="19"/>
        <v/>
      </c>
    </row>
    <row r="19" spans="1:46" ht="15" customHeight="1" x14ac:dyDescent="0.25">
      <c r="A19" s="18" t="str">
        <f>'2 — IC Universe Table'!B20</f>
        <v>ADSK-US</v>
      </c>
      <c r="B19" s="18" t="str">
        <f>'2 — IC Universe Table'!C20</f>
        <v>Autodesk, Inc.</v>
      </c>
      <c r="C19" s="45" t="str">
        <f t="array" ref="C19:G19">TRANSPOSE(_xll.FDS(A19,"TRANSPOSE(TRANSPOSE(FF_GEOREV_COUNTRY_REV_PCT_MATRIX)[1:1])[0:4]"))</f>
        <v>United States</v>
      </c>
      <c r="D19" s="45" t="str">
        <v>Mainland China</v>
      </c>
      <c r="E19" s="45" t="str">
        <v>Japan</v>
      </c>
      <c r="F19" s="45" t="str">
        <v>India</v>
      </c>
      <c r="G19" s="45" t="str">
        <v>Germany</v>
      </c>
      <c r="H19" s="46" t="str">
        <f t="array" ref="H19:L19">TRANSPOSE(_xll.FDS(A19,"TRANSPOSE(TRANSPOSE(FF_GEOREV_COUNTRY_REV_PCT_MATRIX)[2:2])[0:4]"))</f>
        <v>36.339912</v>
      </c>
      <c r="I19" s="47" t="str">
        <v>3.202995</v>
      </c>
      <c r="J19" s="47" t="str">
        <v>2.855317</v>
      </c>
      <c r="K19" s="47" t="str">
        <v>2.734837</v>
      </c>
      <c r="L19" s="47" t="str">
        <v>2.661568</v>
      </c>
      <c r="M19" s="42" t="str">
        <f t="shared" si="0"/>
        <v>United States</v>
      </c>
      <c r="N19" s="45" t="str">
        <f t="shared" si="1"/>
        <v>Mainland China</v>
      </c>
      <c r="O19" s="45" t="str">
        <f t="shared" si="2"/>
        <v>Japan</v>
      </c>
      <c r="P19" s="45" t="str">
        <f t="shared" si="3"/>
        <v>India</v>
      </c>
      <c r="Q19" s="45" t="str">
        <f t="shared" si="4"/>
        <v>Germany</v>
      </c>
      <c r="R19" s="46">
        <f t="shared" si="5"/>
        <v>0.36</v>
      </c>
      <c r="S19" s="46">
        <f t="shared" si="6"/>
        <v>0.03</v>
      </c>
      <c r="T19" s="46">
        <f t="shared" si="7"/>
        <v>0.03</v>
      </c>
      <c r="U19" s="46">
        <f t="shared" si="8"/>
        <v>0.03</v>
      </c>
      <c r="V19" s="46">
        <f t="shared" si="9"/>
        <v>0.03</v>
      </c>
      <c r="Y19" s="18" t="str">
        <f>'2 — IC Universe Table'!B20</f>
        <v>ADSK-US</v>
      </c>
      <c r="Z19" s="18" t="str">
        <f>'2 — IC Universe Table'!C20</f>
        <v>Autodesk, Inc.</v>
      </c>
      <c r="AA19" s="45" t="str">
        <f t="array" ref="AA19:AE19">TRANSPOSE(_xll.FDS(Y19,"String_array Name= TRANSPOSE(TRANSPOSE(SA_SUBARRAY(FR_RBICS_REV_MATRIX_CURRENT(""IND""),1,9))[13:13]);float_array pct=TRANSPOSE(TRANSPOSE(SA_SUBARRAY(FR_RBICS_REV_MATRIX_CURRENT(""IND""),1,9))[14:14]);SORT_INDIRECT(Name,pct,2)[0:4]"))</f>
        <v>Computer Aided Design Software</v>
      </c>
      <c r="AB19" s="45" t="str">
        <v>Specialized Design and Engineering Software</v>
      </c>
      <c r="AC19" s="45" t="str">
        <v>Other Design and Engineering Software</v>
      </c>
      <c r="AD19" s="45" t="e">
        <v>#N/A</v>
      </c>
      <c r="AE19" s="45" t="e">
        <v>#N/A</v>
      </c>
      <c r="AF19" s="45" t="str">
        <f t="array" ref="AF19:AJ19">TRANSPOSE(_xll.FDS(Y19,"String_array Name= TRANSPOSE(TRANSPOSE(SA_SUBARRAY(FR_RBICS_REV_MATRIX_CURRENT(""IND""),1,9))[14:14]);float_array pct=TRANSPOSE(TRANSPOSE(SA_SUBARRAY(FR_RBICS_REV_MATRIX_CURRENT(""IND""),1,9))[14:14]);SORT_INDIRECT(Name,pct,2)[0:4]"))</f>
        <v>92.937531</v>
      </c>
      <c r="AG19" s="47" t="str">
        <v>5.137824</v>
      </c>
      <c r="AH19" s="47" t="str">
        <v>1.924645</v>
      </c>
      <c r="AI19" s="47" t="e">
        <v>#N/A</v>
      </c>
      <c r="AJ19" s="47" t="e">
        <v>#N/A</v>
      </c>
      <c r="AK19" s="42" t="str">
        <f t="shared" si="10"/>
        <v>Computer Aided Design Software</v>
      </c>
      <c r="AL19" s="45" t="str">
        <f t="shared" si="11"/>
        <v>Specialized Design and Engineering Software</v>
      </c>
      <c r="AM19" s="45" t="str">
        <f t="shared" si="12"/>
        <v>Other Design and Engineering Software</v>
      </c>
      <c r="AN19" s="45" t="str">
        <f t="shared" si="13"/>
        <v/>
      </c>
      <c r="AO19" s="45" t="str">
        <f t="shared" si="14"/>
        <v/>
      </c>
      <c r="AP19" s="46">
        <f t="shared" si="15"/>
        <v>0.93</v>
      </c>
      <c r="AQ19" s="46">
        <f t="shared" si="16"/>
        <v>0.05</v>
      </c>
      <c r="AR19" s="46">
        <f t="shared" si="17"/>
        <v>0.02</v>
      </c>
      <c r="AS19" s="46" t="str">
        <f t="shared" si="18"/>
        <v/>
      </c>
      <c r="AT19" s="46" t="str">
        <f t="shared" si="19"/>
        <v/>
      </c>
    </row>
    <row r="20" spans="1:46" ht="15" customHeight="1" x14ac:dyDescent="0.25">
      <c r="A20" s="18" t="str">
        <f>'2 — IC Universe Table'!B21</f>
        <v>ESTC-US</v>
      </c>
      <c r="B20" s="18" t="str">
        <f>'2 — IC Universe Table'!C21</f>
        <v>Elastic NV</v>
      </c>
      <c r="C20" s="45" t="str">
        <f t="array" ref="C20:G20">TRANSPOSE(_xll.FDS(A20,"TRANSPOSE(TRANSPOSE(FF_GEOREV_COUNTRY_REV_PCT_MATRIX)[1:1])[0:4]"))</f>
        <v>United States</v>
      </c>
      <c r="D20" s="45" t="str">
        <v>Mainland China</v>
      </c>
      <c r="E20" s="45" t="str">
        <v>Germany</v>
      </c>
      <c r="F20" s="45" t="str">
        <v>Japan</v>
      </c>
      <c r="G20" s="45" t="str">
        <v>India</v>
      </c>
      <c r="H20" s="46" t="str">
        <f t="array" ref="H20:L20">TRANSPOSE(_xll.FDS(A20,"TRANSPOSE(TRANSPOSE(FF_GEOREV_COUNTRY_REV_PCT_MATRIX)[2:2])[0:4]"))</f>
        <v>56.376205</v>
      </c>
      <c r="I20" s="47" t="str">
        <v>10.020736</v>
      </c>
      <c r="J20" s="47" t="str">
        <v>2.489963</v>
      </c>
      <c r="K20" s="47" t="str">
        <v>2.151994</v>
      </c>
      <c r="L20" s="47" t="str">
        <v>2.089397</v>
      </c>
      <c r="M20" s="42" t="str">
        <f t="shared" si="0"/>
        <v>United States</v>
      </c>
      <c r="N20" s="45" t="str">
        <f t="shared" si="1"/>
        <v>Mainland China</v>
      </c>
      <c r="O20" s="45" t="str">
        <f t="shared" si="2"/>
        <v>Germany</v>
      </c>
      <c r="P20" s="45" t="str">
        <f t="shared" si="3"/>
        <v>Japan</v>
      </c>
      <c r="Q20" s="45" t="str">
        <f t="shared" si="4"/>
        <v>India</v>
      </c>
      <c r="R20" s="46">
        <f t="shared" si="5"/>
        <v>0.56000000000000005</v>
      </c>
      <c r="S20" s="46">
        <f t="shared" si="6"/>
        <v>0.1</v>
      </c>
      <c r="T20" s="46">
        <f t="shared" si="7"/>
        <v>0.02</v>
      </c>
      <c r="U20" s="46">
        <f t="shared" si="8"/>
        <v>0.02</v>
      </c>
      <c r="V20" s="46">
        <f t="shared" si="9"/>
        <v>0.02</v>
      </c>
      <c r="Y20" s="18" t="str">
        <f>'2 — IC Universe Table'!B21</f>
        <v>ESTC-US</v>
      </c>
      <c r="Z20" s="18" t="str">
        <f>'2 — IC Universe Table'!C21</f>
        <v>Elastic NV</v>
      </c>
      <c r="AA20" s="45" t="str">
        <f t="array" ref="AA20:AE20">TRANSPOSE(_xll.FDS(Y20,"String_array Name= TRANSPOSE(TRANSPOSE(SA_SUBARRAY(FR_RBICS_REV_MATRIX_CURRENT(""IND""),1,9))[13:13]);float_array pct=TRANSPOSE(TRANSPOSE(SA_SUBARRAY(FR_RBICS_REV_MATRIX_CURRENT(""IND""),1,9))[14:14]);SORT_INDIRECT(Name,pct,2)[0:4]"))</f>
        <v>Business Intelligence Software</v>
      </c>
      <c r="AB20" s="45" t="e">
        <v>#N/A</v>
      </c>
      <c r="AC20" s="45" t="e">
        <v>#N/A</v>
      </c>
      <c r="AD20" s="45" t="e">
        <v>#N/A</v>
      </c>
      <c r="AE20" s="45" t="e">
        <v>#N/A</v>
      </c>
      <c r="AF20" s="45" t="str">
        <f t="array" ref="AF20:AJ20">TRANSPOSE(_xll.FDS(Y20,"String_array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20" s="47" t="e">
        <v>#N/A</v>
      </c>
      <c r="AH20" s="47" t="e">
        <v>#N/A</v>
      </c>
      <c r="AI20" s="47" t="e">
        <v>#N/A</v>
      </c>
      <c r="AJ20" s="47" t="e">
        <v>#N/A</v>
      </c>
      <c r="AK20" s="42" t="str">
        <f t="shared" si="10"/>
        <v>Business Intelligence Software</v>
      </c>
      <c r="AL20" s="45" t="str">
        <f t="shared" si="11"/>
        <v/>
      </c>
      <c r="AM20" s="45" t="str">
        <f t="shared" si="12"/>
        <v/>
      </c>
      <c r="AN20" s="45" t="str">
        <f t="shared" si="13"/>
        <v/>
      </c>
      <c r="AO20" s="45" t="str">
        <f t="shared" si="14"/>
        <v/>
      </c>
      <c r="AP20" s="46">
        <f t="shared" si="15"/>
        <v>1</v>
      </c>
      <c r="AQ20" s="46" t="str">
        <f t="shared" si="16"/>
        <v/>
      </c>
      <c r="AR20" s="46" t="str">
        <f t="shared" si="17"/>
        <v/>
      </c>
      <c r="AS20" s="46" t="str">
        <f t="shared" si="18"/>
        <v/>
      </c>
      <c r="AT20" s="46" t="str">
        <f t="shared" si="19"/>
        <v/>
      </c>
    </row>
    <row r="21" spans="1:46" ht="15" customHeight="1" x14ac:dyDescent="0.25">
      <c r="A21" s="18" t="str">
        <f>'2 — IC Universe Table'!B22</f>
        <v>FTNT-US</v>
      </c>
      <c r="B21" s="18" t="str">
        <f>'2 — IC Universe Table'!C22</f>
        <v>Fortinet, Inc.</v>
      </c>
      <c r="C21" s="45" t="str">
        <f t="array" ref="C21:G21">TRANSPOSE(_xll.FDS(A21,"TRANSPOSE(TRANSPOSE(FF_GEOREV_COUNTRY_REV_PCT_MATRIX)[1:1])[0:4]"))</f>
        <v>United States</v>
      </c>
      <c r="D21" s="45" t="str">
        <v>Mainland China</v>
      </c>
      <c r="E21" s="45" t="str">
        <v>Japan</v>
      </c>
      <c r="F21" s="45" t="str">
        <v>Germany</v>
      </c>
      <c r="G21" s="45" t="str">
        <v>India</v>
      </c>
      <c r="H21" s="46" t="str">
        <f t="array" ref="H21:L21">TRANSPOSE(_xll.FDS(A21,"TRANSPOSE(TRANSPOSE(FF_GEOREV_COUNTRY_REV_PCT_MATRIX)[2:2])[0:4]"))</f>
        <v>29.868364</v>
      </c>
      <c r="I21" s="47" t="str">
        <v>3.325189</v>
      </c>
      <c r="J21" s="47" t="str">
        <v>2.964247</v>
      </c>
      <c r="K21" s="47" t="str">
        <v>2.845799</v>
      </c>
      <c r="L21" s="47" t="str">
        <v>2.839171</v>
      </c>
      <c r="M21" s="42" t="str">
        <f t="shared" si="0"/>
        <v>United States</v>
      </c>
      <c r="N21" s="45" t="str">
        <f t="shared" si="1"/>
        <v>Mainland China</v>
      </c>
      <c r="O21" s="45" t="str">
        <f t="shared" si="2"/>
        <v>Japan</v>
      </c>
      <c r="P21" s="45" t="str">
        <f t="shared" si="3"/>
        <v>Germany</v>
      </c>
      <c r="Q21" s="45" t="str">
        <f t="shared" si="4"/>
        <v>India</v>
      </c>
      <c r="R21" s="46">
        <f t="shared" si="5"/>
        <v>0.3</v>
      </c>
      <c r="S21" s="46">
        <f t="shared" si="6"/>
        <v>0.03</v>
      </c>
      <c r="T21" s="46">
        <f t="shared" si="7"/>
        <v>0.03</v>
      </c>
      <c r="U21" s="46">
        <f t="shared" si="8"/>
        <v>0.03</v>
      </c>
      <c r="V21" s="46">
        <f t="shared" si="9"/>
        <v>0.03</v>
      </c>
      <c r="Y21" s="18" t="str">
        <f>'2 — IC Universe Table'!B22</f>
        <v>FTNT-US</v>
      </c>
      <c r="Z21" s="18" t="str">
        <f>'2 — IC Universe Table'!C22</f>
        <v>Fortinet, Inc.</v>
      </c>
      <c r="AA21" s="45" t="str">
        <f t="array" ref="AA21:AE21">TRANSPOSE(_xll.FDS(Y21,"String_array Name= TRANSPOSE(TRANSPOSE(SA_SUBARRAY(FR_RBICS_REV_MATRIX_CURRENT(""IND""),1,9))[13:13]);float_array pct=TRANSPOSE(TRANSPOSE(SA_SUBARRAY(FR_RBICS_REV_MATRIX_CURRENT(""IND""),1,9))[14:14]);SORT_INDIRECT(Name,pct,2)[0:4]"))</f>
        <v>Network Infrastructure Software</v>
      </c>
      <c r="AB21" s="45" t="str">
        <v>Customer Premises Network Security Equipment</v>
      </c>
      <c r="AC21" s="45" t="e">
        <v>#N/A</v>
      </c>
      <c r="AD21" s="45" t="e">
        <v>#N/A</v>
      </c>
      <c r="AE21" s="45" t="e">
        <v>#N/A</v>
      </c>
      <c r="AF21" s="45" t="str">
        <f t="array" ref="AF21:AJ21">TRANSPOSE(_xll.FDS(Y21,"String_array Name= TRANSPOSE(TRANSPOSE(SA_SUBARRAY(FR_RBICS_REV_MATRIX_CURRENT(""IND""),1,9))[14:14]);float_array pct=TRANSPOSE(TRANSPOSE(SA_SUBARRAY(FR_RBICS_REV_MATRIX_CURRENT(""IND""),1,9))[14:14]);SORT_INDIRECT(Name,pct,2)[0:4]"))</f>
        <v>67.952248</v>
      </c>
      <c r="AG21" s="47" t="str">
        <v>32.047752</v>
      </c>
      <c r="AH21" s="47" t="e">
        <v>#N/A</v>
      </c>
      <c r="AI21" s="47" t="e">
        <v>#N/A</v>
      </c>
      <c r="AJ21" s="47" t="e">
        <v>#N/A</v>
      </c>
      <c r="AK21" s="42" t="str">
        <f t="shared" si="10"/>
        <v>Network Infrastructure Software</v>
      </c>
      <c r="AL21" s="45" t="str">
        <f t="shared" si="11"/>
        <v>Customer Premises Network Security Equipment</v>
      </c>
      <c r="AM21" s="45" t="str">
        <f t="shared" si="12"/>
        <v/>
      </c>
      <c r="AN21" s="45" t="str">
        <f t="shared" si="13"/>
        <v/>
      </c>
      <c r="AO21" s="45" t="str">
        <f t="shared" si="14"/>
        <v/>
      </c>
      <c r="AP21" s="46">
        <f t="shared" si="15"/>
        <v>0.68</v>
      </c>
      <c r="AQ21" s="46">
        <f t="shared" si="16"/>
        <v>0.32</v>
      </c>
      <c r="AR21" s="46" t="str">
        <f t="shared" si="17"/>
        <v/>
      </c>
      <c r="AS21" s="46" t="str">
        <f t="shared" si="18"/>
        <v/>
      </c>
      <c r="AT21" s="46" t="str">
        <f t="shared" si="19"/>
        <v/>
      </c>
    </row>
    <row r="22" spans="1:46" ht="15" customHeight="1" x14ac:dyDescent="0.25">
      <c r="A22" s="18" t="str">
        <f>'2 — IC Universe Table'!B23</f>
        <v>PAYC-US</v>
      </c>
      <c r="B22" s="18" t="str">
        <f>'2 — IC Universe Table'!C23</f>
        <v>Paycom Software, Inc.</v>
      </c>
      <c r="C22" s="45" t="str">
        <f t="array" ref="C22:G22">TRANSPOSE(_xll.FDS(A22,"TRANSPOSE(TRANSPOSE(FF_GEOREV_COUNTRY_REV_PCT_MATRIX)[1:1])[0:4]"))</f>
        <v>United States</v>
      </c>
      <c r="D22" s="45" t="e">
        <v>#N/A</v>
      </c>
      <c r="E22" s="45" t="e">
        <v>#N/A</v>
      </c>
      <c r="F22" s="45" t="e">
        <v>#N/A</v>
      </c>
      <c r="G22" s="45" t="e">
        <v>#N/A</v>
      </c>
      <c r="H22" s="46" t="str">
        <f t="array" ref="H22:L22">TRANSPOSE(_xll.FDS(A22,"TRANSPOSE(TRANSPOSE(FF_GEOREV_COUNTRY_REV_PCT_MATRIX)[2:2])[0:4]"))</f>
        <v>100</v>
      </c>
      <c r="I22" s="47" t="e">
        <v>#N/A</v>
      </c>
      <c r="J22" s="47" t="e">
        <v>#N/A</v>
      </c>
      <c r="K22" s="47" t="e">
        <v>#N/A</v>
      </c>
      <c r="L22" s="47" t="e">
        <v>#N/A</v>
      </c>
      <c r="M22" s="42" t="str">
        <f t="shared" si="0"/>
        <v>United States</v>
      </c>
      <c r="N22" s="45" t="str">
        <f t="shared" si="1"/>
        <v/>
      </c>
      <c r="O22" s="45" t="str">
        <f t="shared" si="2"/>
        <v/>
      </c>
      <c r="P22" s="45" t="str">
        <f t="shared" si="3"/>
        <v/>
      </c>
      <c r="Q22" s="45" t="str">
        <f t="shared" si="4"/>
        <v/>
      </c>
      <c r="R22" s="46">
        <f t="shared" si="5"/>
        <v>1</v>
      </c>
      <c r="S22" s="46" t="str">
        <f t="shared" si="6"/>
        <v/>
      </c>
      <c r="T22" s="46" t="str">
        <f t="shared" si="7"/>
        <v/>
      </c>
      <c r="U22" s="46" t="str">
        <f t="shared" si="8"/>
        <v/>
      </c>
      <c r="V22" s="46" t="str">
        <f t="shared" si="9"/>
        <v/>
      </c>
      <c r="Y22" s="18" t="str">
        <f>'2 — IC Universe Table'!B23</f>
        <v>PAYC-US</v>
      </c>
      <c r="Z22" s="18" t="str">
        <f>'2 — IC Universe Table'!C23</f>
        <v>Paycom Software, Inc.</v>
      </c>
      <c r="AA22" s="45" t="str">
        <f t="array" ref="AA22:AE22">TRANSPOSE(_xll.FDS(Y22,"String_array Name= TRANSPOSE(TRANSPOSE(SA_SUBARRAY(FR_RBICS_REV_MATRIX_CURRENT(""IND""),1,9))[13:13]);float_array pct=TRANSPOSE(TRANSPOSE(SA_SUBARRAY(FR_RBICS_REV_MATRIX_CURRENT(""IND""),1,9))[14:14]);SORT_INDIRECT(Name,pct,2)[0:4]"))</f>
        <v>Enterprise Resource Planning Software</v>
      </c>
      <c r="AB22" s="45" t="e">
        <v>#N/A</v>
      </c>
      <c r="AC22" s="45" t="e">
        <v>#N/A</v>
      </c>
      <c r="AD22" s="45" t="e">
        <v>#N/A</v>
      </c>
      <c r="AE22" s="45" t="e">
        <v>#N/A</v>
      </c>
      <c r="AF22" s="45" t="str">
        <f t="array" ref="AF22:AJ22">TRANSPOSE(_xll.FDS(Y22,"String_array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22" s="47" t="e">
        <v>#N/A</v>
      </c>
      <c r="AH22" s="47" t="e">
        <v>#N/A</v>
      </c>
      <c r="AI22" s="47" t="e">
        <v>#N/A</v>
      </c>
      <c r="AJ22" s="47" t="e">
        <v>#N/A</v>
      </c>
      <c r="AK22" s="42" t="str">
        <f t="shared" si="10"/>
        <v>Enterprise Resource Planning Software</v>
      </c>
      <c r="AL22" s="45" t="str">
        <f t="shared" si="11"/>
        <v/>
      </c>
      <c r="AM22" s="45" t="str">
        <f t="shared" si="12"/>
        <v/>
      </c>
      <c r="AN22" s="45" t="str">
        <f t="shared" si="13"/>
        <v/>
      </c>
      <c r="AO22" s="45" t="str">
        <f t="shared" si="14"/>
        <v/>
      </c>
      <c r="AP22" s="46">
        <f t="shared" si="15"/>
        <v>1</v>
      </c>
      <c r="AQ22" s="46" t="str">
        <f t="shared" si="16"/>
        <v/>
      </c>
      <c r="AR22" s="46" t="str">
        <f t="shared" si="17"/>
        <v/>
      </c>
      <c r="AS22" s="46" t="str">
        <f t="shared" si="18"/>
        <v/>
      </c>
      <c r="AT22" s="46" t="str">
        <f t="shared" si="19"/>
        <v/>
      </c>
    </row>
    <row r="23" spans="1:46" ht="15" customHeight="1" x14ac:dyDescent="0.25">
      <c r="A23" s="18" t="str">
        <f>'2 — IC Universe Table'!B24</f>
        <v>CRM-US</v>
      </c>
      <c r="B23" s="18" t="str">
        <f>'2 — IC Universe Table'!C24</f>
        <v>Salesforce, Inc.</v>
      </c>
      <c r="C23" s="45" t="str">
        <f t="array" ref="C23:G23">TRANSPOSE(_xll.FDS(A23,"TRANSPOSE(TRANSPOSE(FF_GEOREV_COUNTRY_REV_PCT_MATRIX)[1:1])[0:4]"))</f>
        <v>United States</v>
      </c>
      <c r="D23" s="45" t="str">
        <v>Mainland China</v>
      </c>
      <c r="E23" s="45" t="str">
        <v>Germany</v>
      </c>
      <c r="F23" s="45" t="str">
        <v>United Kingdom</v>
      </c>
      <c r="G23" s="45" t="str">
        <v>France</v>
      </c>
      <c r="H23" s="46" t="str">
        <f t="array" ref="H23:L23">TRANSPOSE(_xll.FDS(A23,"TRANSPOSE(TRANSPOSE(FF_GEOREV_COUNTRY_REV_PCT_MATRIX)[2:2])[0:4]"))</f>
        <v>61.704684</v>
      </c>
      <c r="I23" s="47" t="str">
        <v>5.520619</v>
      </c>
      <c r="J23" s="47" t="str">
        <v>5.080256</v>
      </c>
      <c r="K23" s="47" t="str">
        <v>3.86766</v>
      </c>
      <c r="L23" s="47" t="str">
        <v>3.463495</v>
      </c>
      <c r="M23" s="42" t="str">
        <f t="shared" si="0"/>
        <v>United States</v>
      </c>
      <c r="N23" s="45" t="str">
        <f t="shared" si="1"/>
        <v>Mainland China</v>
      </c>
      <c r="O23" s="45" t="str">
        <f t="shared" si="2"/>
        <v>Germany</v>
      </c>
      <c r="P23" s="45" t="str">
        <f t="shared" si="3"/>
        <v>United Kingdom</v>
      </c>
      <c r="Q23" s="45" t="str">
        <f t="shared" si="4"/>
        <v>France</v>
      </c>
      <c r="R23" s="46">
        <f t="shared" si="5"/>
        <v>0.62</v>
      </c>
      <c r="S23" s="46">
        <f t="shared" si="6"/>
        <v>0.06</v>
      </c>
      <c r="T23" s="46">
        <f t="shared" si="7"/>
        <v>0.05</v>
      </c>
      <c r="U23" s="46">
        <f t="shared" si="8"/>
        <v>0.04</v>
      </c>
      <c r="V23" s="46">
        <f t="shared" si="9"/>
        <v>0.03</v>
      </c>
      <c r="Y23" s="18" t="str">
        <f>'2 — IC Universe Table'!B24</f>
        <v>CRM-US</v>
      </c>
      <c r="Z23" s="18" t="str">
        <f>'2 — IC Universe Table'!C24</f>
        <v>Salesforce, Inc.</v>
      </c>
      <c r="AA23" s="45" t="str">
        <f t="array" ref="AA23:AE23">TRANSPOSE(_xll.FDS(Y23,"String_array Name= TRANSPOSE(TRANSPOSE(SA_SUBARRAY(FR_RBICS_REV_MATRIX_CURRENT(""IND""),1,9))[13:13]);float_array pct=TRANSPOSE(TRANSPOSE(SA_SUBARRAY(FR_RBICS_REV_MATRIX_CURRENT(""IND""),1,9))[14:14]);SORT_INDIRECT(Name,pct,2)[0:4]"))</f>
        <v>Customer Relationship Management Software</v>
      </c>
      <c r="AB23" s="45" t="str">
        <v>Specialized Design and Engineering Software</v>
      </c>
      <c r="AC23" s="45" t="e">
        <v>#N/A</v>
      </c>
      <c r="AD23" s="45" t="e">
        <v>#N/A</v>
      </c>
      <c r="AE23" s="45" t="e">
        <v>#N/A</v>
      </c>
      <c r="AF23" s="45" t="str">
        <f t="array" ref="AF23:AJ23">TRANSPOSE(_xll.FDS(Y23,"String_array Name= TRANSPOSE(TRANSPOSE(SA_SUBARRAY(FR_RBICS_REV_MATRIX_CURRENT(""IND""),1,9))[14:14]);float_array pct=TRANSPOSE(TRANSPOSE(SA_SUBARRAY(FR_RBICS_REV_MATRIX_CURRENT(""IND""),1,9))[14:14]);SORT_INDIRECT(Name,pct,2)[0:4]"))</f>
        <v>80.876105</v>
      </c>
      <c r="AG23" s="47" t="str">
        <v>19.123895</v>
      </c>
      <c r="AH23" s="47" t="e">
        <v>#N/A</v>
      </c>
      <c r="AI23" s="47" t="e">
        <v>#N/A</v>
      </c>
      <c r="AJ23" s="47" t="e">
        <v>#N/A</v>
      </c>
      <c r="AK23" s="42" t="str">
        <f t="shared" si="10"/>
        <v>Customer Relationship Management Software</v>
      </c>
      <c r="AL23" s="45" t="str">
        <f t="shared" si="11"/>
        <v>Specialized Design and Engineering Software</v>
      </c>
      <c r="AM23" s="45" t="str">
        <f t="shared" si="12"/>
        <v/>
      </c>
      <c r="AN23" s="45" t="str">
        <f t="shared" si="13"/>
        <v/>
      </c>
      <c r="AO23" s="45" t="str">
        <f t="shared" si="14"/>
        <v/>
      </c>
      <c r="AP23" s="46">
        <f t="shared" si="15"/>
        <v>0.81</v>
      </c>
      <c r="AQ23" s="46">
        <f t="shared" si="16"/>
        <v>0.19</v>
      </c>
      <c r="AR23" s="46" t="str">
        <f t="shared" si="17"/>
        <v/>
      </c>
      <c r="AS23" s="46" t="str">
        <f t="shared" si="18"/>
        <v/>
      </c>
      <c r="AT23" s="46" t="str">
        <f t="shared" si="19"/>
        <v/>
      </c>
    </row>
    <row r="24" spans="1:46" ht="15" customHeight="1" x14ac:dyDescent="0.25">
      <c r="A24" s="18" t="str">
        <f>'2 — IC Universe Table'!B25</f>
        <v>BL-US</v>
      </c>
      <c r="B24" s="18" t="str">
        <f>'2 — IC Universe Table'!C25</f>
        <v>BlackLine, Inc.</v>
      </c>
      <c r="C24" s="45" t="str">
        <f t="array" ref="C24:G24">TRANSPOSE(_xll.FDS(A24,"TRANSPOSE(TRANSPOSE(FF_GEOREV_COUNTRY_REV_PCT_MATRIX)[1:1])[0:4]"))</f>
        <v>United States</v>
      </c>
      <c r="D24" s="45" t="str">
        <v>Mainland China</v>
      </c>
      <c r="E24" s="45" t="str">
        <v>Germany</v>
      </c>
      <c r="F24" s="45" t="str">
        <v>Japan</v>
      </c>
      <c r="G24" s="45" t="str">
        <v>India</v>
      </c>
      <c r="H24" s="46" t="str">
        <f t="array" ref="H24:L24">TRANSPOSE(_xll.FDS(A24,"TRANSPOSE(TRANSPOSE(FF_GEOREV_COUNTRY_REV_PCT_MATRIX)[2:2])[0:4]"))</f>
        <v>70.094867</v>
      </c>
      <c r="I24" s="47" t="str">
        <v>6.846051</v>
      </c>
      <c r="J24" s="47" t="str">
        <v>1.695977</v>
      </c>
      <c r="K24" s="47" t="str">
        <v>1.518422</v>
      </c>
      <c r="L24" s="47" t="str">
        <v>1.454352</v>
      </c>
      <c r="M24" s="42" t="str">
        <f t="shared" si="0"/>
        <v>United States</v>
      </c>
      <c r="N24" s="45" t="str">
        <f t="shared" si="1"/>
        <v>Mainland China</v>
      </c>
      <c r="O24" s="45" t="str">
        <f t="shared" si="2"/>
        <v>Germany</v>
      </c>
      <c r="P24" s="45" t="str">
        <f t="shared" si="3"/>
        <v>Japan</v>
      </c>
      <c r="Q24" s="45" t="str">
        <f t="shared" si="4"/>
        <v>India</v>
      </c>
      <c r="R24" s="46">
        <f t="shared" si="5"/>
        <v>0.7</v>
      </c>
      <c r="S24" s="46">
        <f t="shared" si="6"/>
        <v>7.0000000000000007E-2</v>
      </c>
      <c r="T24" s="46">
        <f t="shared" si="7"/>
        <v>0.02</v>
      </c>
      <c r="U24" s="46">
        <f t="shared" si="8"/>
        <v>0.02</v>
      </c>
      <c r="V24" s="46">
        <f t="shared" si="9"/>
        <v>0.01</v>
      </c>
      <c r="Y24" s="18" t="str">
        <f>'2 — IC Universe Table'!B25</f>
        <v>BL-US</v>
      </c>
      <c r="Z24" s="18" t="str">
        <f>'2 — IC Universe Table'!C25</f>
        <v>BlackLine, Inc.</v>
      </c>
      <c r="AA24" s="45" t="str">
        <f t="array" ref="AA24:AE24">TRANSPOSE(_xll.FDS(Y24,"String_array Name= TRANSPOSE(TRANSPOSE(SA_SUBARRAY(FR_RBICS_REV_MATRIX_CURRENT(""IND""),1,9))[13:13]);float_array pct=TRANSPOSE(TRANSPOSE(SA_SUBARRAY(FR_RBICS_REV_MATRIX_CURRENT(""IND""),1,9))[14:14]);SORT_INDIRECT(Name,pct,2)[0:4]"))</f>
        <v>Enterprise Resource Planning Software</v>
      </c>
      <c r="AB24" s="45" t="e">
        <v>#N/A</v>
      </c>
      <c r="AC24" s="45" t="e">
        <v>#N/A</v>
      </c>
      <c r="AD24" s="45" t="e">
        <v>#N/A</v>
      </c>
      <c r="AE24" s="45" t="e">
        <v>#N/A</v>
      </c>
      <c r="AF24" s="45" t="str">
        <f t="array" ref="AF24:AJ24">TRANSPOSE(_xll.FDS(Y24,"String_array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24" s="47" t="e">
        <v>#N/A</v>
      </c>
      <c r="AH24" s="47" t="e">
        <v>#N/A</v>
      </c>
      <c r="AI24" s="47" t="e">
        <v>#N/A</v>
      </c>
      <c r="AJ24" s="47" t="e">
        <v>#N/A</v>
      </c>
      <c r="AK24" s="42" t="str">
        <f t="shared" si="10"/>
        <v>Enterprise Resource Planning Software</v>
      </c>
      <c r="AL24" s="45" t="str">
        <f t="shared" si="11"/>
        <v/>
      </c>
      <c r="AM24" s="45" t="str">
        <f t="shared" si="12"/>
        <v/>
      </c>
      <c r="AN24" s="45" t="str">
        <f t="shared" si="13"/>
        <v/>
      </c>
      <c r="AO24" s="45" t="str">
        <f t="shared" si="14"/>
        <v/>
      </c>
      <c r="AP24" s="46">
        <f t="shared" si="15"/>
        <v>1</v>
      </c>
      <c r="AQ24" s="46" t="str">
        <f t="shared" si="16"/>
        <v/>
      </c>
      <c r="AR24" s="46" t="str">
        <f t="shared" si="17"/>
        <v/>
      </c>
      <c r="AS24" s="46" t="str">
        <f t="shared" si="18"/>
        <v/>
      </c>
      <c r="AT24" s="46" t="str">
        <f t="shared" si="19"/>
        <v/>
      </c>
    </row>
    <row r="25" spans="1:46" ht="15" customHeight="1" x14ac:dyDescent="0.25">
      <c r="A25" s="18" t="str">
        <f>'2 — IC Universe Table'!B26</f>
        <v>PCOR-US</v>
      </c>
      <c r="B25" s="18" t="str">
        <f>'2 — IC Universe Table'!C26</f>
        <v>Procore Technologies Inc</v>
      </c>
      <c r="C25" s="45" t="str">
        <f t="array" ref="C25:G25">TRANSPOSE(_xll.FDS(A25,"TRANSPOSE(TRANSPOSE(FF_GEOREV_COUNTRY_REV_PCT_MATRIX)[1:1])[0:4]"))</f>
        <v>United States</v>
      </c>
      <c r="D25" s="45" t="str">
        <v>Mainland China</v>
      </c>
      <c r="E25" s="45" t="str">
        <v>Germany</v>
      </c>
      <c r="F25" s="45" t="str">
        <v>Japan</v>
      </c>
      <c r="G25" s="45" t="str">
        <v>India</v>
      </c>
      <c r="H25" s="46" t="str">
        <f t="array" ref="H25:L25">TRANSPOSE(_xll.FDS(A25,"TRANSPOSE(TRANSPOSE(FF_GEOREV_COUNTRY_REV_PCT_MATRIX)[2:2])[0:4]"))</f>
        <v>85.253293</v>
      </c>
      <c r="I25" s="47" t="str">
        <v>3.375899</v>
      </c>
      <c r="J25" s="47" t="str">
        <v>0.836314</v>
      </c>
      <c r="K25" s="47" t="str">
        <v>0.748758</v>
      </c>
      <c r="L25" s="47" t="str">
        <v>0.717165</v>
      </c>
      <c r="M25" s="42" t="str">
        <f t="shared" si="0"/>
        <v>United States</v>
      </c>
      <c r="N25" s="45" t="str">
        <f t="shared" si="1"/>
        <v>Mainland China</v>
      </c>
      <c r="O25" s="45" t="str">
        <f t="shared" si="2"/>
        <v>Germany</v>
      </c>
      <c r="P25" s="45" t="str">
        <f t="shared" si="3"/>
        <v>Japan</v>
      </c>
      <c r="Q25" s="45" t="str">
        <f t="shared" si="4"/>
        <v>India</v>
      </c>
      <c r="R25" s="46">
        <f t="shared" si="5"/>
        <v>0.85</v>
      </c>
      <c r="S25" s="46">
        <f t="shared" si="6"/>
        <v>0.03</v>
      </c>
      <c r="T25" s="46">
        <f t="shared" si="7"/>
        <v>0.01</v>
      </c>
      <c r="U25" s="46">
        <f t="shared" si="8"/>
        <v>0.01</v>
      </c>
      <c r="V25" s="46">
        <f t="shared" si="9"/>
        <v>0.01</v>
      </c>
      <c r="Y25" s="18" t="str">
        <f>'2 — IC Universe Table'!B26</f>
        <v>PCOR-US</v>
      </c>
      <c r="Z25" s="18" t="str">
        <f>'2 — IC Universe Table'!C26</f>
        <v>Procore Technologies Inc</v>
      </c>
      <c r="AA25" s="45" t="str">
        <f t="array" ref="AA25:AE25">TRANSPOSE(_xll.FDS(Y25,"String_array Name= TRANSPOSE(TRANSPOSE(SA_SUBARRAY(FR_RBICS_REV_MATRIX_CURRENT(""IND""),1,9))[13:13]);float_array pct=TRANSPOSE(TRANSPOSE(SA_SUBARRAY(FR_RBICS_REV_MATRIX_CURRENT(""IND""),1,9))[14:14]);SORT_INDIRECT(Name,pct,2)[0:4]"))</f>
        <v>Other Real Estate Investment and Services</v>
      </c>
      <c r="AB25" s="45" t="e">
        <v>#N/A</v>
      </c>
      <c r="AC25" s="45" t="e">
        <v>#N/A</v>
      </c>
      <c r="AD25" s="45" t="e">
        <v>#N/A</v>
      </c>
      <c r="AE25" s="45" t="e">
        <v>#N/A</v>
      </c>
      <c r="AF25" s="45" t="str">
        <f t="array" ref="AF25:AJ25">TRANSPOSE(_xll.FDS(Y25,"String_array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25" s="47" t="e">
        <v>#N/A</v>
      </c>
      <c r="AH25" s="47" t="e">
        <v>#N/A</v>
      </c>
      <c r="AI25" s="47" t="e">
        <v>#N/A</v>
      </c>
      <c r="AJ25" s="47" t="e">
        <v>#N/A</v>
      </c>
      <c r="AK25" s="42" t="str">
        <f t="shared" si="10"/>
        <v>Other Real Estate Investment and Services</v>
      </c>
      <c r="AL25" s="45" t="str">
        <f t="shared" si="11"/>
        <v/>
      </c>
      <c r="AM25" s="45" t="str">
        <f t="shared" si="12"/>
        <v/>
      </c>
      <c r="AN25" s="45" t="str">
        <f t="shared" si="13"/>
        <v/>
      </c>
      <c r="AO25" s="45" t="str">
        <f t="shared" si="14"/>
        <v/>
      </c>
      <c r="AP25" s="46">
        <f t="shared" si="15"/>
        <v>1</v>
      </c>
      <c r="AQ25" s="46" t="str">
        <f t="shared" si="16"/>
        <v/>
      </c>
      <c r="AR25" s="46" t="str">
        <f t="shared" si="17"/>
        <v/>
      </c>
      <c r="AS25" s="46" t="str">
        <f t="shared" si="18"/>
        <v/>
      </c>
      <c r="AT25" s="46" t="str">
        <f t="shared" si="19"/>
        <v/>
      </c>
    </row>
    <row r="26" spans="1:46" ht="15" customHeight="1" x14ac:dyDescent="0.25">
      <c r="A26" s="18" t="str">
        <f>'2 — IC Universe Table'!B27</f>
        <v>INTA-US</v>
      </c>
      <c r="B26" s="18" t="str">
        <f>'2 — IC Universe Table'!C27</f>
        <v>Intapp, Inc.</v>
      </c>
      <c r="C26" s="45" t="str">
        <f t="array" ref="C26:G26">TRANSPOSE(_xll.FDS(A26,"TRANSPOSE(TRANSPOSE(FF_GEOREV_COUNTRY_REV_PCT_MATRIX)[1:1])[0:4]"))</f>
        <v>United States</v>
      </c>
      <c r="D26" s="45" t="str">
        <v>United Kingdom</v>
      </c>
      <c r="E26" s="45" t="str">
        <v>Mainland China</v>
      </c>
      <c r="F26" s="45" t="str">
        <v>Germany</v>
      </c>
      <c r="G26" s="45" t="str">
        <v>India</v>
      </c>
      <c r="H26" s="46" t="str">
        <f t="array" ref="H26:L26">TRANSPOSE(_xll.FDS(A26,"TRANSPOSE(TRANSPOSE(FF_GEOREV_COUNTRY_REV_PCT_MATRIX)[2:2])[0:4]"))</f>
        <v>67.251844</v>
      </c>
      <c r="I26" s="47" t="str">
        <v>15.688527</v>
      </c>
      <c r="J26" s="47" t="str">
        <v>4.118527</v>
      </c>
      <c r="K26" s="47" t="str">
        <v>1.016114</v>
      </c>
      <c r="L26" s="47" t="str">
        <v>0.896662</v>
      </c>
      <c r="M26" s="42" t="str">
        <f t="shared" si="0"/>
        <v>United States</v>
      </c>
      <c r="N26" s="45" t="str">
        <f t="shared" si="1"/>
        <v>United Kingdom</v>
      </c>
      <c r="O26" s="45" t="str">
        <f t="shared" si="2"/>
        <v>Mainland China</v>
      </c>
      <c r="P26" s="45" t="str">
        <f t="shared" si="3"/>
        <v>Germany</v>
      </c>
      <c r="Q26" s="45" t="str">
        <f t="shared" si="4"/>
        <v>India</v>
      </c>
      <c r="R26" s="46">
        <f t="shared" si="5"/>
        <v>0.67</v>
      </c>
      <c r="S26" s="46">
        <f t="shared" si="6"/>
        <v>0.16</v>
      </c>
      <c r="T26" s="46">
        <f t="shared" si="7"/>
        <v>0.04</v>
      </c>
      <c r="U26" s="46">
        <f t="shared" si="8"/>
        <v>0.01</v>
      </c>
      <c r="V26" s="46">
        <f t="shared" si="9"/>
        <v>0.01</v>
      </c>
      <c r="Y26" s="18" t="str">
        <f>'2 — IC Universe Table'!B27</f>
        <v>INTA-US</v>
      </c>
      <c r="Z26" s="18" t="str">
        <f>'2 — IC Universe Table'!C27</f>
        <v>Intapp, Inc.</v>
      </c>
      <c r="AA26" s="45" t="str">
        <f t="array" ref="AA26:AE26">TRANSPOSE(_xll.FDS(Y26,"String_array Name= TRANSPOSE(TRANSPOSE(SA_SUBARRAY(FR_RBICS_REV_MATRIX_CURRENT(""IND""),1,9))[13:13]);float_array pct=TRANSPOSE(TRANSPOSE(SA_SUBARRAY(FR_RBICS_REV_MATRIX_CURRENT(""IND""),1,9))[14:14]);SORT_INDIRECT(Name,pct,2)[0:4]"))</f>
        <v>Finance Industry Software</v>
      </c>
      <c r="AB26" s="45" t="e">
        <v>#N/A</v>
      </c>
      <c r="AC26" s="45" t="e">
        <v>#N/A</v>
      </c>
      <c r="AD26" s="45" t="e">
        <v>#N/A</v>
      </c>
      <c r="AE26" s="45" t="e">
        <v>#N/A</v>
      </c>
      <c r="AF26" s="45" t="str">
        <f t="array" ref="AF26:AJ26">TRANSPOSE(_xll.FDS(Y26,"String_array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26" s="47" t="e">
        <v>#N/A</v>
      </c>
      <c r="AH26" s="47" t="e">
        <v>#N/A</v>
      </c>
      <c r="AI26" s="47" t="e">
        <v>#N/A</v>
      </c>
      <c r="AJ26" s="47" t="e">
        <v>#N/A</v>
      </c>
      <c r="AK26" s="42" t="str">
        <f t="shared" si="10"/>
        <v>Finance Industry Software</v>
      </c>
      <c r="AL26" s="45" t="str">
        <f t="shared" si="11"/>
        <v/>
      </c>
      <c r="AM26" s="45" t="str">
        <f t="shared" si="12"/>
        <v/>
      </c>
      <c r="AN26" s="45" t="str">
        <f t="shared" si="13"/>
        <v/>
      </c>
      <c r="AO26" s="45" t="str">
        <f t="shared" si="14"/>
        <v/>
      </c>
      <c r="AP26" s="46">
        <f t="shared" si="15"/>
        <v>1</v>
      </c>
      <c r="AQ26" s="46" t="str">
        <f t="shared" si="16"/>
        <v/>
      </c>
      <c r="AR26" s="46" t="str">
        <f t="shared" si="17"/>
        <v/>
      </c>
      <c r="AS26" s="46" t="str">
        <f t="shared" si="18"/>
        <v/>
      </c>
      <c r="AT26" s="46" t="str">
        <f t="shared" si="19"/>
        <v/>
      </c>
    </row>
    <row r="27" spans="1:46" ht="15" customHeight="1" x14ac:dyDescent="0.25">
      <c r="A27" s="18" t="str">
        <f>'2 — IC Universe Table'!B28</f>
        <v>ZS-US</v>
      </c>
      <c r="B27" s="18" t="str">
        <f>'2 — IC Universe Table'!C28</f>
        <v>Zscaler, Inc.</v>
      </c>
      <c r="C27" s="45" t="str">
        <f t="array" ref="C27:G27">TRANSPOSE(_xll.FDS(A27,"TRANSPOSE(TRANSPOSE(FF_GEOREV_COUNTRY_REV_PCT_MATRIX)[1:1])[0:4]"))</f>
        <v>United States</v>
      </c>
      <c r="D27" s="45" t="str">
        <v>Mainland China</v>
      </c>
      <c r="E27" s="45" t="str">
        <v>France</v>
      </c>
      <c r="F27" s="45" t="str">
        <v>India</v>
      </c>
      <c r="G27" s="45" t="str">
        <v>Japan</v>
      </c>
      <c r="H27" s="46" t="str">
        <f t="array" ref="H27:L27">TRANSPOSE(_xll.FDS(A27,"TRANSPOSE(TRANSPOSE(FF_GEOREV_COUNTRY_REV_PCT_MATRIX)[2:2])[0:4]"))</f>
        <v>50.851722</v>
      </c>
      <c r="I27" s="47" t="str">
        <v>2.932063</v>
      </c>
      <c r="J27" s="47" t="str">
        <v>2.588473</v>
      </c>
      <c r="K27" s="47" t="str">
        <v>2.475762</v>
      </c>
      <c r="L27" s="47" t="str">
        <v>2.475416</v>
      </c>
      <c r="M27" s="42" t="str">
        <f t="shared" si="0"/>
        <v>United States</v>
      </c>
      <c r="N27" s="45" t="str">
        <f t="shared" si="1"/>
        <v>Mainland China</v>
      </c>
      <c r="O27" s="45" t="str">
        <f t="shared" si="2"/>
        <v>France</v>
      </c>
      <c r="P27" s="45" t="str">
        <f t="shared" si="3"/>
        <v>India</v>
      </c>
      <c r="Q27" s="45" t="str">
        <f t="shared" si="4"/>
        <v>Japan</v>
      </c>
      <c r="R27" s="46">
        <f t="shared" si="5"/>
        <v>0.51</v>
      </c>
      <c r="S27" s="46">
        <f t="shared" si="6"/>
        <v>0.03</v>
      </c>
      <c r="T27" s="46">
        <f t="shared" si="7"/>
        <v>0.03</v>
      </c>
      <c r="U27" s="46">
        <f t="shared" si="8"/>
        <v>0.02</v>
      </c>
      <c r="V27" s="46">
        <f t="shared" si="9"/>
        <v>0.02</v>
      </c>
      <c r="Y27" s="18" t="str">
        <f>'2 — IC Universe Table'!B28</f>
        <v>ZS-US</v>
      </c>
      <c r="Z27" s="18" t="str">
        <f>'2 — IC Universe Table'!C28</f>
        <v>Zscaler, Inc.</v>
      </c>
      <c r="AA27" s="45" t="str">
        <f t="array" ref="AA27:AE27">TRANSPOSE(_xll.FDS(Y27,"String_array Name= TRANSPOSE(TRANSPOSE(SA_SUBARRAY(FR_RBICS_REV_MATRIX_CURRENT(""IND""),1,9))[13:13]);float_array pct=TRANSPOSE(TRANSPOSE(SA_SUBARRAY(FR_RBICS_REV_MATRIX_CURRENT(""IND""),1,9))[14:14]);SORT_INDIRECT(Name,pct,2)[0:4]"))</f>
        <v>Network Infrastructure Software</v>
      </c>
      <c r="AB27" s="45" t="e">
        <v>#N/A</v>
      </c>
      <c r="AC27" s="45" t="e">
        <v>#N/A</v>
      </c>
      <c r="AD27" s="45" t="e">
        <v>#N/A</v>
      </c>
      <c r="AE27" s="45" t="e">
        <v>#N/A</v>
      </c>
      <c r="AF27" s="45" t="str">
        <f t="array" ref="AF27:AJ27">TRANSPOSE(_xll.FDS(Y27,"String_array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27" s="47" t="e">
        <v>#N/A</v>
      </c>
      <c r="AH27" s="47" t="e">
        <v>#N/A</v>
      </c>
      <c r="AI27" s="47" t="e">
        <v>#N/A</v>
      </c>
      <c r="AJ27" s="47" t="e">
        <v>#N/A</v>
      </c>
      <c r="AK27" s="42" t="str">
        <f t="shared" si="10"/>
        <v>Network Infrastructure Software</v>
      </c>
      <c r="AL27" s="45" t="str">
        <f t="shared" si="11"/>
        <v/>
      </c>
      <c r="AM27" s="45" t="str">
        <f t="shared" si="12"/>
        <v/>
      </c>
      <c r="AN27" s="45" t="str">
        <f t="shared" si="13"/>
        <v/>
      </c>
      <c r="AO27" s="45" t="str">
        <f t="shared" si="14"/>
        <v/>
      </c>
      <c r="AP27" s="46">
        <f t="shared" si="15"/>
        <v>1</v>
      </c>
      <c r="AQ27" s="46" t="str">
        <f t="shared" si="16"/>
        <v/>
      </c>
      <c r="AR27" s="46" t="str">
        <f t="shared" si="17"/>
        <v/>
      </c>
      <c r="AS27" s="46" t="str">
        <f t="shared" si="18"/>
        <v/>
      </c>
      <c r="AT27" s="46" t="str">
        <f t="shared" si="19"/>
        <v/>
      </c>
    </row>
    <row r="28" spans="1:46" ht="15" customHeight="1" x14ac:dyDescent="0.25">
      <c r="A28" s="18" t="str">
        <f>'2 — IC Universe Table'!B29</f>
        <v>VEEV-US</v>
      </c>
      <c r="B28" s="18" t="str">
        <f>'2 — IC Universe Table'!C29</f>
        <v>Veeva Systems Inc Class A</v>
      </c>
      <c r="C28" s="45" t="str">
        <f t="array" ref="C28:G28">TRANSPOSE(_xll.FDS(A28,"TRANSPOSE(TRANSPOSE(FF_GEOREV_COUNTRY_REV_PCT_MATRIX)[1:1])[0:4]"))</f>
        <v>United States</v>
      </c>
      <c r="D28" s="45" t="str">
        <v>Canada</v>
      </c>
      <c r="E28" s="45" t="str">
        <v>Germany</v>
      </c>
      <c r="F28" s="45" t="str">
        <v>United Kingdom</v>
      </c>
      <c r="G28" s="45" t="str">
        <v>France</v>
      </c>
      <c r="H28" s="46" t="str">
        <f t="array" ref="H28:L28">TRANSPOSE(_xll.FDS(A28,"TRANSPOSE(TRANSPOSE(FF_GEOREV_COUNTRY_REV_PCT_MATRIX)[2:2])[0:4]"))</f>
        <v>50.935499</v>
      </c>
      <c r="I28" s="47" t="str">
        <v>8.107892</v>
      </c>
      <c r="J28" s="47" t="str">
        <v>4.140751</v>
      </c>
      <c r="K28" s="47" t="str">
        <v>3.152404</v>
      </c>
      <c r="L28" s="47" t="str">
        <v>2.822982</v>
      </c>
      <c r="M28" s="42" t="str">
        <f t="shared" si="0"/>
        <v>United States</v>
      </c>
      <c r="N28" s="45" t="str">
        <f t="shared" si="1"/>
        <v>Canada</v>
      </c>
      <c r="O28" s="45" t="str">
        <f t="shared" si="2"/>
        <v>Germany</v>
      </c>
      <c r="P28" s="45" t="str">
        <f t="shared" si="3"/>
        <v>United Kingdom</v>
      </c>
      <c r="Q28" s="45" t="str">
        <f t="shared" si="4"/>
        <v>France</v>
      </c>
      <c r="R28" s="46">
        <f t="shared" si="5"/>
        <v>0.51</v>
      </c>
      <c r="S28" s="46">
        <f t="shared" si="6"/>
        <v>0.08</v>
      </c>
      <c r="T28" s="46">
        <f t="shared" si="7"/>
        <v>0.04</v>
      </c>
      <c r="U28" s="46">
        <f t="shared" si="8"/>
        <v>0.03</v>
      </c>
      <c r="V28" s="46">
        <f t="shared" si="9"/>
        <v>0.03</v>
      </c>
      <c r="Y28" s="18" t="str">
        <f>'2 — IC Universe Table'!B29</f>
        <v>VEEV-US</v>
      </c>
      <c r="Z28" s="18" t="str">
        <f>'2 — IC Universe Table'!C29</f>
        <v>Veeva Systems Inc Class A</v>
      </c>
      <c r="AA28" s="45" t="str">
        <f t="array" ref="AA28:AE28">TRANSPOSE(_xll.FDS(Y28,"String_array Name= TRANSPOSE(TRANSPOSE(SA_SUBARRAY(FR_RBICS_REV_MATRIX_CURRENT(""IND""),1,9))[13:13]);float_array pct=TRANSPOSE(TRANSPOSE(SA_SUBARRAY(FR_RBICS_REV_MATRIX_CURRENT(""IND""),1,9))[14:14]);SORT_INDIRECT(Name,pct,2)[0:4]"))</f>
        <v>Healthcare and Pharma Industry Software</v>
      </c>
      <c r="AB28" s="45" t="e">
        <v>#N/A</v>
      </c>
      <c r="AC28" s="45" t="e">
        <v>#N/A</v>
      </c>
      <c r="AD28" s="45" t="e">
        <v>#N/A</v>
      </c>
      <c r="AE28" s="45" t="e">
        <v>#N/A</v>
      </c>
      <c r="AF28" s="45" t="str">
        <f t="array" ref="AF28:AJ28">TRANSPOSE(_xll.FDS(Y28,"String_array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28" s="47" t="e">
        <v>#N/A</v>
      </c>
      <c r="AH28" s="47" t="e">
        <v>#N/A</v>
      </c>
      <c r="AI28" s="47" t="e">
        <v>#N/A</v>
      </c>
      <c r="AJ28" s="47" t="e">
        <v>#N/A</v>
      </c>
      <c r="AK28" s="42" t="str">
        <f t="shared" si="10"/>
        <v>Healthcare and Pharma Industry Software</v>
      </c>
      <c r="AL28" s="45" t="str">
        <f t="shared" si="11"/>
        <v/>
      </c>
      <c r="AM28" s="45" t="str">
        <f t="shared" si="12"/>
        <v/>
      </c>
      <c r="AN28" s="45" t="str">
        <f t="shared" si="13"/>
        <v/>
      </c>
      <c r="AO28" s="45" t="str">
        <f t="shared" si="14"/>
        <v/>
      </c>
      <c r="AP28" s="46">
        <f t="shared" si="15"/>
        <v>1</v>
      </c>
      <c r="AQ28" s="46" t="str">
        <f t="shared" si="16"/>
        <v/>
      </c>
      <c r="AR28" s="46" t="str">
        <f t="shared" si="17"/>
        <v/>
      </c>
      <c r="AS28" s="46" t="str">
        <f t="shared" si="18"/>
        <v/>
      </c>
      <c r="AT28" s="46" t="str">
        <f t="shared" si="19"/>
        <v/>
      </c>
    </row>
    <row r="29" spans="1:46" ht="15" customHeight="1" x14ac:dyDescent="0.25">
      <c r="A29" s="18" t="str">
        <f>'2 — IC Universe Table'!B30</f>
        <v>PEGA-US</v>
      </c>
      <c r="B29" s="18" t="str">
        <f>'2 — IC Universe Table'!C30</f>
        <v>Pegasystems Inc.</v>
      </c>
      <c r="C29" s="45" t="str">
        <f t="array" ref="C29:G29">TRANSPOSE(_xll.FDS(A29,"TRANSPOSE(TRANSPOSE(FF_GEOREV_COUNTRY_REV_PCT_MATRIX)[1:1])[0:4]"))</f>
        <v>United States</v>
      </c>
      <c r="D29" s="45" t="str">
        <v>United Kingdom</v>
      </c>
      <c r="E29" s="45" t="str">
        <v>Mainland China</v>
      </c>
      <c r="F29" s="45" t="str">
        <v>Germany</v>
      </c>
      <c r="G29" s="45" t="str">
        <v>India</v>
      </c>
      <c r="H29" s="46" t="str">
        <f t="array" ref="H29:L29">TRANSPOSE(_xll.FDS(A29,"TRANSPOSE(TRANSPOSE(FF_GEOREV_COUNTRY_REV_PCT_MATRIX)[2:2])[0:4]"))</f>
        <v>54.776574</v>
      </c>
      <c r="I29" s="47" t="str">
        <v>10.882787</v>
      </c>
      <c r="J29" s="47" t="str">
        <v>2.262994</v>
      </c>
      <c r="K29" s="47" t="str">
        <v>2.231789</v>
      </c>
      <c r="L29" s="47" t="str">
        <v>1.910817</v>
      </c>
      <c r="M29" s="42" t="str">
        <f t="shared" si="0"/>
        <v>United States</v>
      </c>
      <c r="N29" s="45" t="str">
        <f t="shared" si="1"/>
        <v>United Kingdom</v>
      </c>
      <c r="O29" s="45" t="str">
        <f t="shared" si="2"/>
        <v>Mainland China</v>
      </c>
      <c r="P29" s="45" t="str">
        <f t="shared" si="3"/>
        <v>Germany</v>
      </c>
      <c r="Q29" s="45" t="str">
        <f t="shared" si="4"/>
        <v>India</v>
      </c>
      <c r="R29" s="46">
        <f t="shared" si="5"/>
        <v>0.55000000000000004</v>
      </c>
      <c r="S29" s="46">
        <f t="shared" si="6"/>
        <v>0.11</v>
      </c>
      <c r="T29" s="46">
        <f t="shared" si="7"/>
        <v>0.02</v>
      </c>
      <c r="U29" s="46">
        <f t="shared" si="8"/>
        <v>0.02</v>
      </c>
      <c r="V29" s="46">
        <f t="shared" si="9"/>
        <v>0.02</v>
      </c>
      <c r="Y29" s="18" t="str">
        <f>'2 — IC Universe Table'!B30</f>
        <v>PEGA-US</v>
      </c>
      <c r="Z29" s="18" t="str">
        <f>'2 — IC Universe Table'!C30</f>
        <v>Pegasystems Inc.</v>
      </c>
      <c r="AA29" s="45" t="str">
        <f t="array" ref="AA29:AE29">TRANSPOSE(_xll.FDS(Y29,"String_array Name= TRANSPOSE(TRANSPOSE(SA_SUBARRAY(FR_RBICS_REV_MATRIX_CURRENT(""IND""),1,9))[13:13]);float_array pct=TRANSPOSE(TRANSPOSE(SA_SUBARRAY(FR_RBICS_REV_MATRIX_CURRENT(""IND""),1,9))[14:14]);SORT_INDIRECT(Name,pct,2)[0:4]"))</f>
        <v>Customer Relationship Management Software</v>
      </c>
      <c r="AB29" s="45" t="e">
        <v>#N/A</v>
      </c>
      <c r="AC29" s="45" t="e">
        <v>#N/A</v>
      </c>
      <c r="AD29" s="45" t="e">
        <v>#N/A</v>
      </c>
      <c r="AE29" s="45" t="e">
        <v>#N/A</v>
      </c>
      <c r="AF29" s="45" t="str">
        <f t="array" ref="AF29:AJ29">TRANSPOSE(_xll.FDS(Y29,"String_array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29" s="47" t="e">
        <v>#N/A</v>
      </c>
      <c r="AH29" s="47" t="e">
        <v>#N/A</v>
      </c>
      <c r="AI29" s="47" t="e">
        <v>#N/A</v>
      </c>
      <c r="AJ29" s="47" t="e">
        <v>#N/A</v>
      </c>
      <c r="AK29" s="42" t="str">
        <f t="shared" si="10"/>
        <v>Customer Relationship Management Software</v>
      </c>
      <c r="AL29" s="45" t="str">
        <f t="shared" si="11"/>
        <v/>
      </c>
      <c r="AM29" s="45" t="str">
        <f t="shared" si="12"/>
        <v/>
      </c>
      <c r="AN29" s="45" t="str">
        <f t="shared" si="13"/>
        <v/>
      </c>
      <c r="AO29" s="45" t="str">
        <f t="shared" si="14"/>
        <v/>
      </c>
      <c r="AP29" s="46">
        <f t="shared" si="15"/>
        <v>1</v>
      </c>
      <c r="AQ29" s="46" t="str">
        <f t="shared" si="16"/>
        <v/>
      </c>
      <c r="AR29" s="46" t="str">
        <f t="shared" si="17"/>
        <v/>
      </c>
      <c r="AS29" s="46" t="str">
        <f t="shared" si="18"/>
        <v/>
      </c>
      <c r="AT29" s="46" t="str">
        <f t="shared" si="19"/>
        <v/>
      </c>
    </row>
    <row r="30" spans="1:46" ht="15" customHeight="1" x14ac:dyDescent="0.25">
      <c r="A30" s="18" t="str">
        <f>'2 — IC Universe Table'!B31</f>
        <v>PCTY-US</v>
      </c>
      <c r="B30" s="18" t="str">
        <f>'2 — IC Universe Table'!C31</f>
        <v>Paylocity Holding Corp.</v>
      </c>
      <c r="C30" s="45" t="str">
        <f t="array" ref="C30:G30">TRANSPOSE(_xll.FDS(A30,"TRANSPOSE(TRANSPOSE(FF_GEOREV_COUNTRY_REV_PCT_MATRIX)[1:1])[0:4]"))</f>
        <v>United States</v>
      </c>
      <c r="D30" s="45" t="e">
        <v>#N/A</v>
      </c>
      <c r="E30" s="45" t="e">
        <v>#N/A</v>
      </c>
      <c r="F30" s="45" t="e">
        <v>#N/A</v>
      </c>
      <c r="G30" s="45" t="e">
        <v>#N/A</v>
      </c>
      <c r="H30" s="46" t="str">
        <f t="array" ref="H30:L30">TRANSPOSE(_xll.FDS(A30,"TRANSPOSE(TRANSPOSE(FF_GEOREV_COUNTRY_REV_PCT_MATRIX)[2:2])[0:4]"))</f>
        <v>100</v>
      </c>
      <c r="I30" s="47" t="e">
        <v>#N/A</v>
      </c>
      <c r="J30" s="47" t="e">
        <v>#N/A</v>
      </c>
      <c r="K30" s="47" t="e">
        <v>#N/A</v>
      </c>
      <c r="L30" s="47" t="e">
        <v>#N/A</v>
      </c>
      <c r="M30" s="42" t="str">
        <f t="shared" si="0"/>
        <v>United States</v>
      </c>
      <c r="N30" s="45" t="str">
        <f t="shared" si="1"/>
        <v/>
      </c>
      <c r="O30" s="45" t="str">
        <f t="shared" si="2"/>
        <v/>
      </c>
      <c r="P30" s="45" t="str">
        <f t="shared" si="3"/>
        <v/>
      </c>
      <c r="Q30" s="45" t="str">
        <f t="shared" si="4"/>
        <v/>
      </c>
      <c r="R30" s="46">
        <f t="shared" si="5"/>
        <v>1</v>
      </c>
      <c r="S30" s="46" t="str">
        <f t="shared" si="6"/>
        <v/>
      </c>
      <c r="T30" s="46" t="str">
        <f t="shared" si="7"/>
        <v/>
      </c>
      <c r="U30" s="46" t="str">
        <f t="shared" si="8"/>
        <v/>
      </c>
      <c r="V30" s="46" t="str">
        <f t="shared" si="9"/>
        <v/>
      </c>
      <c r="Y30" s="18" t="str">
        <f>'2 — IC Universe Table'!B31</f>
        <v>PCTY-US</v>
      </c>
      <c r="Z30" s="18" t="str">
        <f>'2 — IC Universe Table'!C31</f>
        <v>Paylocity Holding Corp.</v>
      </c>
      <c r="AA30" s="45" t="str">
        <f t="array" ref="AA30:AE30">TRANSPOSE(_xll.FDS(Y30,"String_array Name= TRANSPOSE(TRANSPOSE(SA_SUBARRAY(FR_RBICS_REV_MATRIX_CURRENT(""IND""),1,9))[13:13]);float_array pct=TRANSPOSE(TRANSPOSE(SA_SUBARRAY(FR_RBICS_REV_MATRIX_CURRENT(""IND""),1,9))[14:14]);SORT_INDIRECT(Name,pct,2)[0:4]"))</f>
        <v>Enterprise Resource Planning Software</v>
      </c>
      <c r="AB30" s="45" t="str">
        <v>Proprietary Trading</v>
      </c>
      <c r="AC30" s="45" t="e">
        <v>#N/A</v>
      </c>
      <c r="AD30" s="45" t="e">
        <v>#N/A</v>
      </c>
      <c r="AE30" s="45" t="e">
        <v>#N/A</v>
      </c>
      <c r="AF30" s="45" t="str">
        <f t="array" ref="AF30:AJ30">TRANSPOSE(_xll.FDS(Y30,"String_array Name= TRANSPOSE(TRANSPOSE(SA_SUBARRAY(FR_RBICS_REV_MATRIX_CURRENT(""IND""),1,9))[14:14]);float_array pct=TRANSPOSE(TRANSPOSE(SA_SUBARRAY(FR_RBICS_REV_MATRIX_CURRENT(""IND""),1,9))[14:14]);SORT_INDIRECT(Name,pct,2)[0:4]"))</f>
        <v>92.263141</v>
      </c>
      <c r="AG30" s="47" t="str">
        <v>7.736859</v>
      </c>
      <c r="AH30" s="47" t="e">
        <v>#N/A</v>
      </c>
      <c r="AI30" s="47" t="e">
        <v>#N/A</v>
      </c>
      <c r="AJ30" s="47" t="e">
        <v>#N/A</v>
      </c>
      <c r="AK30" s="42" t="str">
        <f t="shared" si="10"/>
        <v>Enterprise Resource Planning Software</v>
      </c>
      <c r="AL30" s="45" t="str">
        <f t="shared" si="11"/>
        <v>Proprietary Trading</v>
      </c>
      <c r="AM30" s="45" t="str">
        <f t="shared" si="12"/>
        <v/>
      </c>
      <c r="AN30" s="45" t="str">
        <f t="shared" si="13"/>
        <v/>
      </c>
      <c r="AO30" s="45" t="str">
        <f t="shared" si="14"/>
        <v/>
      </c>
      <c r="AP30" s="46">
        <f t="shared" si="15"/>
        <v>0.92</v>
      </c>
      <c r="AQ30" s="46">
        <f t="shared" si="16"/>
        <v>0.08</v>
      </c>
      <c r="AR30" s="46" t="str">
        <f t="shared" si="17"/>
        <v/>
      </c>
      <c r="AS30" s="46" t="str">
        <f t="shared" si="18"/>
        <v/>
      </c>
      <c r="AT30" s="46" t="str">
        <f t="shared" si="19"/>
        <v/>
      </c>
    </row>
    <row r="31" spans="1:46" ht="15" customHeight="1" x14ac:dyDescent="0.25">
      <c r="A31" s="18" t="str">
        <f>'2 — IC Universe Table'!B32</f>
        <v>CDNS-US</v>
      </c>
      <c r="B31" s="18" t="str">
        <f>'2 — IC Universe Table'!C32</f>
        <v>Cadence Design Systems, Inc.</v>
      </c>
      <c r="C31" s="45" t="str">
        <f t="array" ref="C31:G31">TRANSPOSE(_xll.FDS(A31,"TRANSPOSE(TRANSPOSE(FF_GEOREV_COUNTRY_REV_PCT_MATRIX)[1:1])[0:4]"))</f>
        <v>United States</v>
      </c>
      <c r="D31" s="45" t="str">
        <v>Mainland China</v>
      </c>
      <c r="E31" s="45" t="str">
        <v>Japan</v>
      </c>
      <c r="F31" s="45" t="str">
        <v>India</v>
      </c>
      <c r="G31" s="45" t="str">
        <v>Republic of Korea (South Korea)</v>
      </c>
      <c r="H31" s="46" t="str">
        <f t="array" ref="H31:L31">TRANSPOSE(_xll.FDS(A31,"TRANSPOSE(TRANSPOSE(FF_GEOREV_COUNTRY_REV_PCT_MATRIX)[2:2])[0:4]"))</f>
        <v>43.629793</v>
      </c>
      <c r="I31" s="47" t="str">
        <v>12.526568</v>
      </c>
      <c r="J31" s="47" t="str">
        <v>6.450605</v>
      </c>
      <c r="K31" s="47" t="str">
        <v>6.404808</v>
      </c>
      <c r="L31" s="47" t="str">
        <v>4.524312</v>
      </c>
      <c r="M31" s="42" t="str">
        <f t="shared" si="0"/>
        <v>United States</v>
      </c>
      <c r="N31" s="45" t="str">
        <f t="shared" si="1"/>
        <v>Mainland China</v>
      </c>
      <c r="O31" s="45" t="str">
        <f t="shared" si="2"/>
        <v>Japan</v>
      </c>
      <c r="P31" s="45" t="str">
        <f t="shared" si="3"/>
        <v>India</v>
      </c>
      <c r="Q31" s="45" t="str">
        <f t="shared" si="4"/>
        <v>Republic of Korea (South Korea)</v>
      </c>
      <c r="R31" s="46">
        <f t="shared" si="5"/>
        <v>0.44</v>
      </c>
      <c r="S31" s="46">
        <f t="shared" si="6"/>
        <v>0.13</v>
      </c>
      <c r="T31" s="46">
        <f t="shared" si="7"/>
        <v>0.06</v>
      </c>
      <c r="U31" s="46">
        <f t="shared" si="8"/>
        <v>0.06</v>
      </c>
      <c r="V31" s="46">
        <f t="shared" si="9"/>
        <v>0.05</v>
      </c>
      <c r="Y31" s="18" t="str">
        <f>'2 — IC Universe Table'!B32</f>
        <v>CDNS-US</v>
      </c>
      <c r="Z31" s="18" t="str">
        <f>'2 — IC Universe Table'!C32</f>
        <v>Cadence Design Systems, Inc.</v>
      </c>
      <c r="AA31" s="45" t="str">
        <f t="array" ref="AA31:AE31">TRANSPOSE(_xll.FDS(Y31,"String_array Name= TRANSPOSE(TRANSPOSE(SA_SUBARRAY(FR_RBICS_REV_MATRIX_CURRENT(""IND""),1,9))[13:13]);float_array pct=TRANSPOSE(TRANSPOSE(SA_SUBARRAY(FR_RBICS_REV_MATRIX_CURRENT(""IND""),1,9))[14:14]);SORT_INDIRECT(Name,pct,2)[0:4]"))</f>
        <v>Electronic Design Automation Software</v>
      </c>
      <c r="AB31" s="45" t="str">
        <v>Other Design and Engineering Software</v>
      </c>
      <c r="AC31" s="45" t="e">
        <v>#N/A</v>
      </c>
      <c r="AD31" s="45" t="e">
        <v>#N/A</v>
      </c>
      <c r="AE31" s="45" t="e">
        <v>#N/A</v>
      </c>
      <c r="AF31" s="45" t="str">
        <f t="array" ref="AF31:AJ31">TRANSPOSE(_xll.FDS(Y31,"String_array Name= TRANSPOSE(TRANSPOSE(SA_SUBARRAY(FR_RBICS_REV_MATRIX_CURRENT(""IND""),1,9))[14:14]);float_array pct=TRANSPOSE(TRANSPOSE(SA_SUBARRAY(FR_RBICS_REV_MATRIX_CURRENT(""IND""),1,9))[14:14]);SORT_INDIRECT(Name,pct,2)[0:4]"))</f>
        <v>84.000000</v>
      </c>
      <c r="AG31" s="47" t="str">
        <v>16.000000</v>
      </c>
      <c r="AH31" s="47" t="e">
        <v>#N/A</v>
      </c>
      <c r="AI31" s="47" t="e">
        <v>#N/A</v>
      </c>
      <c r="AJ31" s="47" t="e">
        <v>#N/A</v>
      </c>
      <c r="AK31" s="42" t="str">
        <f t="shared" si="10"/>
        <v>Electronic Design Automation Software</v>
      </c>
      <c r="AL31" s="45" t="str">
        <f t="shared" si="11"/>
        <v>Other Design and Engineering Software</v>
      </c>
      <c r="AM31" s="45" t="str">
        <f t="shared" si="12"/>
        <v/>
      </c>
      <c r="AN31" s="45" t="str">
        <f t="shared" si="13"/>
        <v/>
      </c>
      <c r="AO31" s="45" t="str">
        <f t="shared" si="14"/>
        <v/>
      </c>
      <c r="AP31" s="46">
        <f t="shared" si="15"/>
        <v>0.84</v>
      </c>
      <c r="AQ31" s="46">
        <f t="shared" si="16"/>
        <v>0.16</v>
      </c>
      <c r="AR31" s="46" t="str">
        <f t="shared" si="17"/>
        <v/>
      </c>
      <c r="AS31" s="46" t="str">
        <f t="shared" si="18"/>
        <v/>
      </c>
      <c r="AT31" s="46" t="str">
        <f t="shared" si="19"/>
        <v/>
      </c>
    </row>
    <row r="32" spans="1:46" ht="15" customHeight="1" x14ac:dyDescent="0.25">
      <c r="A32" s="18" t="str">
        <f>'2 — IC Universe Table'!B33</f>
        <v>IOT-US</v>
      </c>
      <c r="B32" s="18" t="str">
        <f>'2 — IC Universe Table'!C33</f>
        <v>Samsara, Inc. Class A</v>
      </c>
      <c r="C32" s="45" t="str">
        <f t="array" ref="C32:G32">TRANSPOSE(_xll.FDS(A32,"TRANSPOSE(TRANSPOSE(FF_GEOREV_COUNTRY_REV_PCT_MATRIX)[1:1])[0:4]"))</f>
        <v>United States</v>
      </c>
      <c r="D32" s="45" t="str">
        <v>Mainland China</v>
      </c>
      <c r="E32" s="45" t="str">
        <v>Germany</v>
      </c>
      <c r="F32" s="45" t="str">
        <v>Japan</v>
      </c>
      <c r="G32" s="45" t="str">
        <v>India</v>
      </c>
      <c r="H32" s="46" t="str">
        <f t="array" ref="H32:L32">TRANSPOSE(_xll.FDS(A32,"TRANSPOSE(TRANSPOSE(FF_GEOREV_COUNTRY_REV_PCT_MATRIX)[2:2])[0:4]"))</f>
        <v>86.654008</v>
      </c>
      <c r="I32" s="47" t="str">
        <v>3.055239</v>
      </c>
      <c r="J32" s="47" t="str">
        <v>0.756876</v>
      </c>
      <c r="K32" s="47" t="str">
        <v>0.677638</v>
      </c>
      <c r="L32" s="47" t="str">
        <v>0.649045</v>
      </c>
      <c r="M32" s="42" t="str">
        <f t="shared" si="0"/>
        <v>United States</v>
      </c>
      <c r="N32" s="45" t="str">
        <f t="shared" si="1"/>
        <v>Mainland China</v>
      </c>
      <c r="O32" s="45" t="str">
        <f t="shared" si="2"/>
        <v>Germany</v>
      </c>
      <c r="P32" s="45" t="str">
        <f t="shared" si="3"/>
        <v>Japan</v>
      </c>
      <c r="Q32" s="45" t="str">
        <f t="shared" si="4"/>
        <v>India</v>
      </c>
      <c r="R32" s="46">
        <f t="shared" si="5"/>
        <v>0.87</v>
      </c>
      <c r="S32" s="46">
        <f t="shared" si="6"/>
        <v>0.03</v>
      </c>
      <c r="T32" s="46">
        <f t="shared" si="7"/>
        <v>0.01</v>
      </c>
      <c r="U32" s="46">
        <f t="shared" si="8"/>
        <v>0.01</v>
      </c>
      <c r="V32" s="46">
        <f t="shared" si="9"/>
        <v>0.01</v>
      </c>
      <c r="Y32" s="18" t="str">
        <f>'2 — IC Universe Table'!B33</f>
        <v>IOT-US</v>
      </c>
      <c r="Z32" s="18" t="str">
        <f>'2 — IC Universe Table'!C33</f>
        <v>Samsara, Inc. Class A</v>
      </c>
      <c r="AA32" s="45" t="str">
        <f t="array" ref="AA32:AE32">TRANSPOSE(_xll.FDS(Y32,"String_array Name= TRANSPOSE(TRANSPOSE(SA_SUBARRAY(FR_RBICS_REV_MATRIX_CURRENT(""IND""),1,9))[13:13]);float_array pct=TRANSPOSE(TRANSPOSE(SA_SUBARRAY(FR_RBICS_REV_MATRIX_CURRENT(""IND""),1,9))[14:14]);SORT_INDIRECT(Name,pct,2)[0:4]"))</f>
        <v>Asset Management Software</v>
      </c>
      <c r="AB32" s="45" t="str">
        <v>Automotive and Marine Electronics Manufacturing</v>
      </c>
      <c r="AC32" s="45" t="e">
        <v>#N/A</v>
      </c>
      <c r="AD32" s="45" t="e">
        <v>#N/A</v>
      </c>
      <c r="AE32" s="45" t="e">
        <v>#N/A</v>
      </c>
      <c r="AF32" s="45" t="str">
        <f t="array" ref="AF32:AJ32">TRANSPOSE(_xll.FDS(Y32,"String_array Name= TRANSPOSE(TRANSPOSE(SA_SUBARRAY(FR_RBICS_REV_MATRIX_CURRENT(""IND""),1,9))[14:14]);float_array pct=TRANSPOSE(TRANSPOSE(SA_SUBARRAY(FR_RBICS_REV_MATRIX_CURRENT(""IND""),1,9))[14:14]);SORT_INDIRECT(Name,pct,2)[0:4]"))</f>
        <v>98.125039</v>
      </c>
      <c r="AG32" s="47" t="str">
        <v>1.874961</v>
      </c>
      <c r="AH32" s="47" t="e">
        <v>#N/A</v>
      </c>
      <c r="AI32" s="47" t="e">
        <v>#N/A</v>
      </c>
      <c r="AJ32" s="47" t="e">
        <v>#N/A</v>
      </c>
      <c r="AK32" s="42" t="str">
        <f t="shared" si="10"/>
        <v>Asset Management Software</v>
      </c>
      <c r="AL32" s="45" t="str">
        <f t="shared" si="11"/>
        <v>Automotive and Marine Electronics Manufacturing</v>
      </c>
      <c r="AM32" s="45" t="str">
        <f t="shared" si="12"/>
        <v/>
      </c>
      <c r="AN32" s="45" t="str">
        <f t="shared" si="13"/>
        <v/>
      </c>
      <c r="AO32" s="45" t="str">
        <f t="shared" si="14"/>
        <v/>
      </c>
      <c r="AP32" s="46">
        <f t="shared" si="15"/>
        <v>0.98</v>
      </c>
      <c r="AQ32" s="46">
        <f t="shared" si="16"/>
        <v>0.02</v>
      </c>
      <c r="AR32" s="46" t="str">
        <f t="shared" si="17"/>
        <v/>
      </c>
      <c r="AS32" s="46" t="str">
        <f t="shared" si="18"/>
        <v/>
      </c>
      <c r="AT32" s="46" t="str">
        <f t="shared" si="19"/>
        <v/>
      </c>
    </row>
    <row r="33" spans="1:46" ht="15" customHeight="1" x14ac:dyDescent="0.25">
      <c r="A33" s="18" t="str">
        <f>'2 — IC Universe Table'!B34</f>
        <v>S-US</v>
      </c>
      <c r="B33" s="18" t="str">
        <f>'2 — IC Universe Table'!C34</f>
        <v>SentinelOne, Inc.</v>
      </c>
      <c r="C33" s="45" t="str">
        <f t="array" ref="C33:G33">TRANSPOSE(_xll.FDS(A33,"TRANSPOSE(TRANSPOSE(FF_GEOREV_COUNTRY_REV_PCT_MATRIX)[1:1])[0:4]"))</f>
        <v>United States</v>
      </c>
      <c r="D33" s="45" t="str">
        <v>Mainland China</v>
      </c>
      <c r="E33" s="45" t="str">
        <v>Germany</v>
      </c>
      <c r="F33" s="45" t="str">
        <v>Japan</v>
      </c>
      <c r="G33" s="45" t="str">
        <v>India</v>
      </c>
      <c r="H33" s="46" t="str">
        <f t="array" ref="H33:L33">TRANSPOSE(_xll.FDS(A33,"TRANSPOSE(TRANSPOSE(FF_GEOREV_COUNTRY_REV_PCT_MATRIX)[2:2])[0:4]"))</f>
        <v>63.293084</v>
      </c>
      <c r="I33" s="47" t="str">
        <v>8.403154</v>
      </c>
      <c r="J33" s="47" t="str">
        <v>2.081718</v>
      </c>
      <c r="K33" s="47" t="str">
        <v>1.86378</v>
      </c>
      <c r="L33" s="47" t="str">
        <v>1.785138</v>
      </c>
      <c r="M33" s="42" t="str">
        <f t="shared" si="0"/>
        <v>United States</v>
      </c>
      <c r="N33" s="45" t="str">
        <f t="shared" si="1"/>
        <v>Mainland China</v>
      </c>
      <c r="O33" s="45" t="str">
        <f t="shared" si="2"/>
        <v>Germany</v>
      </c>
      <c r="P33" s="45" t="str">
        <f t="shared" si="3"/>
        <v>Japan</v>
      </c>
      <c r="Q33" s="45" t="str">
        <f t="shared" si="4"/>
        <v>India</v>
      </c>
      <c r="R33" s="46">
        <f t="shared" si="5"/>
        <v>0.63</v>
      </c>
      <c r="S33" s="46">
        <f t="shared" si="6"/>
        <v>0.08</v>
      </c>
      <c r="T33" s="46">
        <f t="shared" si="7"/>
        <v>0.02</v>
      </c>
      <c r="U33" s="46">
        <f t="shared" si="8"/>
        <v>0.02</v>
      </c>
      <c r="V33" s="46">
        <f t="shared" si="9"/>
        <v>0.02</v>
      </c>
      <c r="Y33" s="18" t="str">
        <f>'2 — IC Universe Table'!B34</f>
        <v>S-US</v>
      </c>
      <c r="Z33" s="18" t="str">
        <f>'2 — IC Universe Table'!C34</f>
        <v>SentinelOne, Inc.</v>
      </c>
      <c r="AA33" s="45" t="str">
        <f t="array" ref="AA33:AE33">TRANSPOSE(_xll.FDS(Y33,"String_array Name= TRANSPOSE(TRANSPOSE(SA_SUBARRAY(FR_RBICS_REV_MATRIX_CURRENT(""IND""),1,9))[13:13]);float_array pct=TRANSPOSE(TRANSPOSE(SA_SUBARRAY(FR_RBICS_REV_MATRIX_CURRENT(""IND""),1,9))[14:14]);SORT_INDIRECT(Name,pct,2)[0:4]"))</f>
        <v>Network Infrastructure Software</v>
      </c>
      <c r="AB33" s="45" t="e">
        <v>#N/A</v>
      </c>
      <c r="AC33" s="45" t="e">
        <v>#N/A</v>
      </c>
      <c r="AD33" s="45" t="e">
        <v>#N/A</v>
      </c>
      <c r="AE33" s="45" t="e">
        <v>#N/A</v>
      </c>
      <c r="AF33" s="45" t="str">
        <f t="array" ref="AF33:AJ33">TRANSPOSE(_xll.FDS(Y33,"String_array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33" s="47" t="e">
        <v>#N/A</v>
      </c>
      <c r="AH33" s="47" t="e">
        <v>#N/A</v>
      </c>
      <c r="AI33" s="47" t="e">
        <v>#N/A</v>
      </c>
      <c r="AJ33" s="47" t="e">
        <v>#N/A</v>
      </c>
      <c r="AK33" s="42" t="str">
        <f t="shared" si="10"/>
        <v>Network Infrastructure Software</v>
      </c>
      <c r="AL33" s="45" t="str">
        <f t="shared" si="11"/>
        <v/>
      </c>
      <c r="AM33" s="45" t="str">
        <f t="shared" si="12"/>
        <v/>
      </c>
      <c r="AN33" s="45" t="str">
        <f t="shared" si="13"/>
        <v/>
      </c>
      <c r="AO33" s="45" t="str">
        <f t="shared" si="14"/>
        <v/>
      </c>
      <c r="AP33" s="46">
        <f t="shared" si="15"/>
        <v>1</v>
      </c>
      <c r="AQ33" s="46" t="str">
        <f t="shared" si="16"/>
        <v/>
      </c>
      <c r="AR33" s="46" t="str">
        <f t="shared" si="17"/>
        <v/>
      </c>
      <c r="AS33" s="46" t="str">
        <f t="shared" si="18"/>
        <v/>
      </c>
      <c r="AT33" s="46" t="str">
        <f t="shared" si="19"/>
        <v/>
      </c>
    </row>
    <row r="34" spans="1:46" ht="15" customHeight="1" x14ac:dyDescent="0.25">
      <c r="A34" s="18" t="str">
        <f>'2 — IC Universe Table'!B35</f>
        <v>PTC-US</v>
      </c>
      <c r="B34" s="18" t="str">
        <f>'2 — IC Universe Table'!C35</f>
        <v>PTC Inc.</v>
      </c>
      <c r="C34" s="45" t="str">
        <f t="array" ref="C34:G34">TRANSPOSE(_xll.FDS(A34,"TRANSPOSE(TRANSPOSE(FF_GEOREV_COUNTRY_REV_PCT_MATRIX)[1:1])[0:4]"))</f>
        <v>United States</v>
      </c>
      <c r="D34" s="45" t="str">
        <v>Germany</v>
      </c>
      <c r="E34" s="45" t="str">
        <v>United Kingdom</v>
      </c>
      <c r="F34" s="45" t="str">
        <v>France</v>
      </c>
      <c r="G34" s="45" t="str">
        <v>Mainland China</v>
      </c>
      <c r="H34" s="46" t="str">
        <f t="array" ref="H34:L34">TRANSPOSE(_xll.FDS(A34,"TRANSPOSE(TRANSPOSE(FF_GEOREV_COUNTRY_REV_PCT_MATRIX)[2:2])[0:4]"))</f>
        <v>47.002329</v>
      </c>
      <c r="I34" s="47" t="str">
        <v>13.463657</v>
      </c>
      <c r="J34" s="47" t="str">
        <v>3.776241</v>
      </c>
      <c r="K34" s="47" t="str">
        <v>3.158646</v>
      </c>
      <c r="L34" s="47" t="str">
        <v>2.814659</v>
      </c>
      <c r="M34" s="42" t="str">
        <f t="shared" si="0"/>
        <v>United States</v>
      </c>
      <c r="N34" s="45" t="str">
        <f t="shared" si="1"/>
        <v>Germany</v>
      </c>
      <c r="O34" s="45" t="str">
        <f t="shared" si="2"/>
        <v>United Kingdom</v>
      </c>
      <c r="P34" s="45" t="str">
        <f t="shared" si="3"/>
        <v>France</v>
      </c>
      <c r="Q34" s="45" t="str">
        <f t="shared" si="4"/>
        <v>Mainland China</v>
      </c>
      <c r="R34" s="46">
        <f t="shared" si="5"/>
        <v>0.47</v>
      </c>
      <c r="S34" s="46">
        <f t="shared" si="6"/>
        <v>0.13</v>
      </c>
      <c r="T34" s="46">
        <f t="shared" si="7"/>
        <v>0.04</v>
      </c>
      <c r="U34" s="46">
        <f t="shared" si="8"/>
        <v>0.03</v>
      </c>
      <c r="V34" s="46">
        <f t="shared" si="9"/>
        <v>0.03</v>
      </c>
      <c r="Y34" s="18" t="str">
        <f>'2 — IC Universe Table'!B35</f>
        <v>PTC-US</v>
      </c>
      <c r="Z34" s="18" t="str">
        <f>'2 — IC Universe Table'!C35</f>
        <v>PTC Inc.</v>
      </c>
      <c r="AA34" s="45" t="str">
        <f t="array" ref="AA34:AE34">TRANSPOSE(_xll.FDS(Y34,"String_array Name= TRANSPOSE(TRANSPOSE(SA_SUBARRAY(FR_RBICS_REV_MATRIX_CURRENT(""IND""),1,9))[13:13]);float_array pct=TRANSPOSE(TRANSPOSE(SA_SUBARRAY(FR_RBICS_REV_MATRIX_CURRENT(""IND""),1,9))[14:14]);SORT_INDIRECT(Name,pct,2)[0:4]"))</f>
        <v>Manufacturing Industry Software</v>
      </c>
      <c r="AB34" s="45" t="str">
        <v>Computer Aided Design Software</v>
      </c>
      <c r="AC34" s="45" t="e">
        <v>#N/A</v>
      </c>
      <c r="AD34" s="45" t="e">
        <v>#N/A</v>
      </c>
      <c r="AE34" s="45" t="e">
        <v>#N/A</v>
      </c>
      <c r="AF34" s="45" t="str">
        <f t="array" ref="AF34:AJ34">TRANSPOSE(_xll.FDS(Y34,"String_array Name= TRANSPOSE(TRANSPOSE(SA_SUBARRAY(FR_RBICS_REV_MATRIX_CURRENT(""IND""),1,9))[14:14]);float_array pct=TRANSPOSE(TRANSPOSE(SA_SUBARRAY(FR_RBICS_REV_MATRIX_CURRENT(""IND""),1,9))[14:14]);SORT_INDIRECT(Name,pct,2)[0:4]"))</f>
        <v>63.569417</v>
      </c>
      <c r="AG34" s="47" t="str">
        <v>36.430583</v>
      </c>
      <c r="AH34" s="47" t="e">
        <v>#N/A</v>
      </c>
      <c r="AI34" s="47" t="e">
        <v>#N/A</v>
      </c>
      <c r="AJ34" s="47" t="e">
        <v>#N/A</v>
      </c>
      <c r="AK34" s="42" t="str">
        <f t="shared" si="10"/>
        <v>Manufacturing Industry Software</v>
      </c>
      <c r="AL34" s="45" t="str">
        <f t="shared" si="11"/>
        <v>Computer Aided Design Software</v>
      </c>
      <c r="AM34" s="45" t="str">
        <f t="shared" si="12"/>
        <v/>
      </c>
      <c r="AN34" s="45" t="str">
        <f t="shared" si="13"/>
        <v/>
      </c>
      <c r="AO34" s="45" t="str">
        <f t="shared" si="14"/>
        <v/>
      </c>
      <c r="AP34" s="46">
        <f t="shared" si="15"/>
        <v>0.64</v>
      </c>
      <c r="AQ34" s="46">
        <f t="shared" si="16"/>
        <v>0.36</v>
      </c>
      <c r="AR34" s="46" t="str">
        <f t="shared" si="17"/>
        <v/>
      </c>
      <c r="AS34" s="46" t="str">
        <f t="shared" si="18"/>
        <v/>
      </c>
      <c r="AT34" s="46" t="str">
        <f t="shared" si="19"/>
        <v/>
      </c>
    </row>
    <row r="35" spans="1:46" ht="15" customHeight="1" x14ac:dyDescent="0.25">
      <c r="A35" s="18" t="str">
        <f>'2 — IC Universe Table'!B36</f>
        <v>DSY-FR</v>
      </c>
      <c r="B35" s="18" t="str">
        <f>'2 — IC Universe Table'!C36</f>
        <v>Dassault Systemes SE</v>
      </c>
      <c r="C35" s="45" t="str">
        <f t="array" ref="C35:G35">TRANSPOSE(_xll.FDS(A35,"TRANSPOSE(TRANSPOSE(FF_GEOREV_COUNTRY_REV_PCT_MATRIX)[1:1])[0:4]"))</f>
        <v>United States</v>
      </c>
      <c r="D35" s="45" t="str">
        <v>France</v>
      </c>
      <c r="E35" s="45" t="str">
        <v>Germany</v>
      </c>
      <c r="F35" s="45" t="str">
        <v>Japan</v>
      </c>
      <c r="G35" s="45" t="str">
        <v>Mainland China</v>
      </c>
      <c r="H35" s="46" t="str">
        <f t="array" ref="H35:L35">TRANSPOSE(_xll.FDS(A35,"TRANSPOSE(TRANSPOSE(FF_GEOREV_COUNTRY_REV_PCT_MATRIX)[2:2])[0:4]"))</f>
        <v>37.19261</v>
      </c>
      <c r="I35" s="47" t="str">
        <v>11.008111</v>
      </c>
      <c r="J35" s="47" t="str">
        <v>8.194927</v>
      </c>
      <c r="K35" s="47" t="str">
        <v>7.871443</v>
      </c>
      <c r="L35" s="47" t="str">
        <v>7.821962</v>
      </c>
      <c r="M35" s="42" t="str">
        <f t="shared" ref="M35:M66" si="20">IFERROR(C35, "")</f>
        <v>United States</v>
      </c>
      <c r="N35" s="45" t="str">
        <f t="shared" ref="N35:N66" si="21">IFERROR(D35, "")</f>
        <v>France</v>
      </c>
      <c r="O35" s="45" t="str">
        <f t="shared" ref="O35:O66" si="22">IFERROR(E35, "")</f>
        <v>Germany</v>
      </c>
      <c r="P35" s="45" t="str">
        <f t="shared" ref="P35:P66" si="23">IFERROR(F35, "")</f>
        <v>Japan</v>
      </c>
      <c r="Q35" s="45" t="str">
        <f t="shared" ref="Q35:Q66" si="24">IFERROR(G35, "")</f>
        <v>Mainland China</v>
      </c>
      <c r="R35" s="46">
        <f t="shared" ref="R35:R66" si="25">IFERROR(ROUND(VALUE(H35), 0)/100, "")</f>
        <v>0.37</v>
      </c>
      <c r="S35" s="46">
        <f t="shared" ref="S35:S66" si="26">IFERROR(ROUND(VALUE(I35), 0)/100, "")</f>
        <v>0.11</v>
      </c>
      <c r="T35" s="46">
        <f t="shared" ref="T35:T66" si="27">IFERROR(ROUND(VALUE(J35), 0)/100, "")</f>
        <v>0.08</v>
      </c>
      <c r="U35" s="46">
        <f t="shared" ref="U35:U66" si="28">IFERROR(ROUND(VALUE(K35), 0)/100, "")</f>
        <v>0.08</v>
      </c>
      <c r="V35" s="46">
        <f t="shared" ref="V35:V66" si="29">IFERROR(ROUND(VALUE(L35), 0)/100, "")</f>
        <v>0.08</v>
      </c>
      <c r="Y35" s="18" t="str">
        <f>'2 — IC Universe Table'!B36</f>
        <v>DSY-FR</v>
      </c>
      <c r="Z35" s="18" t="str">
        <f>'2 — IC Universe Table'!C36</f>
        <v>Dassault Systemes SE</v>
      </c>
      <c r="AA35" s="45" t="str">
        <f t="array" ref="AA35:AE35">TRANSPOSE(_xll.FDS(Y35,"String_array Name= TRANSPOSE(TRANSPOSE(SA_SUBARRAY(FR_RBICS_REV_MATRIX_CURRENT(""IND""),1,9))[13:13]);float_array pct=TRANSPOSE(TRANSPOSE(SA_SUBARRAY(FR_RBICS_REV_MATRIX_CURRENT(""IND""),1,9))[14:14]);SORT_INDIRECT(Name,pct,2)[0:4]"))</f>
        <v>Computer Aided Design Software</v>
      </c>
      <c r="AB35" s="45" t="e">
        <v>#N/A</v>
      </c>
      <c r="AC35" s="45" t="e">
        <v>#N/A</v>
      </c>
      <c r="AD35" s="45" t="e">
        <v>#N/A</v>
      </c>
      <c r="AE35" s="45" t="e">
        <v>#N/A</v>
      </c>
      <c r="AF35" s="45" t="str">
        <f t="array" ref="AF35:AJ35">TRANSPOSE(_xll.FDS(Y35,"String_array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35" s="47" t="e">
        <v>#N/A</v>
      </c>
      <c r="AH35" s="47" t="e">
        <v>#N/A</v>
      </c>
      <c r="AI35" s="47" t="e">
        <v>#N/A</v>
      </c>
      <c r="AJ35" s="47" t="e">
        <v>#N/A</v>
      </c>
      <c r="AK35" s="42" t="str">
        <f t="shared" ref="AK35:AK66" si="30">IFERROR(AA35, "")</f>
        <v>Computer Aided Design Software</v>
      </c>
      <c r="AL35" s="45" t="str">
        <f t="shared" ref="AL35:AL66" si="31">IFERROR(AB35, "")</f>
        <v/>
      </c>
      <c r="AM35" s="45" t="str">
        <f t="shared" ref="AM35:AM66" si="32">IFERROR(AC35, "")</f>
        <v/>
      </c>
      <c r="AN35" s="45" t="str">
        <f t="shared" ref="AN35:AN66" si="33">IFERROR(AD35, "")</f>
        <v/>
      </c>
      <c r="AO35" s="45" t="str">
        <f t="shared" ref="AO35:AO66" si="34">IFERROR(AE35, "")</f>
        <v/>
      </c>
      <c r="AP35" s="46">
        <f t="shared" ref="AP35:AP66" si="35">IFERROR(ROUND(VALUE(AF35), 0)/100, "")</f>
        <v>1</v>
      </c>
      <c r="AQ35" s="46" t="str">
        <f t="shared" ref="AQ35:AQ66" si="36">IFERROR(ROUND(VALUE(AG35), 0)/100, "")</f>
        <v/>
      </c>
      <c r="AR35" s="46" t="str">
        <f t="shared" ref="AR35:AR66" si="37">IFERROR(ROUND(VALUE(AH35), 0)/100, "")</f>
        <v/>
      </c>
      <c r="AS35" s="46" t="str">
        <f t="shared" ref="AS35:AS66" si="38">IFERROR(ROUND(VALUE(AI35), 0)/100, "")</f>
        <v/>
      </c>
      <c r="AT35" s="46" t="str">
        <f t="shared" ref="AT35:AT66" si="39">IFERROR(ROUND(VALUE(AJ35), 0)/100, "")</f>
        <v/>
      </c>
    </row>
    <row r="36" spans="1:46" ht="15" customHeight="1" x14ac:dyDescent="0.25">
      <c r="A36" s="18" t="str">
        <f>'2 — IC Universe Table'!B37</f>
        <v>SAP-DE</v>
      </c>
      <c r="B36" s="18" t="str">
        <f>'2 — IC Universe Table'!C37</f>
        <v>SAP SE</v>
      </c>
      <c r="C36" s="45" t="str">
        <f t="array" ref="C36:G36">TRANSPOSE(_xll.FDS(A36,"TRANSPOSE(TRANSPOSE(FF_GEOREV_COUNTRY_REV_PCT_MATRIX)[1:1])[0:4]"))</f>
        <v>United States</v>
      </c>
      <c r="D36" s="45" t="str">
        <v>Germany</v>
      </c>
      <c r="E36" s="45" t="str">
        <v>United Kingdom</v>
      </c>
      <c r="F36" s="45" t="str">
        <v>France</v>
      </c>
      <c r="G36" s="45" t="str">
        <v>Italy</v>
      </c>
      <c r="H36" s="46" t="str">
        <f t="array" ref="H36:L36">TRANSPOSE(_xll.FDS(A36,"TRANSPOSE(TRANSPOSE(FF_GEOREV_COUNTRY_REV_PCT_MATRIX)[2:2])[0:4]"))</f>
        <v>32.350187</v>
      </c>
      <c r="I36" s="47" t="str">
        <v>15.683521</v>
      </c>
      <c r="J36" s="47" t="str">
        <v>9.468815</v>
      </c>
      <c r="K36" s="47" t="str">
        <v>8.479336</v>
      </c>
      <c r="L36" s="47" t="str">
        <v>6.306737</v>
      </c>
      <c r="M36" s="42" t="str">
        <f t="shared" si="20"/>
        <v>United States</v>
      </c>
      <c r="N36" s="45" t="str">
        <f t="shared" si="21"/>
        <v>Germany</v>
      </c>
      <c r="O36" s="45" t="str">
        <f t="shared" si="22"/>
        <v>United Kingdom</v>
      </c>
      <c r="P36" s="45" t="str">
        <f t="shared" si="23"/>
        <v>France</v>
      </c>
      <c r="Q36" s="45" t="str">
        <f t="shared" si="24"/>
        <v>Italy</v>
      </c>
      <c r="R36" s="46">
        <f t="shared" si="25"/>
        <v>0.32</v>
      </c>
      <c r="S36" s="46">
        <f t="shared" si="26"/>
        <v>0.16</v>
      </c>
      <c r="T36" s="46">
        <f t="shared" si="27"/>
        <v>0.09</v>
      </c>
      <c r="U36" s="46">
        <f t="shared" si="28"/>
        <v>0.08</v>
      </c>
      <c r="V36" s="46">
        <f t="shared" si="29"/>
        <v>0.06</v>
      </c>
      <c r="Y36" s="18" t="str">
        <f>'2 — IC Universe Table'!B37</f>
        <v>SAP-DE</v>
      </c>
      <c r="Z36" s="18" t="str">
        <f>'2 — IC Universe Table'!C37</f>
        <v>SAP SE</v>
      </c>
      <c r="AA36" s="45" t="str">
        <f t="array" ref="AA36:AE36">TRANSPOSE(_xll.FDS(Y36,"String_array Name= TRANSPOSE(TRANSPOSE(SA_SUBARRAY(FR_RBICS_REV_MATRIX_CURRENT(""IND""),1,9))[13:13]);float_array pct=TRANSPOSE(TRANSPOSE(SA_SUBARRAY(FR_RBICS_REV_MATRIX_CURRENT(""IND""),1,9))[14:14]);SORT_INDIRECT(Name,pct,2)[0:4]"))</f>
        <v>General Enterprise Management Software</v>
      </c>
      <c r="AB36" s="45" t="e">
        <v>#N/A</v>
      </c>
      <c r="AC36" s="45" t="e">
        <v>#N/A</v>
      </c>
      <c r="AD36" s="45" t="e">
        <v>#N/A</v>
      </c>
      <c r="AE36" s="45" t="e">
        <v>#N/A</v>
      </c>
      <c r="AF36" s="45" t="str">
        <f t="array" ref="AF36:AJ36">TRANSPOSE(_xll.FDS(Y36,"String_array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36" s="47" t="e">
        <v>#N/A</v>
      </c>
      <c r="AH36" s="47" t="e">
        <v>#N/A</v>
      </c>
      <c r="AI36" s="47" t="e">
        <v>#N/A</v>
      </c>
      <c r="AJ36" s="47" t="e">
        <v>#N/A</v>
      </c>
      <c r="AK36" s="42" t="str">
        <f t="shared" si="30"/>
        <v>General Enterprise Management Software</v>
      </c>
      <c r="AL36" s="45" t="str">
        <f t="shared" si="31"/>
        <v/>
      </c>
      <c r="AM36" s="45" t="str">
        <f t="shared" si="32"/>
        <v/>
      </c>
      <c r="AN36" s="45" t="str">
        <f t="shared" si="33"/>
        <v/>
      </c>
      <c r="AO36" s="45" t="str">
        <f t="shared" si="34"/>
        <v/>
      </c>
      <c r="AP36" s="46">
        <f t="shared" si="35"/>
        <v>1</v>
      </c>
      <c r="AQ36" s="46" t="str">
        <f t="shared" si="36"/>
        <v/>
      </c>
      <c r="AR36" s="46" t="str">
        <f t="shared" si="37"/>
        <v/>
      </c>
      <c r="AS36" s="46" t="str">
        <f t="shared" si="38"/>
        <v/>
      </c>
      <c r="AT36" s="46" t="str">
        <f t="shared" si="39"/>
        <v/>
      </c>
    </row>
    <row r="37" spans="1:46" ht="15" customHeight="1" x14ac:dyDescent="0.25">
      <c r="A37" s="18" t="str">
        <f>'2 — IC Universe Table'!B38</f>
        <v>VRNS-US</v>
      </c>
      <c r="B37" s="18" t="str">
        <f>'2 — IC Universe Table'!C38</f>
        <v>Varonis Systems, Inc.</v>
      </c>
      <c r="C37" s="45" t="str">
        <f t="array" ref="C37:G37">TRANSPOSE(_xll.FDS(A37,"TRANSPOSE(TRANSPOSE(FF_GEOREV_COUNTRY_REV_PCT_MATRIX)[1:1])[0:4]"))</f>
        <v>United States</v>
      </c>
      <c r="D37" s="45" t="str">
        <v>Mainland China</v>
      </c>
      <c r="E37" s="45" t="str">
        <v>France</v>
      </c>
      <c r="F37" s="45" t="str">
        <v>Italy</v>
      </c>
      <c r="G37" s="45" t="str">
        <v>Russian Federation</v>
      </c>
      <c r="H37" s="46" t="str">
        <f t="array" ref="H37:L37">TRANSPOSE(_xll.FDS(A37,"TRANSPOSE(TRANSPOSE(FF_GEOREV_COUNTRY_REV_PCT_MATRIX)[2:2])[0:4]"))</f>
        <v>70.640801</v>
      </c>
      <c r="I37" s="47" t="str">
        <v>3.267138</v>
      </c>
      <c r="J37" s="47" t="str">
        <v>1.869836</v>
      </c>
      <c r="K37" s="47" t="str">
        <v>1.410753</v>
      </c>
      <c r="L37" s="47" t="str">
        <v>1.209021</v>
      </c>
      <c r="M37" s="42" t="str">
        <f t="shared" si="20"/>
        <v>United States</v>
      </c>
      <c r="N37" s="45" t="str">
        <f t="shared" si="21"/>
        <v>Mainland China</v>
      </c>
      <c r="O37" s="45" t="str">
        <f t="shared" si="22"/>
        <v>France</v>
      </c>
      <c r="P37" s="45" t="str">
        <f t="shared" si="23"/>
        <v>Italy</v>
      </c>
      <c r="Q37" s="45" t="str">
        <f t="shared" si="24"/>
        <v>Russian Federation</v>
      </c>
      <c r="R37" s="46">
        <f t="shared" si="25"/>
        <v>0.71</v>
      </c>
      <c r="S37" s="46">
        <f t="shared" si="26"/>
        <v>0.03</v>
      </c>
      <c r="T37" s="46">
        <f t="shared" si="27"/>
        <v>0.02</v>
      </c>
      <c r="U37" s="46">
        <f t="shared" si="28"/>
        <v>0.01</v>
      </c>
      <c r="V37" s="46">
        <f t="shared" si="29"/>
        <v>0.01</v>
      </c>
      <c r="Y37" s="18" t="str">
        <f>'2 — IC Universe Table'!B38</f>
        <v>VRNS-US</v>
      </c>
      <c r="Z37" s="18" t="str">
        <f>'2 — IC Universe Table'!C38</f>
        <v>Varonis Systems, Inc.</v>
      </c>
      <c r="AA37" s="45" t="str">
        <f t="array" ref="AA37:AE37">TRANSPOSE(_xll.FDS(Y37,"String_array Name= TRANSPOSE(TRANSPOSE(SA_SUBARRAY(FR_RBICS_REV_MATRIX_CURRENT(""IND""),1,9))[13:13]);float_array pct=TRANSPOSE(TRANSPOSE(SA_SUBARRAY(FR_RBICS_REV_MATRIX_CURRENT(""IND""),1,9))[14:14]);SORT_INDIRECT(Name,pct,2)[0:4]"))</f>
        <v>Network Infrastructure Software</v>
      </c>
      <c r="AB37" s="45" t="e">
        <v>#N/A</v>
      </c>
      <c r="AC37" s="45" t="e">
        <v>#N/A</v>
      </c>
      <c r="AD37" s="45" t="e">
        <v>#N/A</v>
      </c>
      <c r="AE37" s="45" t="e">
        <v>#N/A</v>
      </c>
      <c r="AF37" s="45" t="str">
        <f t="array" ref="AF37:AJ37">TRANSPOSE(_xll.FDS(Y37,"String_array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37" s="47" t="e">
        <v>#N/A</v>
      </c>
      <c r="AH37" s="47" t="e">
        <v>#N/A</v>
      </c>
      <c r="AI37" s="47" t="e">
        <v>#N/A</v>
      </c>
      <c r="AJ37" s="47" t="e">
        <v>#N/A</v>
      </c>
      <c r="AK37" s="42" t="str">
        <f t="shared" si="30"/>
        <v>Network Infrastructure Software</v>
      </c>
      <c r="AL37" s="45" t="str">
        <f t="shared" si="31"/>
        <v/>
      </c>
      <c r="AM37" s="45" t="str">
        <f t="shared" si="32"/>
        <v/>
      </c>
      <c r="AN37" s="45" t="str">
        <f t="shared" si="33"/>
        <v/>
      </c>
      <c r="AO37" s="45" t="str">
        <f t="shared" si="34"/>
        <v/>
      </c>
      <c r="AP37" s="46">
        <f t="shared" si="35"/>
        <v>1</v>
      </c>
      <c r="AQ37" s="46" t="str">
        <f t="shared" si="36"/>
        <v/>
      </c>
      <c r="AR37" s="46" t="str">
        <f t="shared" si="37"/>
        <v/>
      </c>
      <c r="AS37" s="46" t="str">
        <f t="shared" si="38"/>
        <v/>
      </c>
      <c r="AT37" s="46" t="str">
        <f t="shared" si="39"/>
        <v/>
      </c>
    </row>
    <row r="38" spans="1:46" ht="15" customHeight="1" x14ac:dyDescent="0.25">
      <c r="A38" s="18" t="str">
        <f>'2 — IC Universe Table'!B39</f>
        <v>DDOG-US</v>
      </c>
      <c r="B38" s="18" t="str">
        <f>'2 — IC Universe Table'!C39</f>
        <v>Datadog, Inc.</v>
      </c>
      <c r="C38" s="45" t="str">
        <f t="array" ref="C38:G38">TRANSPOSE(_xll.FDS(A38,"TRANSPOSE(TRANSPOSE(FF_GEOREV_COUNTRY_REV_PCT_MATRIX)[1:1])[0:4]"))</f>
        <v>United States</v>
      </c>
      <c r="D38" s="45" t="str">
        <v>Canada</v>
      </c>
      <c r="E38" s="45" t="str">
        <v>Mainland China</v>
      </c>
      <c r="F38" s="45" t="str">
        <v>France</v>
      </c>
      <c r="G38" s="45" t="str">
        <v>Germany</v>
      </c>
      <c r="H38" s="46" t="str">
        <f t="array" ref="H38:L38">TRANSPOSE(_xll.FDS(A38,"TRANSPOSE(TRANSPOSE(FF_GEOREV_COUNTRY_REV_PCT_MATRIX)[2:2])[0:4]"))</f>
        <v>67.703327</v>
      </c>
      <c r="I38" s="47" t="str">
        <v>3.290861</v>
      </c>
      <c r="J38" s="47" t="str">
        <v>3.065485</v>
      </c>
      <c r="K38" s="47" t="str">
        <v>1.511766</v>
      </c>
      <c r="L38" s="47" t="str">
        <v>1.41302</v>
      </c>
      <c r="M38" s="42" t="str">
        <f t="shared" si="20"/>
        <v>United States</v>
      </c>
      <c r="N38" s="45" t="str">
        <f t="shared" si="21"/>
        <v>Canada</v>
      </c>
      <c r="O38" s="45" t="str">
        <f t="shared" si="22"/>
        <v>Mainland China</v>
      </c>
      <c r="P38" s="45" t="str">
        <f t="shared" si="23"/>
        <v>France</v>
      </c>
      <c r="Q38" s="45" t="str">
        <f t="shared" si="24"/>
        <v>Germany</v>
      </c>
      <c r="R38" s="46">
        <f t="shared" si="25"/>
        <v>0.68</v>
      </c>
      <c r="S38" s="46">
        <f t="shared" si="26"/>
        <v>0.03</v>
      </c>
      <c r="T38" s="46">
        <f t="shared" si="27"/>
        <v>0.03</v>
      </c>
      <c r="U38" s="46">
        <f t="shared" si="28"/>
        <v>0.02</v>
      </c>
      <c r="V38" s="46">
        <f t="shared" si="29"/>
        <v>0.01</v>
      </c>
      <c r="Y38" s="18" t="str">
        <f>'2 — IC Universe Table'!B39</f>
        <v>DDOG-US</v>
      </c>
      <c r="Z38" s="18" t="str">
        <f>'2 — IC Universe Table'!C39</f>
        <v>Datadog, Inc.</v>
      </c>
      <c r="AA38" s="45" t="str">
        <f t="array" ref="AA38:AE38">TRANSPOSE(_xll.FDS(Y38,"String_array Name= TRANSPOSE(TRANSPOSE(SA_SUBARRAY(FR_RBICS_REV_MATRIX_CURRENT(""IND""),1,9))[13:13]);float_array pct=TRANSPOSE(TRANSPOSE(SA_SUBARRAY(FR_RBICS_REV_MATRIX_CURRENT(""IND""),1,9))[14:14]);SORT_INDIRECT(Name,pct,2)[0:4]"))</f>
        <v>Network Infrastructure Software</v>
      </c>
      <c r="AB38" s="45" t="e">
        <v>#N/A</v>
      </c>
      <c r="AC38" s="45" t="e">
        <v>#N/A</v>
      </c>
      <c r="AD38" s="45" t="e">
        <v>#N/A</v>
      </c>
      <c r="AE38" s="45" t="e">
        <v>#N/A</v>
      </c>
      <c r="AF38" s="45" t="str">
        <f t="array" ref="AF38:AJ38">TRANSPOSE(_xll.FDS(Y38,"String_array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38" s="47" t="e">
        <v>#N/A</v>
      </c>
      <c r="AH38" s="47" t="e">
        <v>#N/A</v>
      </c>
      <c r="AI38" s="47" t="e">
        <v>#N/A</v>
      </c>
      <c r="AJ38" s="47" t="e">
        <v>#N/A</v>
      </c>
      <c r="AK38" s="42" t="str">
        <f t="shared" si="30"/>
        <v>Network Infrastructure Software</v>
      </c>
      <c r="AL38" s="45" t="str">
        <f t="shared" si="31"/>
        <v/>
      </c>
      <c r="AM38" s="45" t="str">
        <f t="shared" si="32"/>
        <v/>
      </c>
      <c r="AN38" s="45" t="str">
        <f t="shared" si="33"/>
        <v/>
      </c>
      <c r="AO38" s="45" t="str">
        <f t="shared" si="34"/>
        <v/>
      </c>
      <c r="AP38" s="46">
        <f t="shared" si="35"/>
        <v>1</v>
      </c>
      <c r="AQ38" s="46" t="str">
        <f t="shared" si="36"/>
        <v/>
      </c>
      <c r="AR38" s="46" t="str">
        <f t="shared" si="37"/>
        <v/>
      </c>
      <c r="AS38" s="46" t="str">
        <f t="shared" si="38"/>
        <v/>
      </c>
      <c r="AT38" s="46" t="str">
        <f t="shared" si="39"/>
        <v/>
      </c>
    </row>
    <row r="39" spans="1:46" ht="15" customHeight="1" x14ac:dyDescent="0.25">
      <c r="A39" s="18" t="str">
        <f>'2 — IC Universe Table'!B40</f>
        <v>TOST-US</v>
      </c>
      <c r="B39" s="18" t="str">
        <f>'2 — IC Universe Table'!C40</f>
        <v>Toast, Inc.</v>
      </c>
      <c r="C39" s="45" t="str">
        <f t="array" ref="C39:G39">TRANSPOSE(_xll.FDS(A39,"TRANSPOSE(TRANSPOSE(FF_GEOREV_COUNTRY_REV_PCT_MATRIX)[1:1])[0:4]"))</f>
        <v>United States</v>
      </c>
      <c r="D39" s="45" t="e">
        <v>#N/A</v>
      </c>
      <c r="E39" s="45" t="e">
        <v>#N/A</v>
      </c>
      <c r="F39" s="45" t="e">
        <v>#N/A</v>
      </c>
      <c r="G39" s="45" t="e">
        <v>#N/A</v>
      </c>
      <c r="H39" s="46" t="str">
        <f t="array" ref="H39:L39">TRANSPOSE(_xll.FDS(A39,"TRANSPOSE(TRANSPOSE(FF_GEOREV_COUNTRY_REV_PCT_MATRIX)[2:2])[0:4]"))</f>
        <v>100</v>
      </c>
      <c r="I39" s="47" t="e">
        <v>#N/A</v>
      </c>
      <c r="J39" s="47" t="e">
        <v>#N/A</v>
      </c>
      <c r="K39" s="47" t="e">
        <v>#N/A</v>
      </c>
      <c r="L39" s="47" t="e">
        <v>#N/A</v>
      </c>
      <c r="M39" s="42" t="str">
        <f t="shared" si="20"/>
        <v>United States</v>
      </c>
      <c r="N39" s="45" t="str">
        <f t="shared" si="21"/>
        <v/>
      </c>
      <c r="O39" s="45" t="str">
        <f t="shared" si="22"/>
        <v/>
      </c>
      <c r="P39" s="45" t="str">
        <f t="shared" si="23"/>
        <v/>
      </c>
      <c r="Q39" s="45" t="str">
        <f t="shared" si="24"/>
        <v/>
      </c>
      <c r="R39" s="46">
        <f t="shared" si="25"/>
        <v>1</v>
      </c>
      <c r="S39" s="46" t="str">
        <f t="shared" si="26"/>
        <v/>
      </c>
      <c r="T39" s="46" t="str">
        <f t="shared" si="27"/>
        <v/>
      </c>
      <c r="U39" s="46" t="str">
        <f t="shared" si="28"/>
        <v/>
      </c>
      <c r="V39" s="46" t="str">
        <f t="shared" si="29"/>
        <v/>
      </c>
      <c r="Y39" s="18" t="str">
        <f>'2 — IC Universe Table'!B40</f>
        <v>TOST-US</v>
      </c>
      <c r="Z39" s="18" t="str">
        <f>'2 — IC Universe Table'!C40</f>
        <v>Toast, Inc.</v>
      </c>
      <c r="AA39" s="45" t="str">
        <f t="array" ref="AA39:AE39">TRANSPOSE(_xll.FDS(Y39,"String_array Name= TRANSPOSE(TRANSPOSE(SA_SUBARRAY(FR_RBICS_REV_MATRIX_CURRENT(""IND""),1,9))[13:13]);float_array pct=TRANSPOSE(TRANSPOSE(SA_SUBARRAY(FR_RBICS_REV_MATRIX_CURRENT(""IND""),1,9))[14:14]);SORT_INDIRECT(Name,pct,2)[0:4]"))</f>
        <v>Retail Industry Software</v>
      </c>
      <c r="AB39" s="45" t="str">
        <v>Point-of-Sale (POS) Terminal Manufacturing</v>
      </c>
      <c r="AC39" s="45" t="e">
        <v>#N/A</v>
      </c>
      <c r="AD39" s="45" t="e">
        <v>#N/A</v>
      </c>
      <c r="AE39" s="45" t="e">
        <v>#N/A</v>
      </c>
      <c r="AF39" s="45" t="str">
        <f t="array" ref="AF39:AJ39">TRANSPOSE(_xll.FDS(Y39,"String_array Name= TRANSPOSE(TRANSPOSE(SA_SUBARRAY(FR_RBICS_REV_MATRIX_CURRENT(""IND""),1,9))[14:14]);float_array pct=TRANSPOSE(TRANSPOSE(SA_SUBARRAY(FR_RBICS_REV_MATRIX_CURRENT(""IND""),1,9))[14:14]);SORT_INDIRECT(Name,pct,2)[0:4]"))</f>
        <v>95.947581</v>
      </c>
      <c r="AG39" s="47" t="str">
        <v>4.052419</v>
      </c>
      <c r="AH39" s="47" t="e">
        <v>#N/A</v>
      </c>
      <c r="AI39" s="47" t="e">
        <v>#N/A</v>
      </c>
      <c r="AJ39" s="47" t="e">
        <v>#N/A</v>
      </c>
      <c r="AK39" s="42" t="str">
        <f t="shared" si="30"/>
        <v>Retail Industry Software</v>
      </c>
      <c r="AL39" s="45" t="str">
        <f t="shared" si="31"/>
        <v>Point-of-Sale (POS) Terminal Manufacturing</v>
      </c>
      <c r="AM39" s="45" t="str">
        <f t="shared" si="32"/>
        <v/>
      </c>
      <c r="AN39" s="45" t="str">
        <f t="shared" si="33"/>
        <v/>
      </c>
      <c r="AO39" s="45" t="str">
        <f t="shared" si="34"/>
        <v/>
      </c>
      <c r="AP39" s="46">
        <f t="shared" si="35"/>
        <v>0.96</v>
      </c>
      <c r="AQ39" s="46">
        <f t="shared" si="36"/>
        <v>0.04</v>
      </c>
      <c r="AR39" s="46" t="str">
        <f t="shared" si="37"/>
        <v/>
      </c>
      <c r="AS39" s="46" t="str">
        <f t="shared" si="38"/>
        <v/>
      </c>
      <c r="AT39" s="46" t="str">
        <f t="shared" si="39"/>
        <v/>
      </c>
    </row>
    <row r="40" spans="1:46" ht="15" customHeight="1" x14ac:dyDescent="0.25">
      <c r="A40" s="18" t="str">
        <f>'2 — IC Universe Table'!B41</f>
        <v>NICE-US</v>
      </c>
      <c r="B40" s="18" t="str">
        <f>'2 — IC Universe Table'!C41</f>
        <v>NICE Ltd.</v>
      </c>
      <c r="C40" s="45" t="str">
        <f t="array" ref="C40:G40">TRANSPOSE(_xll.FDS(A40,"TRANSPOSE(TRANSPOSE(FF_GEOREV_COUNTRY_REV_PCT_MATRIX)[1:1])[0:4]"))</f>
        <v>United States</v>
      </c>
      <c r="D40" s="45" t="str">
        <v>Germany</v>
      </c>
      <c r="E40" s="45" t="str">
        <v>United Kingdom</v>
      </c>
      <c r="F40" s="45" t="str">
        <v>France</v>
      </c>
      <c r="G40" s="45" t="str">
        <v>Mainland China</v>
      </c>
      <c r="H40" s="46" t="str">
        <f t="array" ref="H40:L40">TRANSPOSE(_xll.FDS(A40,"TRANSPOSE(TRANSPOSE(FF_GEOREV_COUNTRY_REV_PCT_MATRIX)[2:2])[0:4]"))</f>
        <v>84.873606</v>
      </c>
      <c r="I40" s="47" t="str">
        <v>1.337797</v>
      </c>
      <c r="J40" s="47" t="str">
        <v>1.018481</v>
      </c>
      <c r="K40" s="47" t="str">
        <v>0.912051</v>
      </c>
      <c r="L40" s="47" t="str">
        <v>0.879189</v>
      </c>
      <c r="M40" s="42" t="str">
        <f t="shared" si="20"/>
        <v>United States</v>
      </c>
      <c r="N40" s="45" t="str">
        <f t="shared" si="21"/>
        <v>Germany</v>
      </c>
      <c r="O40" s="45" t="str">
        <f t="shared" si="22"/>
        <v>United Kingdom</v>
      </c>
      <c r="P40" s="45" t="str">
        <f t="shared" si="23"/>
        <v>France</v>
      </c>
      <c r="Q40" s="45" t="str">
        <f t="shared" si="24"/>
        <v>Mainland China</v>
      </c>
      <c r="R40" s="46">
        <f t="shared" si="25"/>
        <v>0.85</v>
      </c>
      <c r="S40" s="46">
        <f t="shared" si="26"/>
        <v>0.01</v>
      </c>
      <c r="T40" s="46">
        <f t="shared" si="27"/>
        <v>0.01</v>
      </c>
      <c r="U40" s="46">
        <f t="shared" si="28"/>
        <v>0.01</v>
      </c>
      <c r="V40" s="46">
        <f t="shared" si="29"/>
        <v>0.01</v>
      </c>
      <c r="Y40" s="18" t="str">
        <f>'2 — IC Universe Table'!B41</f>
        <v>NICE-US</v>
      </c>
      <c r="Z40" s="18" t="str">
        <f>'2 — IC Universe Table'!C41</f>
        <v>NICE Ltd.</v>
      </c>
      <c r="AA40" s="45" t="str">
        <f t="array" ref="AA40:AE40">TRANSPOSE(_xll.FDS(Y40,"String_array Name= TRANSPOSE(TRANSPOSE(SA_SUBARRAY(FR_RBICS_REV_MATRIX_CURRENT(""IND""),1,9))[13:13]);float_array pct=TRANSPOSE(TRANSPOSE(SA_SUBARRAY(FR_RBICS_REV_MATRIX_CURRENT(""IND""),1,9))[14:14]);SORT_INDIRECT(Name,pct,2)[0:4]"))</f>
        <v>Customer Relationship Management Software</v>
      </c>
      <c r="AB40" s="45" t="str">
        <v>Enterprise Resource Planning Software</v>
      </c>
      <c r="AC40" s="45" t="e">
        <v>#N/A</v>
      </c>
      <c r="AD40" s="45" t="e">
        <v>#N/A</v>
      </c>
      <c r="AE40" s="45" t="e">
        <v>#N/A</v>
      </c>
      <c r="AF40" s="45" t="str">
        <f t="array" ref="AF40:AJ40">TRANSPOSE(_xll.FDS(Y40,"String_array Name= TRANSPOSE(TRANSPOSE(SA_SUBARRAY(FR_RBICS_REV_MATRIX_CURRENT(""IND""),1,9))[14:14]);float_array pct=TRANSPOSE(TRANSPOSE(SA_SUBARRAY(FR_RBICS_REV_MATRIX_CURRENT(""IND""),1,9))[14:14]);SORT_INDIRECT(Name,pct,2)[0:4]"))</f>
        <v>83.420625</v>
      </c>
      <c r="AG40" s="47" t="str">
        <v>16.579375</v>
      </c>
      <c r="AH40" s="47" t="e">
        <v>#N/A</v>
      </c>
      <c r="AI40" s="47" t="e">
        <v>#N/A</v>
      </c>
      <c r="AJ40" s="47" t="e">
        <v>#N/A</v>
      </c>
      <c r="AK40" s="42" t="str">
        <f t="shared" si="30"/>
        <v>Customer Relationship Management Software</v>
      </c>
      <c r="AL40" s="45" t="str">
        <f t="shared" si="31"/>
        <v>Enterprise Resource Planning Software</v>
      </c>
      <c r="AM40" s="45" t="str">
        <f t="shared" si="32"/>
        <v/>
      </c>
      <c r="AN40" s="45" t="str">
        <f t="shared" si="33"/>
        <v/>
      </c>
      <c r="AO40" s="45" t="str">
        <f t="shared" si="34"/>
        <v/>
      </c>
      <c r="AP40" s="46">
        <f t="shared" si="35"/>
        <v>0.83</v>
      </c>
      <c r="AQ40" s="46">
        <f t="shared" si="36"/>
        <v>0.17</v>
      </c>
      <c r="AR40" s="46" t="str">
        <f t="shared" si="37"/>
        <v/>
      </c>
      <c r="AS40" s="46" t="str">
        <f t="shared" si="38"/>
        <v/>
      </c>
      <c r="AT40" s="46" t="str">
        <f t="shared" si="39"/>
        <v/>
      </c>
    </row>
    <row r="41" spans="1:46" ht="15" customHeight="1" x14ac:dyDescent="0.25">
      <c r="A41" s="18" t="str">
        <f>'2 — IC Universe Table'!B42</f>
        <v>4684-JP</v>
      </c>
      <c r="B41" s="18" t="str">
        <f>'2 — IC Universe Table'!C42</f>
        <v>OBIC Co., Ltd.</v>
      </c>
      <c r="C41" s="45" t="str">
        <f t="array" ref="C41:G41">TRANSPOSE(_xll.FDS(A41,"TRANSPOSE(TRANSPOSE(FF_GEOREV_COUNTRY_REV_PCT_MATRIX)[1:1])[0:4]"))</f>
        <v>Japan</v>
      </c>
      <c r="D41" s="45" t="e">
        <v>#N/A</v>
      </c>
      <c r="E41" s="45" t="e">
        <v>#N/A</v>
      </c>
      <c r="F41" s="45" t="e">
        <v>#N/A</v>
      </c>
      <c r="G41" s="45" t="e">
        <v>#N/A</v>
      </c>
      <c r="H41" s="46" t="str">
        <f t="array" ref="H41:L41">TRANSPOSE(_xll.FDS(A41,"TRANSPOSE(TRANSPOSE(FF_GEOREV_COUNTRY_REV_PCT_MATRIX)[2:2])[0:4]"))</f>
        <v>100</v>
      </c>
      <c r="I41" s="47" t="e">
        <v>#N/A</v>
      </c>
      <c r="J41" s="47" t="e">
        <v>#N/A</v>
      </c>
      <c r="K41" s="47" t="e">
        <v>#N/A</v>
      </c>
      <c r="L41" s="47" t="e">
        <v>#N/A</v>
      </c>
      <c r="M41" s="42" t="str">
        <f t="shared" si="20"/>
        <v>Japan</v>
      </c>
      <c r="N41" s="45" t="str">
        <f t="shared" si="21"/>
        <v/>
      </c>
      <c r="O41" s="45" t="str">
        <f t="shared" si="22"/>
        <v/>
      </c>
      <c r="P41" s="45" t="str">
        <f t="shared" si="23"/>
        <v/>
      </c>
      <c r="Q41" s="45" t="str">
        <f t="shared" si="24"/>
        <v/>
      </c>
      <c r="R41" s="46">
        <f t="shared" si="25"/>
        <v>1</v>
      </c>
      <c r="S41" s="46" t="str">
        <f t="shared" si="26"/>
        <v/>
      </c>
      <c r="T41" s="46" t="str">
        <f t="shared" si="27"/>
        <v/>
      </c>
      <c r="U41" s="46" t="str">
        <f t="shared" si="28"/>
        <v/>
      </c>
      <c r="V41" s="46" t="str">
        <f t="shared" si="29"/>
        <v/>
      </c>
      <c r="Y41" s="18" t="str">
        <f>'2 — IC Universe Table'!B42</f>
        <v>4684-JP</v>
      </c>
      <c r="Z41" s="18" t="str">
        <f>'2 — IC Universe Table'!C42</f>
        <v>OBIC Co., Ltd.</v>
      </c>
      <c r="AA41" s="45" t="str">
        <f t="array" ref="AA41:AE41">TRANSPOSE(_xll.FDS(Y41,"String_array Name= TRANSPOSE(TRANSPOSE(SA_SUBARRAY(FR_RBICS_REV_MATRIX_CURRENT(""IND""),1,9))[13:13]);float_array pct=TRANSPOSE(TRANSPOSE(SA_SUBARRAY(FR_RBICS_REV_MATRIX_CURRENT(""IND""),1,9))[14:14]);SORT_INDIRECT(Name,pct,2)[0:4]"))</f>
        <v>Enterprise Resource Planning Software</v>
      </c>
      <c r="AB41" s="45" t="str">
        <v>Diversified Hardware Distributors</v>
      </c>
      <c r="AC41" s="45" t="e">
        <v>#N/A</v>
      </c>
      <c r="AD41" s="45" t="e">
        <v>#N/A</v>
      </c>
      <c r="AE41" s="45" t="e">
        <v>#N/A</v>
      </c>
      <c r="AF41" s="45" t="str">
        <f t="array" ref="AF41:AJ41">TRANSPOSE(_xll.FDS(Y41,"String_array Name= TRANSPOSE(TRANSPOSE(SA_SUBARRAY(FR_RBICS_REV_MATRIX_CURRENT(""IND""),1,9))[14:14]);float_array pct=TRANSPOSE(TRANSPOSE(SA_SUBARRAY(FR_RBICS_REV_MATRIX_CURRENT(""IND""),1,9))[14:14]);SORT_INDIRECT(Name,pct,2)[0:4]"))</f>
        <v>93.498792</v>
      </c>
      <c r="AG41" s="47" t="str">
        <v>6.501208</v>
      </c>
      <c r="AH41" s="47" t="e">
        <v>#N/A</v>
      </c>
      <c r="AI41" s="47" t="e">
        <v>#N/A</v>
      </c>
      <c r="AJ41" s="47" t="e">
        <v>#N/A</v>
      </c>
      <c r="AK41" s="42" t="str">
        <f t="shared" si="30"/>
        <v>Enterprise Resource Planning Software</v>
      </c>
      <c r="AL41" s="45" t="str">
        <f t="shared" si="31"/>
        <v>Diversified Hardware Distributors</v>
      </c>
      <c r="AM41" s="45" t="str">
        <f t="shared" si="32"/>
        <v/>
      </c>
      <c r="AN41" s="45" t="str">
        <f t="shared" si="33"/>
        <v/>
      </c>
      <c r="AO41" s="45" t="str">
        <f t="shared" si="34"/>
        <v/>
      </c>
      <c r="AP41" s="46">
        <f t="shared" si="35"/>
        <v>0.93</v>
      </c>
      <c r="AQ41" s="46">
        <f t="shared" si="36"/>
        <v>7.0000000000000007E-2</v>
      </c>
      <c r="AR41" s="46" t="str">
        <f t="shared" si="37"/>
        <v/>
      </c>
      <c r="AS41" s="46" t="str">
        <f t="shared" si="38"/>
        <v/>
      </c>
      <c r="AT41" s="46" t="str">
        <f t="shared" si="39"/>
        <v/>
      </c>
    </row>
    <row r="42" spans="1:46" ht="15" customHeight="1" x14ac:dyDescent="0.25">
      <c r="A42" s="18" t="str">
        <f>'2 — IC Universe Table'!B43</f>
        <v>BSY-US</v>
      </c>
      <c r="B42" s="18" t="str">
        <f>'2 — IC Universe Table'!C43</f>
        <v>Bentley Systems, Incorporated Class B</v>
      </c>
      <c r="C42" s="45" t="str">
        <f t="array" ref="C42:G42">TRANSPOSE(_xll.FDS(A42,"TRANSPOSE(TRANSPOSE(FF_GEOREV_COUNTRY_REV_PCT_MATRIX)[1:1])[0:4]"))</f>
        <v>United States</v>
      </c>
      <c r="D42" s="45" t="str">
        <v>Mainland China</v>
      </c>
      <c r="E42" s="45" t="str">
        <v>Japan</v>
      </c>
      <c r="F42" s="45" t="str">
        <v>Brazil</v>
      </c>
      <c r="G42" s="45" t="str">
        <v>India</v>
      </c>
      <c r="H42" s="46" t="str">
        <f t="array" ref="H42:L42">TRANSPOSE(_xll.FDS(A42,"TRANSPOSE(TRANSPOSE(FF_GEOREV_COUNTRY_REV_PCT_MATRIX)[2:2])[0:4]"))</f>
        <v>41.51098</v>
      </c>
      <c r="I42" s="47" t="str">
        <v>3.244601</v>
      </c>
      <c r="J42" s="47" t="str">
        <v>2.892407</v>
      </c>
      <c r="K42" s="47" t="str">
        <v>2.81783</v>
      </c>
      <c r="L42" s="47" t="str">
        <v>2.770362</v>
      </c>
      <c r="M42" s="42" t="str">
        <f t="shared" si="20"/>
        <v>United States</v>
      </c>
      <c r="N42" s="45" t="str">
        <f t="shared" si="21"/>
        <v>Mainland China</v>
      </c>
      <c r="O42" s="45" t="str">
        <f t="shared" si="22"/>
        <v>Japan</v>
      </c>
      <c r="P42" s="45" t="str">
        <f t="shared" si="23"/>
        <v>Brazil</v>
      </c>
      <c r="Q42" s="45" t="str">
        <f t="shared" si="24"/>
        <v>India</v>
      </c>
      <c r="R42" s="46">
        <f t="shared" si="25"/>
        <v>0.42</v>
      </c>
      <c r="S42" s="46">
        <f t="shared" si="26"/>
        <v>0.03</v>
      </c>
      <c r="T42" s="46">
        <f t="shared" si="27"/>
        <v>0.03</v>
      </c>
      <c r="U42" s="46">
        <f t="shared" si="28"/>
        <v>0.03</v>
      </c>
      <c r="V42" s="46">
        <f t="shared" si="29"/>
        <v>0.03</v>
      </c>
      <c r="Y42" s="18" t="str">
        <f>'2 — IC Universe Table'!B43</f>
        <v>BSY-US</v>
      </c>
      <c r="Z42" s="18" t="str">
        <f>'2 — IC Universe Table'!C43</f>
        <v>Bentley Systems, Incorporated Class B</v>
      </c>
      <c r="AA42" s="45" t="str">
        <f t="array" ref="AA42:AE42">TRANSPOSE(_xll.FDS(Y42,"String_array Name= TRANSPOSE(TRANSPOSE(SA_SUBARRAY(FR_RBICS_REV_MATRIX_CURRENT(""IND""),1,9))[13:13]);float_array pct=TRANSPOSE(TRANSPOSE(SA_SUBARRAY(FR_RBICS_REV_MATRIX_CURRENT(""IND""),1,9))[14:14]);SORT_INDIRECT(Name,pct,2)[0:4]"))</f>
        <v>Computer Aided Design Software</v>
      </c>
      <c r="AB42" s="45" t="e">
        <v>#N/A</v>
      </c>
      <c r="AC42" s="45" t="e">
        <v>#N/A</v>
      </c>
      <c r="AD42" s="45" t="e">
        <v>#N/A</v>
      </c>
      <c r="AE42" s="45" t="e">
        <v>#N/A</v>
      </c>
      <c r="AF42" s="45" t="str">
        <f t="array" ref="AF42:AJ42">TRANSPOSE(_xll.FDS(Y42,"String_array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42" s="47" t="e">
        <v>#N/A</v>
      </c>
      <c r="AH42" s="47" t="e">
        <v>#N/A</v>
      </c>
      <c r="AI42" s="47" t="e">
        <v>#N/A</v>
      </c>
      <c r="AJ42" s="47" t="e">
        <v>#N/A</v>
      </c>
      <c r="AK42" s="42" t="str">
        <f t="shared" si="30"/>
        <v>Computer Aided Design Software</v>
      </c>
      <c r="AL42" s="45" t="str">
        <f t="shared" si="31"/>
        <v/>
      </c>
      <c r="AM42" s="45" t="str">
        <f t="shared" si="32"/>
        <v/>
      </c>
      <c r="AN42" s="45" t="str">
        <f t="shared" si="33"/>
        <v/>
      </c>
      <c r="AO42" s="45" t="str">
        <f t="shared" si="34"/>
        <v/>
      </c>
      <c r="AP42" s="46">
        <f t="shared" si="35"/>
        <v>1</v>
      </c>
      <c r="AQ42" s="46" t="str">
        <f t="shared" si="36"/>
        <v/>
      </c>
      <c r="AR42" s="46" t="str">
        <f t="shared" si="37"/>
        <v/>
      </c>
      <c r="AS42" s="46" t="str">
        <f t="shared" si="38"/>
        <v/>
      </c>
      <c r="AT42" s="46" t="str">
        <f t="shared" si="39"/>
        <v/>
      </c>
    </row>
    <row r="43" spans="1:46" ht="15" customHeight="1" x14ac:dyDescent="0.25">
      <c r="A43" s="18" t="str">
        <f>'2 — IC Universe Table'!B44</f>
        <v>OS-US</v>
      </c>
      <c r="B43" s="18" t="str">
        <f>'2 — IC Universe Table'!C44</f>
        <v>Onestream, Inc. Class A</v>
      </c>
      <c r="C43" s="45" t="str">
        <f t="array" ref="C43:G43">TRANSPOSE(_xll.FDS(A43,"TRANSPOSE(TRANSPOSE(FF_GEOREV_COUNTRY_REV_PCT_MATRIX)[1:1])[0:4]"))</f>
        <v>United States</v>
      </c>
      <c r="D43" s="45" t="str">
        <v>Mainland China</v>
      </c>
      <c r="E43" s="45" t="str">
        <v>Germany</v>
      </c>
      <c r="F43" s="45" t="str">
        <v>Japan</v>
      </c>
      <c r="G43" s="45" t="str">
        <v>India</v>
      </c>
      <c r="H43" s="46" t="str">
        <f t="array" ref="H43:L43">TRANSPOSE(_xll.FDS(A43,"TRANSPOSE(TRANSPOSE(FF_GEOREV_COUNTRY_REV_PCT_MATRIX)[2:2])[0:4]"))</f>
        <v>68.398286</v>
      </c>
      <c r="I43" s="47" t="str">
        <v>7.234442</v>
      </c>
      <c r="J43" s="47" t="str">
        <v>1.792193</v>
      </c>
      <c r="K43" s="47" t="str">
        <v>1.604565</v>
      </c>
      <c r="L43" s="47" t="str">
        <v>1.536861</v>
      </c>
      <c r="M43" s="42" t="str">
        <f t="shared" si="20"/>
        <v>United States</v>
      </c>
      <c r="N43" s="45" t="str">
        <f t="shared" si="21"/>
        <v>Mainland China</v>
      </c>
      <c r="O43" s="45" t="str">
        <f t="shared" si="22"/>
        <v>Germany</v>
      </c>
      <c r="P43" s="45" t="str">
        <f t="shared" si="23"/>
        <v>Japan</v>
      </c>
      <c r="Q43" s="45" t="str">
        <f t="shared" si="24"/>
        <v>India</v>
      </c>
      <c r="R43" s="46">
        <f t="shared" si="25"/>
        <v>0.68</v>
      </c>
      <c r="S43" s="46">
        <f t="shared" si="26"/>
        <v>7.0000000000000007E-2</v>
      </c>
      <c r="T43" s="46">
        <f t="shared" si="27"/>
        <v>0.02</v>
      </c>
      <c r="U43" s="46">
        <f t="shared" si="28"/>
        <v>0.02</v>
      </c>
      <c r="V43" s="46">
        <f t="shared" si="29"/>
        <v>0.02</v>
      </c>
      <c r="Y43" s="18" t="str">
        <f>'2 — IC Universe Table'!B44</f>
        <v>OS-US</v>
      </c>
      <c r="Z43" s="18" t="str">
        <f>'2 — IC Universe Table'!C44</f>
        <v>Onestream, Inc. Class A</v>
      </c>
      <c r="AA43" s="45" t="str">
        <f t="array" ref="AA43:AE43">TRANSPOSE(_xll.FDS(Y43,"String_array Name= TRANSPOSE(TRANSPOSE(SA_SUBARRAY(FR_RBICS_REV_MATRIX_CURRENT(""IND""),1,9))[13:13]);float_array pct=TRANSPOSE(TRANSPOSE(SA_SUBARRAY(FR_RBICS_REV_MATRIX_CURRENT(""IND""),1,9))[14:14]);SORT_INDIRECT(Name,pct,2)[0:4]"))</f>
        <v>Enterprise Resource Planning Software</v>
      </c>
      <c r="AB43" s="45" t="e">
        <v>#N/A</v>
      </c>
      <c r="AC43" s="45" t="e">
        <v>#N/A</v>
      </c>
      <c r="AD43" s="45" t="e">
        <v>#N/A</v>
      </c>
      <c r="AE43" s="45" t="e">
        <v>#N/A</v>
      </c>
      <c r="AF43" s="45" t="str">
        <f t="array" ref="AF43:AJ43">TRANSPOSE(_xll.FDS(Y43,"String_array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43" s="47" t="e">
        <v>#N/A</v>
      </c>
      <c r="AH43" s="47" t="e">
        <v>#N/A</v>
      </c>
      <c r="AI43" s="47" t="e">
        <v>#N/A</v>
      </c>
      <c r="AJ43" s="47" t="e">
        <v>#N/A</v>
      </c>
      <c r="AK43" s="42" t="str">
        <f t="shared" si="30"/>
        <v>Enterprise Resource Planning Software</v>
      </c>
      <c r="AL43" s="45" t="str">
        <f t="shared" si="31"/>
        <v/>
      </c>
      <c r="AM43" s="45" t="str">
        <f t="shared" si="32"/>
        <v/>
      </c>
      <c r="AN43" s="45" t="str">
        <f t="shared" si="33"/>
        <v/>
      </c>
      <c r="AO43" s="45" t="str">
        <f t="shared" si="34"/>
        <v/>
      </c>
      <c r="AP43" s="46">
        <f t="shared" si="35"/>
        <v>1</v>
      </c>
      <c r="AQ43" s="46" t="str">
        <f t="shared" si="36"/>
        <v/>
      </c>
      <c r="AR43" s="46" t="str">
        <f t="shared" si="37"/>
        <v/>
      </c>
      <c r="AS43" s="46" t="str">
        <f t="shared" si="38"/>
        <v/>
      </c>
      <c r="AT43" s="46" t="str">
        <f t="shared" si="39"/>
        <v/>
      </c>
    </row>
    <row r="44" spans="1:46" ht="15" customHeight="1" x14ac:dyDescent="0.25">
      <c r="A44" s="18" t="str">
        <f>'2 — IC Universe Table'!B45</f>
        <v>301269-CN</v>
      </c>
      <c r="B44" s="18" t="str">
        <f>'2 — IC Universe Table'!C45</f>
        <v>Empyrean Technology Co., Ltd. Class A</v>
      </c>
      <c r="C44" s="45" t="str">
        <f t="array" ref="C44:G44">TRANSPOSE(_xll.FDS(A44,"TRANSPOSE(TRANSPOSE(FF_GEOREV_COUNTRY_REV_PCT_MATRIX)[1:1])[0:4]"))</f>
        <v>Mainland China</v>
      </c>
      <c r="D44" s="45" t="str">
        <v>United States</v>
      </c>
      <c r="E44" s="45" t="str">
        <v>Germany</v>
      </c>
      <c r="F44" s="45" t="str">
        <v>Japan</v>
      </c>
      <c r="G44" s="45" t="str">
        <v>India</v>
      </c>
      <c r="H44" s="46" t="str">
        <f t="array" ref="H44:L44">TRANSPOSE(_xll.FDS(A44,"TRANSPOSE(TRANSPOSE(FF_GEOREV_COUNTRY_REV_PCT_MATRIX)[2:2])[0:4]"))</f>
        <v>95.275828</v>
      </c>
      <c r="I44" s="47" t="str">
        <v>1.49081</v>
      </c>
      <c r="J44" s="47" t="str">
        <v>0.237811</v>
      </c>
      <c r="K44" s="47" t="str">
        <v>0.212914</v>
      </c>
      <c r="L44" s="47" t="str">
        <v>0.20393</v>
      </c>
      <c r="M44" s="42" t="str">
        <f t="shared" si="20"/>
        <v>Mainland China</v>
      </c>
      <c r="N44" s="45" t="str">
        <f t="shared" si="21"/>
        <v>United States</v>
      </c>
      <c r="O44" s="45" t="str">
        <f t="shared" si="22"/>
        <v>Germany</v>
      </c>
      <c r="P44" s="45" t="str">
        <f t="shared" si="23"/>
        <v>Japan</v>
      </c>
      <c r="Q44" s="45" t="str">
        <f t="shared" si="24"/>
        <v>India</v>
      </c>
      <c r="R44" s="46">
        <f t="shared" si="25"/>
        <v>0.95</v>
      </c>
      <c r="S44" s="46">
        <f t="shared" si="26"/>
        <v>0.01</v>
      </c>
      <c r="T44" s="46">
        <f t="shared" si="27"/>
        <v>0</v>
      </c>
      <c r="U44" s="46">
        <f t="shared" si="28"/>
        <v>0</v>
      </c>
      <c r="V44" s="46">
        <f t="shared" si="29"/>
        <v>0</v>
      </c>
      <c r="Y44" s="18" t="str">
        <f>'2 — IC Universe Table'!B45</f>
        <v>301269-CN</v>
      </c>
      <c r="Z44" s="18" t="str">
        <f>'2 — IC Universe Table'!C45</f>
        <v>Empyrean Technology Co., Ltd. Class A</v>
      </c>
      <c r="AA44" s="45" t="str">
        <f t="array" ref="AA44:AE44">TRANSPOSE(_xll.FDS(Y44,"String_array Name= TRANSPOSE(TRANSPOSE(SA_SUBARRAY(FR_RBICS_REV_MATRIX_CURRENT(""IND""),1,9))[13:13]);float_array pct=TRANSPOSE(TRANSPOSE(SA_SUBARRAY(FR_RBICS_REV_MATRIX_CURRENT(""IND""),1,9))[14:14]);SORT_INDIRECT(Name,pct,2)[0:4]"))</f>
        <v>Electronic Design Automation Software</v>
      </c>
      <c r="AB44" s="45" t="str">
        <v>Other Design and Engineering Software</v>
      </c>
      <c r="AC44" s="45" t="e">
        <v>#N/A</v>
      </c>
      <c r="AD44" s="45" t="e">
        <v>#N/A</v>
      </c>
      <c r="AE44" s="45" t="e">
        <v>#N/A</v>
      </c>
      <c r="AF44" s="45" t="str">
        <f t="array" ref="AF44:AJ44">TRANSPOSE(_xll.FDS(Y44,"String_array Name= TRANSPOSE(TRANSPOSE(SA_SUBARRAY(FR_RBICS_REV_MATRIX_CURRENT(""IND""),1,9))[14:14]);float_array pct=TRANSPOSE(TRANSPOSE(SA_SUBARRAY(FR_RBICS_REV_MATRIX_CURRENT(""IND""),1,9))[14:14]);SORT_INDIRECT(Name,pct,2)[0:4]"))</f>
        <v>90.586389</v>
      </c>
      <c r="AG44" s="47" t="str">
        <v>9.413611</v>
      </c>
      <c r="AH44" s="47" t="e">
        <v>#N/A</v>
      </c>
      <c r="AI44" s="47" t="e">
        <v>#N/A</v>
      </c>
      <c r="AJ44" s="47" t="e">
        <v>#N/A</v>
      </c>
      <c r="AK44" s="42" t="str">
        <f t="shared" si="30"/>
        <v>Electronic Design Automation Software</v>
      </c>
      <c r="AL44" s="45" t="str">
        <f t="shared" si="31"/>
        <v>Other Design and Engineering Software</v>
      </c>
      <c r="AM44" s="45" t="str">
        <f t="shared" si="32"/>
        <v/>
      </c>
      <c r="AN44" s="45" t="str">
        <f t="shared" si="33"/>
        <v/>
      </c>
      <c r="AO44" s="45" t="str">
        <f t="shared" si="34"/>
        <v/>
      </c>
      <c r="AP44" s="46">
        <f t="shared" si="35"/>
        <v>0.91</v>
      </c>
      <c r="AQ44" s="46">
        <f t="shared" si="36"/>
        <v>0.09</v>
      </c>
      <c r="AR44" s="46" t="str">
        <f t="shared" si="37"/>
        <v/>
      </c>
      <c r="AS44" s="46" t="str">
        <f t="shared" si="38"/>
        <v/>
      </c>
      <c r="AT44" s="46" t="str">
        <f t="shared" si="39"/>
        <v/>
      </c>
    </row>
    <row r="45" spans="1:46" ht="15" customHeight="1" x14ac:dyDescent="0.25">
      <c r="A45" s="18" t="str">
        <f>'2 — IC Universe Table'!B46</f>
        <v>PANW-US</v>
      </c>
      <c r="B45" s="18" t="str">
        <f>'2 — IC Universe Table'!C46</f>
        <v>Palo Alto Networks, Inc.</v>
      </c>
      <c r="C45" s="45" t="str">
        <f t="array" ref="C45:G45">TRANSPOSE(_xll.FDS(A45,"TRANSPOSE(TRANSPOSE(FF_GEOREV_COUNTRY_REV_PCT_MATRIX)[1:1])[0:4]"))</f>
        <v>United States</v>
      </c>
      <c r="D45" s="45" t="str">
        <v>Mainland China</v>
      </c>
      <c r="E45" s="45" t="str">
        <v>India</v>
      </c>
      <c r="F45" s="45" t="str">
        <v>Japan</v>
      </c>
      <c r="G45" s="45" t="str">
        <v>France</v>
      </c>
      <c r="H45" s="46" t="str">
        <f t="array" ref="H45:L45">TRANSPOSE(_xll.FDS(A45,"TRANSPOSE(TRANSPOSE(FF_GEOREV_COUNTRY_REV_PCT_MATRIX)[2:2])[0:4]"))</f>
        <v>62.746841</v>
      </c>
      <c r="I45" s="47" t="str">
        <v>2.204016</v>
      </c>
      <c r="J45" s="47" t="str">
        <v>1.861018</v>
      </c>
      <c r="K45" s="47" t="str">
        <v>1.860757</v>
      </c>
      <c r="L45" s="47" t="str">
        <v>1.814664</v>
      </c>
      <c r="M45" s="42" t="str">
        <f t="shared" si="20"/>
        <v>United States</v>
      </c>
      <c r="N45" s="45" t="str">
        <f t="shared" si="21"/>
        <v>Mainland China</v>
      </c>
      <c r="O45" s="45" t="str">
        <f t="shared" si="22"/>
        <v>India</v>
      </c>
      <c r="P45" s="45" t="str">
        <f t="shared" si="23"/>
        <v>Japan</v>
      </c>
      <c r="Q45" s="45" t="str">
        <f t="shared" si="24"/>
        <v>France</v>
      </c>
      <c r="R45" s="46">
        <f t="shared" si="25"/>
        <v>0.63</v>
      </c>
      <c r="S45" s="46">
        <f t="shared" si="26"/>
        <v>0.02</v>
      </c>
      <c r="T45" s="46">
        <f t="shared" si="27"/>
        <v>0.02</v>
      </c>
      <c r="U45" s="46">
        <f t="shared" si="28"/>
        <v>0.02</v>
      </c>
      <c r="V45" s="46">
        <f t="shared" si="29"/>
        <v>0.02</v>
      </c>
      <c r="Y45" s="18" t="str">
        <f>'2 — IC Universe Table'!B46</f>
        <v>PANW-US</v>
      </c>
      <c r="Z45" s="18" t="str">
        <f>'2 — IC Universe Table'!C46</f>
        <v>Palo Alto Networks, Inc.</v>
      </c>
      <c r="AA45" s="45" t="str">
        <f t="array" ref="AA45:AE45">TRANSPOSE(_xll.FDS(Y45,"String_array Name= TRANSPOSE(TRANSPOSE(SA_SUBARRAY(FR_RBICS_REV_MATRIX_CURRENT(""IND""),1,9))[13:13]);float_array pct=TRANSPOSE(TRANSPOSE(SA_SUBARRAY(FR_RBICS_REV_MATRIX_CURRENT(""IND""),1,9))[14:14]);SORT_INDIRECT(Name,pct,2)[0:4]"))</f>
        <v>Network Infrastructure Software</v>
      </c>
      <c r="AB45" s="45" t="str">
        <v>Customer Premises Network Security Equipment</v>
      </c>
      <c r="AC45" s="45" t="e">
        <v>#N/A</v>
      </c>
      <c r="AD45" s="45" t="e">
        <v>#N/A</v>
      </c>
      <c r="AE45" s="45" t="e">
        <v>#N/A</v>
      </c>
      <c r="AF45" s="45" t="str">
        <f t="array" ref="AF45:AJ45">TRANSPOSE(_xll.FDS(Y45,"String_array Name= TRANSPOSE(TRANSPOSE(SA_SUBARRAY(FR_RBICS_REV_MATRIX_CURRENT(""IND""),1,9))[14:14]);float_array pct=TRANSPOSE(TRANSPOSE(SA_SUBARRAY(FR_RBICS_REV_MATRIX_CURRENT(""IND""),1,9))[14:14]);SORT_INDIRECT(Name,pct,2)[0:4]"))</f>
        <v>53.943502</v>
      </c>
      <c r="AG45" s="47" t="str">
        <v>46.056498</v>
      </c>
      <c r="AH45" s="47" t="e">
        <v>#N/A</v>
      </c>
      <c r="AI45" s="47" t="e">
        <v>#N/A</v>
      </c>
      <c r="AJ45" s="47" t="e">
        <v>#N/A</v>
      </c>
      <c r="AK45" s="42" t="str">
        <f t="shared" si="30"/>
        <v>Network Infrastructure Software</v>
      </c>
      <c r="AL45" s="45" t="str">
        <f t="shared" si="31"/>
        <v>Customer Premises Network Security Equipment</v>
      </c>
      <c r="AM45" s="45" t="str">
        <f t="shared" si="32"/>
        <v/>
      </c>
      <c r="AN45" s="45" t="str">
        <f t="shared" si="33"/>
        <v/>
      </c>
      <c r="AO45" s="45" t="str">
        <f t="shared" si="34"/>
        <v/>
      </c>
      <c r="AP45" s="46">
        <f t="shared" si="35"/>
        <v>0.54</v>
      </c>
      <c r="AQ45" s="46">
        <f t="shared" si="36"/>
        <v>0.46</v>
      </c>
      <c r="AR45" s="46" t="str">
        <f t="shared" si="37"/>
        <v/>
      </c>
      <c r="AS45" s="46" t="str">
        <f t="shared" si="38"/>
        <v/>
      </c>
      <c r="AT45" s="46" t="str">
        <f t="shared" si="39"/>
        <v/>
      </c>
    </row>
    <row r="46" spans="1:46" ht="15" customHeight="1" x14ac:dyDescent="0.25">
      <c r="A46" s="18" t="str">
        <f>'2 — IC Universe Table'!B47</f>
        <v>SPSC-US</v>
      </c>
      <c r="B46" s="18" t="str">
        <f>'2 — IC Universe Table'!C47</f>
        <v>SPS Commerce, Inc.</v>
      </c>
      <c r="C46" s="45" t="str">
        <f t="array" ref="C46:G46">TRANSPOSE(_xll.FDS(A46,"TRANSPOSE(TRANSPOSE(FF_GEOREV_COUNTRY_REV_PCT_MATRIX)[1:1])[0:4]"))</f>
        <v>United States</v>
      </c>
      <c r="D46" s="45" t="str">
        <v>Mainland China</v>
      </c>
      <c r="E46" s="45" t="str">
        <v>Germany</v>
      </c>
      <c r="F46" s="45" t="str">
        <v>India</v>
      </c>
      <c r="G46" s="45" t="str">
        <v>Japan</v>
      </c>
      <c r="H46" s="46" t="str">
        <f t="array" ref="H46:L46">TRANSPOSE(_xll.FDS(A46,"TRANSPOSE(TRANSPOSE(FF_GEOREV_COUNTRY_REV_PCT_MATRIX)[2:2])[0:4]"))</f>
        <v>84</v>
      </c>
      <c r="I46" s="47" t="str">
        <v>3.685112</v>
      </c>
      <c r="J46" s="47" t="str">
        <v>0.909183</v>
      </c>
      <c r="K46" s="47" t="str">
        <v>0.802301</v>
      </c>
      <c r="L46" s="47" t="str">
        <v>0.802189</v>
      </c>
      <c r="M46" s="42" t="str">
        <f t="shared" si="20"/>
        <v>United States</v>
      </c>
      <c r="N46" s="45" t="str">
        <f t="shared" si="21"/>
        <v>Mainland China</v>
      </c>
      <c r="O46" s="45" t="str">
        <f t="shared" si="22"/>
        <v>Germany</v>
      </c>
      <c r="P46" s="45" t="str">
        <f t="shared" si="23"/>
        <v>India</v>
      </c>
      <c r="Q46" s="45" t="str">
        <f t="shared" si="24"/>
        <v>Japan</v>
      </c>
      <c r="R46" s="46">
        <f t="shared" si="25"/>
        <v>0.84</v>
      </c>
      <c r="S46" s="46">
        <f t="shared" si="26"/>
        <v>0.04</v>
      </c>
      <c r="T46" s="46">
        <f t="shared" si="27"/>
        <v>0.01</v>
      </c>
      <c r="U46" s="46">
        <f t="shared" si="28"/>
        <v>0.01</v>
      </c>
      <c r="V46" s="46">
        <f t="shared" si="29"/>
        <v>0.01</v>
      </c>
      <c r="Y46" s="18" t="str">
        <f>'2 — IC Universe Table'!B47</f>
        <v>SPSC-US</v>
      </c>
      <c r="Z46" s="18" t="str">
        <f>'2 — IC Universe Table'!C47</f>
        <v>SPS Commerce, Inc.</v>
      </c>
      <c r="AA46" s="45" t="str">
        <f t="array" ref="AA46:AE46">TRANSPOSE(_xll.FDS(Y46,"String_array Name= TRANSPOSE(TRANSPOSE(SA_SUBARRAY(FR_RBICS_REV_MATRIX_CURRENT(""IND""),1,9))[13:13]);float_array pct=TRANSPOSE(TRANSPOSE(SA_SUBARRAY(FR_RBICS_REV_MATRIX_CURRENT(""IND""),1,9))[14:14]);SORT_INDIRECT(Name,pct,2)[0:4]"))</f>
        <v>Enterprise Resource Planning Software</v>
      </c>
      <c r="AB46" s="45" t="str">
        <v>Retail Industry Software</v>
      </c>
      <c r="AC46" s="45" t="e">
        <v>#N/A</v>
      </c>
      <c r="AD46" s="45" t="e">
        <v>#N/A</v>
      </c>
      <c r="AE46" s="45" t="e">
        <v>#N/A</v>
      </c>
      <c r="AF46" s="45" t="str">
        <f t="array" ref="AF46:AJ46">TRANSPOSE(_xll.FDS(Y46,"String_array Name= TRANSPOSE(TRANSPOSE(SA_SUBARRAY(FR_RBICS_REV_MATRIX_CURRENT(""IND""),1,9))[14:14]);float_array pct=TRANSPOSE(TRANSPOSE(SA_SUBARRAY(FR_RBICS_REV_MATRIX_CURRENT(""IND""),1,9))[14:14]);SORT_INDIRECT(Name,pct,2)[0:4]"))</f>
        <v>91.263710</v>
      </c>
      <c r="AG46" s="47" t="str">
        <v>8.736290</v>
      </c>
      <c r="AH46" s="47" t="e">
        <v>#N/A</v>
      </c>
      <c r="AI46" s="47" t="e">
        <v>#N/A</v>
      </c>
      <c r="AJ46" s="47" t="e">
        <v>#N/A</v>
      </c>
      <c r="AK46" s="42" t="str">
        <f t="shared" si="30"/>
        <v>Enterprise Resource Planning Software</v>
      </c>
      <c r="AL46" s="45" t="str">
        <f t="shared" si="31"/>
        <v>Retail Industry Software</v>
      </c>
      <c r="AM46" s="45" t="str">
        <f t="shared" si="32"/>
        <v/>
      </c>
      <c r="AN46" s="45" t="str">
        <f t="shared" si="33"/>
        <v/>
      </c>
      <c r="AO46" s="45" t="str">
        <f t="shared" si="34"/>
        <v/>
      </c>
      <c r="AP46" s="46">
        <f t="shared" si="35"/>
        <v>0.91</v>
      </c>
      <c r="AQ46" s="46">
        <f t="shared" si="36"/>
        <v>0.09</v>
      </c>
      <c r="AR46" s="46" t="str">
        <f t="shared" si="37"/>
        <v/>
      </c>
      <c r="AS46" s="46" t="str">
        <f t="shared" si="38"/>
        <v/>
      </c>
      <c r="AT46" s="46" t="str">
        <f t="shared" si="39"/>
        <v/>
      </c>
    </row>
    <row r="47" spans="1:46" ht="15" customHeight="1" x14ac:dyDescent="0.25">
      <c r="A47" s="18" t="str">
        <f>'2 — IC Universe Table'!B48</f>
        <v>PAYX-US</v>
      </c>
      <c r="B47" s="18" t="str">
        <f>'2 — IC Universe Table'!C48</f>
        <v>Paychex, Inc.</v>
      </c>
      <c r="C47" s="45" t="str">
        <f t="array" ref="C47:G47">TRANSPOSE(_xll.FDS(A47,"TRANSPOSE(TRANSPOSE(FF_GEOREV_COUNTRY_REV_PCT_MATRIX)[1:1])[0:4]"))</f>
        <v>United States</v>
      </c>
      <c r="D47" s="45" t="str">
        <v>Germany</v>
      </c>
      <c r="E47" s="45" t="str">
        <v>United Kingdom</v>
      </c>
      <c r="F47" s="45" t="str">
        <v>France</v>
      </c>
      <c r="G47" s="45" t="str">
        <v>Italy</v>
      </c>
      <c r="H47" s="46" t="str">
        <f t="array" ref="H47:L47">TRANSPOSE(_xll.FDS(A47,"TRANSPOSE(TRANSPOSE(FF_GEOREV_COUNTRY_REV_PCT_MATRIX)[2:2])[0:4]"))</f>
        <v>99</v>
      </c>
      <c r="I47" s="47" t="str">
        <v>0.138324</v>
      </c>
      <c r="J47" s="47" t="str">
        <v>0.108219</v>
      </c>
      <c r="K47" s="47" t="str">
        <v>0.093889</v>
      </c>
      <c r="L47" s="47" t="str">
        <v>0.08707</v>
      </c>
      <c r="M47" s="42" t="str">
        <f t="shared" si="20"/>
        <v>United States</v>
      </c>
      <c r="N47" s="45" t="str">
        <f t="shared" si="21"/>
        <v>Germany</v>
      </c>
      <c r="O47" s="45" t="str">
        <f t="shared" si="22"/>
        <v>United Kingdom</v>
      </c>
      <c r="P47" s="45" t="str">
        <f t="shared" si="23"/>
        <v>France</v>
      </c>
      <c r="Q47" s="45" t="str">
        <f t="shared" si="24"/>
        <v>Italy</v>
      </c>
      <c r="R47" s="46">
        <f t="shared" si="25"/>
        <v>0.99</v>
      </c>
      <c r="S47" s="46">
        <f t="shared" si="26"/>
        <v>0</v>
      </c>
      <c r="T47" s="46">
        <f t="shared" si="27"/>
        <v>0</v>
      </c>
      <c r="U47" s="46">
        <f t="shared" si="28"/>
        <v>0</v>
      </c>
      <c r="V47" s="46">
        <f t="shared" si="29"/>
        <v>0</v>
      </c>
      <c r="Y47" s="18" t="str">
        <f>'2 — IC Universe Table'!B48</f>
        <v>PAYX-US</v>
      </c>
      <c r="Z47" s="18" t="str">
        <f>'2 — IC Universe Table'!C48</f>
        <v>Paychex, Inc.</v>
      </c>
      <c r="AA47" s="45" t="str">
        <f t="array" ref="AA47:AE47">TRANSPOSE(_xll.FDS(Y47,"String_array Name= TRANSPOSE(TRANSPOSE(SA_SUBARRAY(FR_RBICS_REV_MATRIX_CURRENT(""IND""),1,9))[13:13]);float_array pct=TRANSPOSE(TRANSPOSE(SA_SUBARRAY(FR_RBICS_REV_MATRIX_CURRENT(""IND""),1,9))[14:14]);SORT_INDIRECT(Name,pct,2)[0:4]"))</f>
        <v>Enterprise Resource Planning Software</v>
      </c>
      <c r="AB47" s="45" t="str">
        <v>Corporate or Other Unallocated Revenue</v>
      </c>
      <c r="AC47" s="45" t="e">
        <v>#N/A</v>
      </c>
      <c r="AD47" s="45" t="e">
        <v>#N/A</v>
      </c>
      <c r="AE47" s="45" t="e">
        <v>#N/A</v>
      </c>
      <c r="AF47" s="45" t="str">
        <f t="array" ref="AF47:AJ47">TRANSPOSE(_xll.FDS(Y47,"String_array Name= TRANSPOSE(TRANSPOSE(SA_SUBARRAY(FR_RBICS_REV_MATRIX_CURRENT(""IND""),1,9))[14:14]);float_array pct=TRANSPOSE(TRANSPOSE(SA_SUBARRAY(FR_RBICS_REV_MATRIX_CURRENT(""IND""),1,9))[14:14]);SORT_INDIRECT(Name,pct,2)[0:4]"))</f>
        <v>97.097834</v>
      </c>
      <c r="AG47" s="47" t="str">
        <v>2.902166</v>
      </c>
      <c r="AH47" s="47" t="e">
        <v>#N/A</v>
      </c>
      <c r="AI47" s="47" t="e">
        <v>#N/A</v>
      </c>
      <c r="AJ47" s="47" t="e">
        <v>#N/A</v>
      </c>
      <c r="AK47" s="42" t="str">
        <f t="shared" si="30"/>
        <v>Enterprise Resource Planning Software</v>
      </c>
      <c r="AL47" s="45" t="str">
        <f t="shared" si="31"/>
        <v>Corporate or Other Unallocated Revenue</v>
      </c>
      <c r="AM47" s="45" t="str">
        <f t="shared" si="32"/>
        <v/>
      </c>
      <c r="AN47" s="45" t="str">
        <f t="shared" si="33"/>
        <v/>
      </c>
      <c r="AO47" s="45" t="str">
        <f t="shared" si="34"/>
        <v/>
      </c>
      <c r="AP47" s="46">
        <f t="shared" si="35"/>
        <v>0.97</v>
      </c>
      <c r="AQ47" s="46">
        <f t="shared" si="36"/>
        <v>0.03</v>
      </c>
      <c r="AR47" s="46" t="str">
        <f t="shared" si="37"/>
        <v/>
      </c>
      <c r="AS47" s="46" t="str">
        <f t="shared" si="38"/>
        <v/>
      </c>
      <c r="AT47" s="46" t="str">
        <f t="shared" si="39"/>
        <v/>
      </c>
    </row>
    <row r="48" spans="1:46" ht="15" customHeight="1" x14ac:dyDescent="0.25">
      <c r="A48" s="18" t="str">
        <f>'2 — IC Universe Table'!B49</f>
        <v>APPF-US</v>
      </c>
      <c r="B48" s="18" t="str">
        <f>'2 — IC Universe Table'!C49</f>
        <v>AppFolio Inc Class A</v>
      </c>
      <c r="C48" s="45" t="str">
        <f t="array" ref="C48:G48">TRANSPOSE(_xll.FDS(A48,"TRANSPOSE(TRANSPOSE(FF_GEOREV_COUNTRY_REV_PCT_MATRIX)[1:1])[0:4]"))</f>
        <v>United States</v>
      </c>
      <c r="D48" s="45" t="e">
        <v>#N/A</v>
      </c>
      <c r="E48" s="45" t="e">
        <v>#N/A</v>
      </c>
      <c r="F48" s="45" t="e">
        <v>#N/A</v>
      </c>
      <c r="G48" s="45" t="e">
        <v>#N/A</v>
      </c>
      <c r="H48" s="46" t="str">
        <f t="array" ref="H48:L48">TRANSPOSE(_xll.FDS(A48,"TRANSPOSE(TRANSPOSE(FF_GEOREV_COUNTRY_REV_PCT_MATRIX)[2:2])[0:4]"))</f>
        <v>100</v>
      </c>
      <c r="I48" s="47" t="e">
        <v>#N/A</v>
      </c>
      <c r="J48" s="47" t="e">
        <v>#N/A</v>
      </c>
      <c r="K48" s="47" t="e">
        <v>#N/A</v>
      </c>
      <c r="L48" s="47" t="e">
        <v>#N/A</v>
      </c>
      <c r="M48" s="42" t="str">
        <f t="shared" si="20"/>
        <v>United States</v>
      </c>
      <c r="N48" s="45" t="str">
        <f t="shared" si="21"/>
        <v/>
      </c>
      <c r="O48" s="45" t="str">
        <f t="shared" si="22"/>
        <v/>
      </c>
      <c r="P48" s="45" t="str">
        <f t="shared" si="23"/>
        <v/>
      </c>
      <c r="Q48" s="45" t="str">
        <f t="shared" si="24"/>
        <v/>
      </c>
      <c r="R48" s="46">
        <f t="shared" si="25"/>
        <v>1</v>
      </c>
      <c r="S48" s="46" t="str">
        <f t="shared" si="26"/>
        <v/>
      </c>
      <c r="T48" s="46" t="str">
        <f t="shared" si="27"/>
        <v/>
      </c>
      <c r="U48" s="46" t="str">
        <f t="shared" si="28"/>
        <v/>
      </c>
      <c r="V48" s="46" t="str">
        <f t="shared" si="29"/>
        <v/>
      </c>
      <c r="Y48" s="18" t="str">
        <f>'2 — IC Universe Table'!B49</f>
        <v>APPF-US</v>
      </c>
      <c r="Z48" s="18" t="str">
        <f>'2 — IC Universe Table'!C49</f>
        <v>AppFolio Inc Class A</v>
      </c>
      <c r="AA48" s="45" t="str">
        <f t="array" ref="AA48:AE48">TRANSPOSE(_xll.FDS(Y48,"String_array Name= TRANSPOSE(TRANSPOSE(SA_SUBARRAY(FR_RBICS_REV_MATRIX_CURRENT(""IND""),1,9))[13:13]);float_array pct=TRANSPOSE(TRANSPOSE(SA_SUBARRAY(FR_RBICS_REV_MATRIX_CURRENT(""IND""),1,9))[14:14]);SORT_INDIRECT(Name,pct,2)[0:4]"))</f>
        <v>Other Real Estate Investment and Services</v>
      </c>
      <c r="AB48" s="45" t="str">
        <v>General or Multi-Industry Revenue</v>
      </c>
      <c r="AC48" s="45" t="e">
        <v>#N/A</v>
      </c>
      <c r="AD48" s="45" t="e">
        <v>#N/A</v>
      </c>
      <c r="AE48" s="45" t="e">
        <v>#N/A</v>
      </c>
      <c r="AF48" s="45" t="str">
        <f t="array" ref="AF48:AJ48">TRANSPOSE(_xll.FDS(Y48,"String_array Name= TRANSPOSE(TRANSPOSE(SA_SUBARRAY(FR_RBICS_REV_MATRIX_CURRENT(""IND""),1,9))[14:14]);float_array pct=TRANSPOSE(TRANSPOSE(SA_SUBARRAY(FR_RBICS_REV_MATRIX_CURRENT(""IND""),1,9))[14:14]);SORT_INDIRECT(Name,pct,2)[0:4]"))</f>
        <v>98.126253</v>
      </c>
      <c r="AG48" s="47" t="str">
        <v>1.873747</v>
      </c>
      <c r="AH48" s="47" t="e">
        <v>#N/A</v>
      </c>
      <c r="AI48" s="47" t="e">
        <v>#N/A</v>
      </c>
      <c r="AJ48" s="47" t="e">
        <v>#N/A</v>
      </c>
      <c r="AK48" s="42" t="str">
        <f t="shared" si="30"/>
        <v>Other Real Estate Investment and Services</v>
      </c>
      <c r="AL48" s="45" t="str">
        <f t="shared" si="31"/>
        <v>General or Multi-Industry Revenue</v>
      </c>
      <c r="AM48" s="45" t="str">
        <f t="shared" si="32"/>
        <v/>
      </c>
      <c r="AN48" s="45" t="str">
        <f t="shared" si="33"/>
        <v/>
      </c>
      <c r="AO48" s="45" t="str">
        <f t="shared" si="34"/>
        <v/>
      </c>
      <c r="AP48" s="46">
        <f t="shared" si="35"/>
        <v>0.98</v>
      </c>
      <c r="AQ48" s="46">
        <f t="shared" si="36"/>
        <v>0.02</v>
      </c>
      <c r="AR48" s="46" t="str">
        <f t="shared" si="37"/>
        <v/>
      </c>
      <c r="AS48" s="46" t="str">
        <f t="shared" si="38"/>
        <v/>
      </c>
      <c r="AT48" s="46" t="str">
        <f t="shared" si="39"/>
        <v/>
      </c>
    </row>
    <row r="49" spans="1:46" ht="15" customHeight="1" x14ac:dyDescent="0.25">
      <c r="A49" s="18" t="str">
        <f>'2 — IC Universe Table'!B50</f>
        <v>QTWO-US</v>
      </c>
      <c r="B49" s="18" t="str">
        <f>'2 — IC Universe Table'!C50</f>
        <v>Q2 Holdings, Inc.</v>
      </c>
      <c r="C49" s="45" t="str">
        <f t="array" ref="C49:G49">TRANSPOSE(_xll.FDS(A49,"TRANSPOSE(TRANSPOSE(FF_GEOREV_COUNTRY_REV_PCT_MATRIX)[1:1])[0:4]"))</f>
        <v>United States</v>
      </c>
      <c r="D49" s="45" t="e">
        <v>#N/A</v>
      </c>
      <c r="E49" s="45" t="e">
        <v>#N/A</v>
      </c>
      <c r="F49" s="45" t="e">
        <v>#N/A</v>
      </c>
      <c r="G49" s="45" t="e">
        <v>#N/A</v>
      </c>
      <c r="H49" s="46" t="str">
        <f t="array" ref="H49:L49">TRANSPOSE(_xll.FDS(A49,"TRANSPOSE(TRANSPOSE(FF_GEOREV_COUNTRY_REV_PCT_MATRIX)[2:2])[0:4]"))</f>
        <v>100</v>
      </c>
      <c r="I49" s="47" t="e">
        <v>#N/A</v>
      </c>
      <c r="J49" s="47" t="e">
        <v>#N/A</v>
      </c>
      <c r="K49" s="47" t="e">
        <v>#N/A</v>
      </c>
      <c r="L49" s="47" t="e">
        <v>#N/A</v>
      </c>
      <c r="M49" s="42" t="str">
        <f t="shared" si="20"/>
        <v>United States</v>
      </c>
      <c r="N49" s="45" t="str">
        <f t="shared" si="21"/>
        <v/>
      </c>
      <c r="O49" s="45" t="str">
        <f t="shared" si="22"/>
        <v/>
      </c>
      <c r="P49" s="45" t="str">
        <f t="shared" si="23"/>
        <v/>
      </c>
      <c r="Q49" s="45" t="str">
        <f t="shared" si="24"/>
        <v/>
      </c>
      <c r="R49" s="46">
        <f t="shared" si="25"/>
        <v>1</v>
      </c>
      <c r="S49" s="46" t="str">
        <f t="shared" si="26"/>
        <v/>
      </c>
      <c r="T49" s="46" t="str">
        <f t="shared" si="27"/>
        <v/>
      </c>
      <c r="U49" s="46" t="str">
        <f t="shared" si="28"/>
        <v/>
      </c>
      <c r="V49" s="46" t="str">
        <f t="shared" si="29"/>
        <v/>
      </c>
      <c r="Y49" s="18" t="str">
        <f>'2 — IC Universe Table'!B50</f>
        <v>QTWO-US</v>
      </c>
      <c r="Z49" s="18" t="str">
        <f>'2 — IC Universe Table'!C50</f>
        <v>Q2 Holdings, Inc.</v>
      </c>
      <c r="AA49" s="45" t="str">
        <f t="array" ref="AA49:AE49">TRANSPOSE(_xll.FDS(Y49,"String_array Name= TRANSPOSE(TRANSPOSE(SA_SUBARRAY(FR_RBICS_REV_MATRIX_CURRENT(""IND""),1,9))[13:13]);float_array pct=TRANSPOSE(TRANSPOSE(SA_SUBARRAY(FR_RBICS_REV_MATRIX_CURRENT(""IND""),1,9))[14:14]);SORT_INDIRECT(Name,pct,2)[0:4]"))</f>
        <v>Finance Industry Software</v>
      </c>
      <c r="AB49" s="45" t="e">
        <v>#N/A</v>
      </c>
      <c r="AC49" s="45" t="e">
        <v>#N/A</v>
      </c>
      <c r="AD49" s="45" t="e">
        <v>#N/A</v>
      </c>
      <c r="AE49" s="45" t="e">
        <v>#N/A</v>
      </c>
      <c r="AF49" s="45" t="str">
        <f t="array" ref="AF49:AJ49">TRANSPOSE(_xll.FDS(Y49,"String_array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49" s="47" t="e">
        <v>#N/A</v>
      </c>
      <c r="AH49" s="47" t="e">
        <v>#N/A</v>
      </c>
      <c r="AI49" s="47" t="e">
        <v>#N/A</v>
      </c>
      <c r="AJ49" s="47" t="e">
        <v>#N/A</v>
      </c>
      <c r="AK49" s="42" t="str">
        <f t="shared" si="30"/>
        <v>Finance Industry Software</v>
      </c>
      <c r="AL49" s="45" t="str">
        <f t="shared" si="31"/>
        <v/>
      </c>
      <c r="AM49" s="45" t="str">
        <f t="shared" si="32"/>
        <v/>
      </c>
      <c r="AN49" s="45" t="str">
        <f t="shared" si="33"/>
        <v/>
      </c>
      <c r="AO49" s="45" t="str">
        <f t="shared" si="34"/>
        <v/>
      </c>
      <c r="AP49" s="46">
        <f t="shared" si="35"/>
        <v>1</v>
      </c>
      <c r="AQ49" s="46" t="str">
        <f t="shared" si="36"/>
        <v/>
      </c>
      <c r="AR49" s="46" t="str">
        <f t="shared" si="37"/>
        <v/>
      </c>
      <c r="AS49" s="46" t="str">
        <f t="shared" si="38"/>
        <v/>
      </c>
      <c r="AT49" s="46" t="str">
        <f t="shared" si="39"/>
        <v/>
      </c>
    </row>
    <row r="50" spans="1:46" ht="15" customHeight="1" x14ac:dyDescent="0.25">
      <c r="A50" s="18" t="str">
        <f>'2 — IC Universe Table'!B51</f>
        <v>VERX-US</v>
      </c>
      <c r="B50" s="18" t="str">
        <f>'2 — IC Universe Table'!C51</f>
        <v>Vertex, Inc.</v>
      </c>
      <c r="C50" s="45" t="str">
        <f t="array" ref="C50:G50">TRANSPOSE(_xll.FDS(A50,"TRANSPOSE(TRANSPOSE(FF_GEOREV_COUNTRY_REV_PCT_MATRIX)[1:1])[0:4]"))</f>
        <v>United States</v>
      </c>
      <c r="D50" s="45" t="str">
        <v>Germany</v>
      </c>
      <c r="E50" s="45" t="str">
        <v>United Kingdom</v>
      </c>
      <c r="F50" s="45" t="str">
        <v>France</v>
      </c>
      <c r="G50" s="45" t="str">
        <v>Italy</v>
      </c>
      <c r="H50" s="46" t="str">
        <f t="array" ref="H50:L50">TRANSPOSE(_xll.FDS(A50,"TRANSPOSE(TRANSPOSE(FF_GEOREV_COUNTRY_REV_PCT_MATRIX)[2:2])[0:4]"))</f>
        <v>90</v>
      </c>
      <c r="I50" s="47" t="str">
        <v>1.570341</v>
      </c>
      <c r="J50" s="47" t="str">
        <v>1.270615</v>
      </c>
      <c r="K50" s="47" t="str">
        <v>1.062809</v>
      </c>
      <c r="L50" s="47" t="str">
        <v>0.801868</v>
      </c>
      <c r="M50" s="42" t="str">
        <f t="shared" si="20"/>
        <v>United States</v>
      </c>
      <c r="N50" s="45" t="str">
        <f t="shared" si="21"/>
        <v>Germany</v>
      </c>
      <c r="O50" s="45" t="str">
        <f t="shared" si="22"/>
        <v>United Kingdom</v>
      </c>
      <c r="P50" s="45" t="str">
        <f t="shared" si="23"/>
        <v>France</v>
      </c>
      <c r="Q50" s="45" t="str">
        <f t="shared" si="24"/>
        <v>Italy</v>
      </c>
      <c r="R50" s="46">
        <f t="shared" si="25"/>
        <v>0.9</v>
      </c>
      <c r="S50" s="46">
        <f t="shared" si="26"/>
        <v>0.02</v>
      </c>
      <c r="T50" s="46">
        <f t="shared" si="27"/>
        <v>0.01</v>
      </c>
      <c r="U50" s="46">
        <f t="shared" si="28"/>
        <v>0.01</v>
      </c>
      <c r="V50" s="46">
        <f t="shared" si="29"/>
        <v>0.01</v>
      </c>
      <c r="Y50" s="18" t="str">
        <f>'2 — IC Universe Table'!B51</f>
        <v>VERX-US</v>
      </c>
      <c r="Z50" s="18" t="str">
        <f>'2 — IC Universe Table'!C51</f>
        <v>Vertex, Inc.</v>
      </c>
      <c r="AA50" s="45" t="str">
        <f t="array" ref="AA50:AE50">TRANSPOSE(_xll.FDS(Y50,"String_array Name= TRANSPOSE(TRANSPOSE(SA_SUBARRAY(FR_RBICS_REV_MATRIX_CURRENT(""IND""),1,9))[13:13]);float_array pct=TRANSPOSE(TRANSPOSE(SA_SUBARRAY(FR_RBICS_REV_MATRIX_CURRENT(""IND""),1,9))[14:14]);SORT_INDIRECT(Name,pct,2)[0:4]"))</f>
        <v>Enterprise Resource Planning Software</v>
      </c>
      <c r="AB50" s="45" t="e">
        <v>#N/A</v>
      </c>
      <c r="AC50" s="45" t="e">
        <v>#N/A</v>
      </c>
      <c r="AD50" s="45" t="e">
        <v>#N/A</v>
      </c>
      <c r="AE50" s="45" t="e">
        <v>#N/A</v>
      </c>
      <c r="AF50" s="45" t="str">
        <f t="array" ref="AF50:AJ50">TRANSPOSE(_xll.FDS(Y50,"String_array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50" s="47" t="e">
        <v>#N/A</v>
      </c>
      <c r="AH50" s="47" t="e">
        <v>#N/A</v>
      </c>
      <c r="AI50" s="47" t="e">
        <v>#N/A</v>
      </c>
      <c r="AJ50" s="47" t="e">
        <v>#N/A</v>
      </c>
      <c r="AK50" s="42" t="str">
        <f t="shared" si="30"/>
        <v>Enterprise Resource Planning Software</v>
      </c>
      <c r="AL50" s="45" t="str">
        <f t="shared" si="31"/>
        <v/>
      </c>
      <c r="AM50" s="45" t="str">
        <f t="shared" si="32"/>
        <v/>
      </c>
      <c r="AN50" s="45" t="str">
        <f t="shared" si="33"/>
        <v/>
      </c>
      <c r="AO50" s="45" t="str">
        <f t="shared" si="34"/>
        <v/>
      </c>
      <c r="AP50" s="46">
        <f t="shared" si="35"/>
        <v>1</v>
      </c>
      <c r="AQ50" s="46" t="str">
        <f t="shared" si="36"/>
        <v/>
      </c>
      <c r="AR50" s="46" t="str">
        <f t="shared" si="37"/>
        <v/>
      </c>
      <c r="AS50" s="46" t="str">
        <f t="shared" si="38"/>
        <v/>
      </c>
      <c r="AT50" s="46" t="str">
        <f t="shared" si="39"/>
        <v/>
      </c>
    </row>
    <row r="51" spans="1:46" ht="15" customHeight="1" x14ac:dyDescent="0.25">
      <c r="A51" s="18" t="str">
        <f>'2 — IC Universe Table'!B52</f>
        <v>MSFT-US</v>
      </c>
      <c r="B51" s="18" t="str">
        <f>'2 — IC Universe Table'!C52</f>
        <v>Microsoft Corporation</v>
      </c>
      <c r="C51" s="45" t="str">
        <f t="array" ref="C51:G51">TRANSPOSE(_xll.FDS(A51,"TRANSPOSE(TRANSPOSE(FF_GEOREV_COUNTRY_REV_PCT_MATRIX)[1:1])[0:4]"))</f>
        <v>United States</v>
      </c>
      <c r="D51" s="45" t="str">
        <v>Mainland China</v>
      </c>
      <c r="E51" s="45" t="str">
        <v>Germany</v>
      </c>
      <c r="F51" s="45" t="str">
        <v>India</v>
      </c>
      <c r="G51" s="45" t="str">
        <v>Japan</v>
      </c>
      <c r="H51" s="46" t="str">
        <f t="array" ref="H51:L51">TRANSPOSE(_xll.FDS(A51,"TRANSPOSE(TRANSPOSE(FF_GEOREV_COUNTRY_REV_PCT_MATRIX)[2:2])[0:4]"))</f>
        <v>51.307663</v>
      </c>
      <c r="I51" s="47" t="str">
        <v>11.214794</v>
      </c>
      <c r="J51" s="47" t="str">
        <v>2.766889</v>
      </c>
      <c r="K51" s="47" t="str">
        <v>2.441621</v>
      </c>
      <c r="L51" s="47" t="str">
        <v>2.441279</v>
      </c>
      <c r="M51" s="42" t="str">
        <f t="shared" si="20"/>
        <v>United States</v>
      </c>
      <c r="N51" s="45" t="str">
        <f t="shared" si="21"/>
        <v>Mainland China</v>
      </c>
      <c r="O51" s="45" t="str">
        <f t="shared" si="22"/>
        <v>Germany</v>
      </c>
      <c r="P51" s="45" t="str">
        <f t="shared" si="23"/>
        <v>India</v>
      </c>
      <c r="Q51" s="45" t="str">
        <f t="shared" si="24"/>
        <v>Japan</v>
      </c>
      <c r="R51" s="46">
        <f t="shared" si="25"/>
        <v>0.51</v>
      </c>
      <c r="S51" s="46">
        <f t="shared" si="26"/>
        <v>0.11</v>
      </c>
      <c r="T51" s="46">
        <f t="shared" si="27"/>
        <v>0.03</v>
      </c>
      <c r="U51" s="46">
        <f t="shared" si="28"/>
        <v>0.02</v>
      </c>
      <c r="V51" s="46">
        <f t="shared" si="29"/>
        <v>0.02</v>
      </c>
      <c r="Y51" s="18" t="str">
        <f>'2 — IC Universe Table'!B52</f>
        <v>MSFT-US</v>
      </c>
      <c r="Z51" s="18" t="str">
        <f>'2 — IC Universe Table'!C52</f>
        <v>Microsoft Corporation</v>
      </c>
      <c r="AA51" s="45" t="str">
        <f t="array" ref="AA51:AE51">TRANSPOSE(_xll.FDS(Y51,"String_array Name= TRANSPOSE(TRANSPOSE(SA_SUBARRAY(FR_RBICS_REV_MATRIX_CURRENT(""IND""),1,9))[13:13]);float_array pct=TRANSPOSE(TRANSPOSE(SA_SUBARRAY(FR_RBICS_REV_MATRIX_CURRENT(""IND""),1,9))[14:14]);SORT_INDIRECT(Name,pct,2)[0:4]"))</f>
        <v>Diversified IT Infrastructure Software</v>
      </c>
      <c r="AB51" s="45" t="str">
        <v>Productivity Software</v>
      </c>
      <c r="AC51" s="45" t="str">
        <v>Electronic Gaming/Entertainment Electronics Makers</v>
      </c>
      <c r="AD51" s="45" t="str">
        <v>Consumer Content Providers</v>
      </c>
      <c r="AE51" s="45" t="str">
        <v>Multi-Type Home and Office Software</v>
      </c>
      <c r="AF51" s="45" t="str">
        <f t="array" ref="AF51:AJ51">TRANSPOSE(_xll.FDS(Y51,"String_array Name= TRANSPOSE(TRANSPOSE(SA_SUBARRAY(FR_RBICS_REV_MATRIX_CURRENT(""IND""),1,9))[14:14]);float_array pct=TRANSPOSE(TRANSPOSE(SA_SUBARRAY(FR_RBICS_REV_MATRIX_CURRENT(""IND""),1,9))[14:14]);SORT_INDIRECT(Name,pct,2)[0:4]"))</f>
        <v>34.940226</v>
      </c>
      <c r="AG51" s="47" t="str">
        <v>33.781644</v>
      </c>
      <c r="AH51" s="47" t="str">
        <v>8.325524</v>
      </c>
      <c r="AI51" s="47" t="str">
        <v>6.322500</v>
      </c>
      <c r="AJ51" s="47" t="str">
        <v>6.145731</v>
      </c>
      <c r="AK51" s="42" t="str">
        <f t="shared" si="30"/>
        <v>Diversified IT Infrastructure Software</v>
      </c>
      <c r="AL51" s="45" t="str">
        <f t="shared" si="31"/>
        <v>Productivity Software</v>
      </c>
      <c r="AM51" s="45" t="str">
        <f t="shared" si="32"/>
        <v>Electronic Gaming/Entertainment Electronics Makers</v>
      </c>
      <c r="AN51" s="45" t="str">
        <f t="shared" si="33"/>
        <v>Consumer Content Providers</v>
      </c>
      <c r="AO51" s="45" t="str">
        <f t="shared" si="34"/>
        <v>Multi-Type Home and Office Software</v>
      </c>
      <c r="AP51" s="46">
        <f t="shared" si="35"/>
        <v>0.35</v>
      </c>
      <c r="AQ51" s="46">
        <f t="shared" si="36"/>
        <v>0.34</v>
      </c>
      <c r="AR51" s="46">
        <f t="shared" si="37"/>
        <v>0.08</v>
      </c>
      <c r="AS51" s="46">
        <f t="shared" si="38"/>
        <v>0.06</v>
      </c>
      <c r="AT51" s="46">
        <f t="shared" si="39"/>
        <v>0.06</v>
      </c>
    </row>
    <row r="52" spans="1:46" ht="15" customHeight="1" x14ac:dyDescent="0.25">
      <c r="A52" s="18" t="str">
        <f>'2 — IC Universe Table'!B53</f>
        <v>RBRK-US</v>
      </c>
      <c r="B52" s="18" t="str">
        <f>'2 — IC Universe Table'!C53</f>
        <v>Rubrik, Inc.</v>
      </c>
      <c r="C52" s="45" t="str">
        <f t="array" ref="C52:G52">TRANSPOSE(_xll.FDS(A52,"TRANSPOSE(TRANSPOSE(FF_GEOREV_COUNTRY_REV_PCT_MATRIX)[1:1])[0:4]"))</f>
        <v>United States</v>
      </c>
      <c r="D52" s="45" t="str">
        <v>Germany</v>
      </c>
      <c r="E52" s="45" t="str">
        <v>Italy</v>
      </c>
      <c r="F52" s="45" t="str">
        <v>Russian Federation</v>
      </c>
      <c r="G52" s="45" t="str">
        <v>United Kingdom</v>
      </c>
      <c r="H52" s="46" t="str">
        <f t="array" ref="H52:L52">TRANSPOSE(_xll.FDS(A52,"TRANSPOSE(TRANSPOSE(FF_GEOREV_COUNTRY_REV_PCT_MATRIX)[2:2])[0:4]"))</f>
        <v>69.133624</v>
      </c>
      <c r="I52" s="47" t="str">
        <v>1.70818</v>
      </c>
      <c r="J52" s="47" t="str">
        <v>1.604721</v>
      </c>
      <c r="K52" s="47" t="str">
        <v>1.417788</v>
      </c>
      <c r="L52" s="47" t="str">
        <v>1.300458</v>
      </c>
      <c r="M52" s="42" t="str">
        <f t="shared" si="20"/>
        <v>United States</v>
      </c>
      <c r="N52" s="45" t="str">
        <f t="shared" si="21"/>
        <v>Germany</v>
      </c>
      <c r="O52" s="45" t="str">
        <f t="shared" si="22"/>
        <v>Italy</v>
      </c>
      <c r="P52" s="45" t="str">
        <f t="shared" si="23"/>
        <v>Russian Federation</v>
      </c>
      <c r="Q52" s="45" t="str">
        <f t="shared" si="24"/>
        <v>United Kingdom</v>
      </c>
      <c r="R52" s="46">
        <f t="shared" si="25"/>
        <v>0.69</v>
      </c>
      <c r="S52" s="46">
        <f t="shared" si="26"/>
        <v>0.02</v>
      </c>
      <c r="T52" s="46">
        <f t="shared" si="27"/>
        <v>0.02</v>
      </c>
      <c r="U52" s="46">
        <f t="shared" si="28"/>
        <v>0.01</v>
      </c>
      <c r="V52" s="46">
        <f t="shared" si="29"/>
        <v>0.01</v>
      </c>
      <c r="Y52" s="18" t="str">
        <f>'2 — IC Universe Table'!B53</f>
        <v>RBRK-US</v>
      </c>
      <c r="Z52" s="18" t="str">
        <f>'2 — IC Universe Table'!C53</f>
        <v>Rubrik, Inc.</v>
      </c>
      <c r="AA52" s="45" t="str">
        <f t="array" ref="AA52:AE52">TRANSPOSE(_xll.FDS(Y52,"String_array Name= TRANSPOSE(TRANSPOSE(SA_SUBARRAY(FR_RBICS_REV_MATRIX_CURRENT(""IND""),1,9))[13:13]);float_array pct=TRANSPOSE(TRANSPOSE(SA_SUBARRAY(FR_RBICS_REV_MATRIX_CURRENT(""IND""),1,9))[14:14]);SORT_INDIRECT(Name,pct,2)[0:4]"))</f>
        <v>Network Infrastructure Software</v>
      </c>
      <c r="AB52" s="45" t="e">
        <v>#N/A</v>
      </c>
      <c r="AC52" s="45" t="e">
        <v>#N/A</v>
      </c>
      <c r="AD52" s="45" t="e">
        <v>#N/A</v>
      </c>
      <c r="AE52" s="45" t="e">
        <v>#N/A</v>
      </c>
      <c r="AF52" s="45" t="str">
        <f t="array" ref="AF52:AJ52">TRANSPOSE(_xll.FDS(Y52,"String_array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52" s="47" t="e">
        <v>#N/A</v>
      </c>
      <c r="AH52" s="47" t="e">
        <v>#N/A</v>
      </c>
      <c r="AI52" s="47" t="e">
        <v>#N/A</v>
      </c>
      <c r="AJ52" s="47" t="e">
        <v>#N/A</v>
      </c>
      <c r="AK52" s="42" t="str">
        <f t="shared" si="30"/>
        <v>Network Infrastructure Software</v>
      </c>
      <c r="AL52" s="45" t="str">
        <f t="shared" si="31"/>
        <v/>
      </c>
      <c r="AM52" s="45" t="str">
        <f t="shared" si="32"/>
        <v/>
      </c>
      <c r="AN52" s="45" t="str">
        <f t="shared" si="33"/>
        <v/>
      </c>
      <c r="AO52" s="45" t="str">
        <f t="shared" si="34"/>
        <v/>
      </c>
      <c r="AP52" s="46">
        <f t="shared" si="35"/>
        <v>1</v>
      </c>
      <c r="AQ52" s="46" t="str">
        <f t="shared" si="36"/>
        <v/>
      </c>
      <c r="AR52" s="46" t="str">
        <f t="shared" si="37"/>
        <v/>
      </c>
      <c r="AS52" s="46" t="str">
        <f t="shared" si="38"/>
        <v/>
      </c>
      <c r="AT52" s="46" t="str">
        <f t="shared" si="39"/>
        <v/>
      </c>
    </row>
    <row r="53" spans="1:46" ht="15" customHeight="1" x14ac:dyDescent="0.25">
      <c r="A53" s="18" t="str">
        <f>'2 — IC Universe Table'!B54</f>
        <v>300033-CN</v>
      </c>
      <c r="B53" s="18" t="str">
        <f>'2 — IC Universe Table'!C54</f>
        <v>Hithink RoyalFlush Information Network Co., Ltd. Class A</v>
      </c>
      <c r="C53" s="45" t="str">
        <f t="array" ref="C53:G53">TRANSPOSE(_xll.FDS(A53,"TRANSPOSE(TRANSPOSE(FF_GEOREV_COUNTRY_REV_PCT_MATRIX)[1:1])[0:4]"))</f>
        <v>Mainland China</v>
      </c>
      <c r="D53" s="45" t="str">
        <v>Hong Kong</v>
      </c>
      <c r="E53" s="45" t="str">
        <v>Macau</v>
      </c>
      <c r="F53" s="45" t="str">
        <v>United States</v>
      </c>
      <c r="G53" s="45" t="str">
        <v>Europe Unallocated Revenue</v>
      </c>
      <c r="H53" s="46" t="str">
        <f t="array" ref="H53:L53">TRANSPOSE(_xll.FDS(A53,"TRANSPOSE(TRANSPOSE(FF_GEOREV_COUNTRY_REV_PCT_MATRIX)[2:2])[0:4]"))</f>
        <v>97.122632</v>
      </c>
      <c r="I53" s="47" t="str">
        <v>2.131757</v>
      </c>
      <c r="J53" s="47" t="str">
        <v>0.286542</v>
      </c>
      <c r="K53" s="47" t="str">
        <v>0.145605</v>
      </c>
      <c r="L53" s="47" t="str">
        <v>0.055554</v>
      </c>
      <c r="M53" s="42" t="str">
        <f t="shared" si="20"/>
        <v>Mainland China</v>
      </c>
      <c r="N53" s="45" t="str">
        <f t="shared" si="21"/>
        <v>Hong Kong</v>
      </c>
      <c r="O53" s="45" t="str">
        <f t="shared" si="22"/>
        <v>Macau</v>
      </c>
      <c r="P53" s="45" t="str">
        <f t="shared" si="23"/>
        <v>United States</v>
      </c>
      <c r="Q53" s="45" t="str">
        <f t="shared" si="24"/>
        <v>Europe Unallocated Revenue</v>
      </c>
      <c r="R53" s="46">
        <f t="shared" si="25"/>
        <v>0.97</v>
      </c>
      <c r="S53" s="46">
        <f t="shared" si="26"/>
        <v>0.02</v>
      </c>
      <c r="T53" s="46">
        <f t="shared" si="27"/>
        <v>0</v>
      </c>
      <c r="U53" s="46">
        <f t="shared" si="28"/>
        <v>0</v>
      </c>
      <c r="V53" s="46">
        <f t="shared" si="29"/>
        <v>0</v>
      </c>
      <c r="Y53" s="18" t="str">
        <f>'2 — IC Universe Table'!B54</f>
        <v>300033-CN</v>
      </c>
      <c r="Z53" s="18" t="str">
        <f>'2 — IC Universe Table'!C54</f>
        <v>Hithink RoyalFlush Information Network Co., Ltd. Class A</v>
      </c>
      <c r="AA53" s="45" t="str">
        <f t="array" ref="AA53:AE53">TRANSPOSE(_xll.FDS(Y53,"String_array Name= TRANSPOSE(TRANSPOSE(SA_SUBARRAY(FR_RBICS_REV_MATRIX_CURRENT(""IND""),1,9))[13:13]);float_array pct=TRANSPOSE(TRANSPOSE(SA_SUBARRAY(FR_RBICS_REV_MATRIX_CURRENT(""IND""),1,9))[14:14]);SORT_INDIRECT(Name,pct,2)[0:4]"))</f>
        <v>Finance Industry Software</v>
      </c>
      <c r="AB53" s="45" t="e">
        <v>#N/A</v>
      </c>
      <c r="AC53" s="45" t="e">
        <v>#N/A</v>
      </c>
      <c r="AD53" s="45" t="e">
        <v>#N/A</v>
      </c>
      <c r="AE53" s="45" t="e">
        <v>#N/A</v>
      </c>
      <c r="AF53" s="45" t="str">
        <f t="array" ref="AF53:AJ53">TRANSPOSE(_xll.FDS(Y53,"String_array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53" s="47" t="e">
        <v>#N/A</v>
      </c>
      <c r="AH53" s="47" t="e">
        <v>#N/A</v>
      </c>
      <c r="AI53" s="47" t="e">
        <v>#N/A</v>
      </c>
      <c r="AJ53" s="47" t="e">
        <v>#N/A</v>
      </c>
      <c r="AK53" s="42" t="str">
        <f t="shared" si="30"/>
        <v>Finance Industry Software</v>
      </c>
      <c r="AL53" s="45" t="str">
        <f t="shared" si="31"/>
        <v/>
      </c>
      <c r="AM53" s="45" t="str">
        <f t="shared" si="32"/>
        <v/>
      </c>
      <c r="AN53" s="45" t="str">
        <f t="shared" si="33"/>
        <v/>
      </c>
      <c r="AO53" s="45" t="str">
        <f t="shared" si="34"/>
        <v/>
      </c>
      <c r="AP53" s="46">
        <f t="shared" si="35"/>
        <v>1</v>
      </c>
      <c r="AQ53" s="46" t="str">
        <f t="shared" si="36"/>
        <v/>
      </c>
      <c r="AR53" s="46" t="str">
        <f t="shared" si="37"/>
        <v/>
      </c>
      <c r="AS53" s="46" t="str">
        <f t="shared" si="38"/>
        <v/>
      </c>
      <c r="AT53" s="46" t="str">
        <f t="shared" si="39"/>
        <v/>
      </c>
    </row>
    <row r="54" spans="1:46" ht="15" customHeight="1" x14ac:dyDescent="0.25">
      <c r="A54" s="18" t="str">
        <f>'2 — IC Universe Table'!B55</f>
        <v>ALKT-US</v>
      </c>
      <c r="B54" s="18" t="str">
        <f>'2 — IC Universe Table'!C55</f>
        <v>Alkami Technology Inc</v>
      </c>
      <c r="C54" s="45" t="str">
        <f t="array" ref="C54:G54">TRANSPOSE(_xll.FDS(A54,"TRANSPOSE(TRANSPOSE(FF_GEOREV_COUNTRY_REV_PCT_MATRIX)[1:1])[0:4]"))</f>
        <v>United States</v>
      </c>
      <c r="D54" s="45" t="e">
        <v>#N/A</v>
      </c>
      <c r="E54" s="45" t="e">
        <v>#N/A</v>
      </c>
      <c r="F54" s="45" t="e">
        <v>#N/A</v>
      </c>
      <c r="G54" s="45" t="e">
        <v>#N/A</v>
      </c>
      <c r="H54" s="46" t="str">
        <f t="array" ref="H54:L54">TRANSPOSE(_xll.FDS(A54,"TRANSPOSE(TRANSPOSE(FF_GEOREV_COUNTRY_REV_PCT_MATRIX)[2:2])[0:4]"))</f>
        <v>100</v>
      </c>
      <c r="I54" s="47" t="e">
        <v>#N/A</v>
      </c>
      <c r="J54" s="47" t="e">
        <v>#N/A</v>
      </c>
      <c r="K54" s="47" t="e">
        <v>#N/A</v>
      </c>
      <c r="L54" s="47" t="e">
        <v>#N/A</v>
      </c>
      <c r="M54" s="42" t="str">
        <f t="shared" si="20"/>
        <v>United States</v>
      </c>
      <c r="N54" s="45" t="str">
        <f t="shared" si="21"/>
        <v/>
      </c>
      <c r="O54" s="45" t="str">
        <f t="shared" si="22"/>
        <v/>
      </c>
      <c r="P54" s="45" t="str">
        <f t="shared" si="23"/>
        <v/>
      </c>
      <c r="Q54" s="45" t="str">
        <f t="shared" si="24"/>
        <v/>
      </c>
      <c r="R54" s="46">
        <f t="shared" si="25"/>
        <v>1</v>
      </c>
      <c r="S54" s="46" t="str">
        <f t="shared" si="26"/>
        <v/>
      </c>
      <c r="T54" s="46" t="str">
        <f t="shared" si="27"/>
        <v/>
      </c>
      <c r="U54" s="46" t="str">
        <f t="shared" si="28"/>
        <v/>
      </c>
      <c r="V54" s="46" t="str">
        <f t="shared" si="29"/>
        <v/>
      </c>
      <c r="Y54" s="18" t="str">
        <f>'2 — IC Universe Table'!B55</f>
        <v>ALKT-US</v>
      </c>
      <c r="Z54" s="18" t="str">
        <f>'2 — IC Universe Table'!C55</f>
        <v>Alkami Technology Inc</v>
      </c>
      <c r="AA54" s="45" t="str">
        <f t="array" ref="AA54:AE54">TRANSPOSE(_xll.FDS(Y54,"String_array Name= TRANSPOSE(TRANSPOSE(SA_SUBARRAY(FR_RBICS_REV_MATRIX_CURRENT(""IND""),1,9))[13:13]);float_array pct=TRANSPOSE(TRANSPOSE(SA_SUBARRAY(FR_RBICS_REV_MATRIX_CURRENT(""IND""),1,9))[14:14]);SORT_INDIRECT(Name,pct,2)[0:4]"))</f>
        <v>Finance Industry Software</v>
      </c>
      <c r="AB54" s="45" t="e">
        <v>#N/A</v>
      </c>
      <c r="AC54" s="45" t="e">
        <v>#N/A</v>
      </c>
      <c r="AD54" s="45" t="e">
        <v>#N/A</v>
      </c>
      <c r="AE54" s="45" t="e">
        <v>#N/A</v>
      </c>
      <c r="AF54" s="45" t="str">
        <f t="array" ref="AF54:AJ54">TRANSPOSE(_xll.FDS(Y54,"String_array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54" s="47" t="e">
        <v>#N/A</v>
      </c>
      <c r="AH54" s="47" t="e">
        <v>#N/A</v>
      </c>
      <c r="AI54" s="47" t="e">
        <v>#N/A</v>
      </c>
      <c r="AJ54" s="47" t="e">
        <v>#N/A</v>
      </c>
      <c r="AK54" s="42" t="str">
        <f t="shared" si="30"/>
        <v>Finance Industry Software</v>
      </c>
      <c r="AL54" s="45" t="str">
        <f t="shared" si="31"/>
        <v/>
      </c>
      <c r="AM54" s="45" t="str">
        <f t="shared" si="32"/>
        <v/>
      </c>
      <c r="AN54" s="45" t="str">
        <f t="shared" si="33"/>
        <v/>
      </c>
      <c r="AO54" s="45" t="str">
        <f t="shared" si="34"/>
        <v/>
      </c>
      <c r="AP54" s="46">
        <f t="shared" si="35"/>
        <v>1</v>
      </c>
      <c r="AQ54" s="46" t="str">
        <f t="shared" si="36"/>
        <v/>
      </c>
      <c r="AR54" s="46" t="str">
        <f t="shared" si="37"/>
        <v/>
      </c>
      <c r="AS54" s="46" t="str">
        <f t="shared" si="38"/>
        <v/>
      </c>
      <c r="AT54" s="46" t="str">
        <f t="shared" si="39"/>
        <v/>
      </c>
    </row>
    <row r="55" spans="1:46" ht="15" customHeight="1" x14ac:dyDescent="0.25">
      <c r="A55" s="18" t="str">
        <f>'2 — IC Universe Table'!B56</f>
        <v>BLKB-US</v>
      </c>
      <c r="B55" s="18" t="str">
        <f>'2 — IC Universe Table'!C56</f>
        <v>Blackbaud, Inc.</v>
      </c>
      <c r="C55" s="45" t="str">
        <f t="array" ref="C55:G55">TRANSPOSE(_xll.FDS(A55,"TRANSPOSE(TRANSPOSE(FF_GEOREV_COUNTRY_REV_PCT_MATRIX)[1:1])[0:4]"))</f>
        <v>United States</v>
      </c>
      <c r="D55" s="45" t="str">
        <v>United Kingdom</v>
      </c>
      <c r="E55" s="45" t="str">
        <v>India</v>
      </c>
      <c r="F55" s="45" t="str">
        <v>Canada</v>
      </c>
      <c r="G55" s="45" t="str">
        <v>Australia</v>
      </c>
      <c r="H55" s="46" t="str">
        <f t="array" ref="H55:L55">TRANSPOSE(_xll.FDS(A55,"TRANSPOSE(TRANSPOSE(FF_GEOREV_COUNTRY_REV_PCT_MATRIX)[2:2])[0:4]"))</f>
        <v>84.462386</v>
      </c>
      <c r="I55" s="47" t="str">
        <v>9.637839</v>
      </c>
      <c r="J55" s="47" t="str">
        <v>2.981002</v>
      </c>
      <c r="K55" s="47" t="str">
        <v>1.584361</v>
      </c>
      <c r="L55" s="47" t="str">
        <v>1.261372</v>
      </c>
      <c r="M55" s="42" t="str">
        <f t="shared" si="20"/>
        <v>United States</v>
      </c>
      <c r="N55" s="45" t="str">
        <f t="shared" si="21"/>
        <v>United Kingdom</v>
      </c>
      <c r="O55" s="45" t="str">
        <f t="shared" si="22"/>
        <v>India</v>
      </c>
      <c r="P55" s="45" t="str">
        <f t="shared" si="23"/>
        <v>Canada</v>
      </c>
      <c r="Q55" s="45" t="str">
        <f t="shared" si="24"/>
        <v>Australia</v>
      </c>
      <c r="R55" s="46">
        <f t="shared" si="25"/>
        <v>0.84</v>
      </c>
      <c r="S55" s="46">
        <f t="shared" si="26"/>
        <v>0.1</v>
      </c>
      <c r="T55" s="46">
        <f t="shared" si="27"/>
        <v>0.03</v>
      </c>
      <c r="U55" s="46">
        <f t="shared" si="28"/>
        <v>0.02</v>
      </c>
      <c r="V55" s="46">
        <f t="shared" si="29"/>
        <v>0.01</v>
      </c>
      <c r="Y55" s="18" t="str">
        <f>'2 — IC Universe Table'!B56</f>
        <v>BLKB-US</v>
      </c>
      <c r="Z55" s="18" t="str">
        <f>'2 — IC Universe Table'!C56</f>
        <v>Blackbaud, Inc.</v>
      </c>
      <c r="AA55" s="45" t="str">
        <f t="array" ref="AA55:AE55">TRANSPOSE(_xll.FDS(Y55,"String_array Name= TRANSPOSE(TRANSPOSE(SA_SUBARRAY(FR_RBICS_REV_MATRIX_CURRENT(""IND""),1,9))[13:13]);float_array pct=TRANSPOSE(TRANSPOSE(SA_SUBARRAY(FR_RBICS_REV_MATRIX_CURRENT(""IND""),1,9))[14:14]);SORT_INDIRECT(Name,pct,2)[0:4]"))</f>
        <v>Government and Not-For-Profit Industry Software</v>
      </c>
      <c r="AB55" s="45" t="str">
        <v>General Enterprise and Technology Consulting</v>
      </c>
      <c r="AC55" s="45" t="e">
        <v>#N/A</v>
      </c>
      <c r="AD55" s="45" t="e">
        <v>#N/A</v>
      </c>
      <c r="AE55" s="45" t="e">
        <v>#N/A</v>
      </c>
      <c r="AF55" s="45" t="str">
        <f t="array" ref="AF55:AJ55">TRANSPOSE(_xll.FDS(Y55,"String_array Name= TRANSPOSE(TRANSPOSE(SA_SUBARRAY(FR_RBICS_REV_MATRIX_CURRENT(""IND""),1,9))[14:14]);float_array pct=TRANSPOSE(TRANSPOSE(SA_SUBARRAY(FR_RBICS_REV_MATRIX_CURRENT(""IND""),1,9))[14:14]);SORT_INDIRECT(Name,pct,2)[0:4]"))</f>
        <v>97.716909</v>
      </c>
      <c r="AG55" s="47" t="str">
        <v>2.283091</v>
      </c>
      <c r="AH55" s="47" t="e">
        <v>#N/A</v>
      </c>
      <c r="AI55" s="47" t="e">
        <v>#N/A</v>
      </c>
      <c r="AJ55" s="47" t="e">
        <v>#N/A</v>
      </c>
      <c r="AK55" s="42" t="str">
        <f t="shared" si="30"/>
        <v>Government and Not-For-Profit Industry Software</v>
      </c>
      <c r="AL55" s="45" t="str">
        <f t="shared" si="31"/>
        <v>General Enterprise and Technology Consulting</v>
      </c>
      <c r="AM55" s="45" t="str">
        <f t="shared" si="32"/>
        <v/>
      </c>
      <c r="AN55" s="45" t="str">
        <f t="shared" si="33"/>
        <v/>
      </c>
      <c r="AO55" s="45" t="str">
        <f t="shared" si="34"/>
        <v/>
      </c>
      <c r="AP55" s="46">
        <f t="shared" si="35"/>
        <v>0.98</v>
      </c>
      <c r="AQ55" s="46">
        <f t="shared" si="36"/>
        <v>0.02</v>
      </c>
      <c r="AR55" s="46" t="str">
        <f t="shared" si="37"/>
        <v/>
      </c>
      <c r="AS55" s="46" t="str">
        <f t="shared" si="38"/>
        <v/>
      </c>
      <c r="AT55" s="46" t="str">
        <f t="shared" si="39"/>
        <v/>
      </c>
    </row>
    <row r="56" spans="1:46" ht="15" customHeight="1" x14ac:dyDescent="0.25">
      <c r="A56" s="18" t="str">
        <f>'2 — IC Universe Table'!B57</f>
        <v>CRWD-US</v>
      </c>
      <c r="B56" s="18" t="str">
        <f>'2 — IC Universe Table'!C57</f>
        <v>CrowdStrike Holdings, Inc.</v>
      </c>
      <c r="C56" s="45" t="str">
        <f t="array" ref="C56:G56">TRANSPOSE(_xll.FDS(A56,"TRANSPOSE(TRANSPOSE(FF_GEOREV_COUNTRY_REV_PCT_MATRIX)[1:1])[0:4]"))</f>
        <v>United States</v>
      </c>
      <c r="D56" s="45" t="str">
        <v>Mainland China</v>
      </c>
      <c r="E56" s="45" t="str">
        <v>Japan</v>
      </c>
      <c r="F56" s="45" t="str">
        <v>Brazil</v>
      </c>
      <c r="G56" s="45" t="str">
        <v>India</v>
      </c>
      <c r="H56" s="46" t="str">
        <f t="array" ref="H56:L56">TRANSPOSE(_xll.FDS(A56,"TRANSPOSE(TRANSPOSE(FF_GEOREV_COUNTRY_REV_PCT_MATRIX)[2:2])[0:4]"))</f>
        <v>67.860323</v>
      </c>
      <c r="I56" s="47" t="str">
        <v>1.804129</v>
      </c>
      <c r="J56" s="47" t="str">
        <v>1.608295</v>
      </c>
      <c r="K56" s="47" t="str">
        <v>1.544469</v>
      </c>
      <c r="L56" s="47" t="str">
        <v>1.540433</v>
      </c>
      <c r="M56" s="42" t="str">
        <f t="shared" si="20"/>
        <v>United States</v>
      </c>
      <c r="N56" s="45" t="str">
        <f t="shared" si="21"/>
        <v>Mainland China</v>
      </c>
      <c r="O56" s="45" t="str">
        <f t="shared" si="22"/>
        <v>Japan</v>
      </c>
      <c r="P56" s="45" t="str">
        <f t="shared" si="23"/>
        <v>Brazil</v>
      </c>
      <c r="Q56" s="45" t="str">
        <f t="shared" si="24"/>
        <v>India</v>
      </c>
      <c r="R56" s="46">
        <f t="shared" si="25"/>
        <v>0.68</v>
      </c>
      <c r="S56" s="46">
        <f t="shared" si="26"/>
        <v>0.02</v>
      </c>
      <c r="T56" s="46">
        <f t="shared" si="27"/>
        <v>0.02</v>
      </c>
      <c r="U56" s="46">
        <f t="shared" si="28"/>
        <v>0.02</v>
      </c>
      <c r="V56" s="46">
        <f t="shared" si="29"/>
        <v>0.02</v>
      </c>
      <c r="Y56" s="18" t="str">
        <f>'2 — IC Universe Table'!B57</f>
        <v>CRWD-US</v>
      </c>
      <c r="Z56" s="18" t="str">
        <f>'2 — IC Universe Table'!C57</f>
        <v>CrowdStrike Holdings, Inc.</v>
      </c>
      <c r="AA56" s="45" t="str">
        <f t="array" ref="AA56:AE56">TRANSPOSE(_xll.FDS(Y56,"String_array Name= TRANSPOSE(TRANSPOSE(SA_SUBARRAY(FR_RBICS_REV_MATRIX_CURRENT(""IND""),1,9))[13:13]);float_array pct=TRANSPOSE(TRANSPOSE(SA_SUBARRAY(FR_RBICS_REV_MATRIX_CURRENT(""IND""),1,9))[14:14]);SORT_INDIRECT(Name,pct,2)[0:4]"))</f>
        <v>Network Infrastructure Software</v>
      </c>
      <c r="AB56" s="45" t="str">
        <v>Security and Management Consulting</v>
      </c>
      <c r="AC56" s="45" t="e">
        <v>#N/A</v>
      </c>
      <c r="AD56" s="45" t="e">
        <v>#N/A</v>
      </c>
      <c r="AE56" s="45" t="e">
        <v>#N/A</v>
      </c>
      <c r="AF56" s="45" t="str">
        <f t="array" ref="AF56:AJ56">TRANSPOSE(_xll.FDS(Y56,"String_array Name= TRANSPOSE(TRANSPOSE(SA_SUBARRAY(FR_RBICS_REV_MATRIX_CURRENT(""IND""),1,9))[14:14]);float_array pct=TRANSPOSE(TRANSPOSE(SA_SUBARRAY(FR_RBICS_REV_MATRIX_CURRENT(""IND""),1,9))[14:14]);SORT_INDIRECT(Name,pct,2)[0:4]"))</f>
        <v>95.140054</v>
      </c>
      <c r="AG56" s="47" t="str">
        <v>4.859946</v>
      </c>
      <c r="AH56" s="47" t="e">
        <v>#N/A</v>
      </c>
      <c r="AI56" s="47" t="e">
        <v>#N/A</v>
      </c>
      <c r="AJ56" s="48" t="e">
        <v>#N/A</v>
      </c>
      <c r="AK56" s="42" t="str">
        <f t="shared" si="30"/>
        <v>Network Infrastructure Software</v>
      </c>
      <c r="AL56" s="45" t="str">
        <f t="shared" si="31"/>
        <v>Security and Management Consulting</v>
      </c>
      <c r="AM56" s="45" t="str">
        <f t="shared" si="32"/>
        <v/>
      </c>
      <c r="AN56" s="45" t="str">
        <f t="shared" si="33"/>
        <v/>
      </c>
      <c r="AO56" s="45" t="str">
        <f t="shared" si="34"/>
        <v/>
      </c>
      <c r="AP56" s="46">
        <f t="shared" si="35"/>
        <v>0.95</v>
      </c>
      <c r="AQ56" s="46">
        <f t="shared" si="36"/>
        <v>0.05</v>
      </c>
      <c r="AR56" s="46" t="str">
        <f t="shared" si="37"/>
        <v/>
      </c>
      <c r="AS56" s="46" t="str">
        <f t="shared" si="38"/>
        <v/>
      </c>
      <c r="AT56" s="46" t="str">
        <f t="shared" si="39"/>
        <v/>
      </c>
    </row>
    <row r="57" spans="1:46" ht="15" customHeight="1" x14ac:dyDescent="0.25">
      <c r="A57" s="18" t="str">
        <f>'2 — IC Universe Table'!B58</f>
        <v>ORCL-US</v>
      </c>
      <c r="B57" s="18" t="str">
        <f>'2 — IC Universe Table'!C58</f>
        <v>Oracle Corporation</v>
      </c>
      <c r="C57" s="45" t="str">
        <f t="array" ref="C57:G57">TRANSPOSE(_xll.FDS(A57,"TRANSPOSE(TRANSPOSE(FF_GEOREV_COUNTRY_REV_PCT_MATRIX)[1:1])[0:4]"))</f>
        <v>United States</v>
      </c>
      <c r="D57" s="45" t="str">
        <v>United Kingdom</v>
      </c>
      <c r="E57" s="45" t="str">
        <v>Germany</v>
      </c>
      <c r="F57" s="45" t="str">
        <v>Japan</v>
      </c>
      <c r="G57" s="45" t="str">
        <v>Mainland China</v>
      </c>
      <c r="H57" s="46" t="str">
        <f t="array" ref="H57:L57">TRANSPOSE(_xll.FDS(A57,"TRANSPOSE(TRANSPOSE(FF_GEOREV_COUNTRY_REV_PCT_MATRIX)[2:2])[0:4]"))</f>
        <v>55.880765</v>
      </c>
      <c r="I57" s="47" t="str">
        <v>4.519242</v>
      </c>
      <c r="J57" s="47" t="str">
        <v>3.16556</v>
      </c>
      <c r="K57" s="47" t="str">
        <v>3.064513</v>
      </c>
      <c r="L57" s="47" t="str">
        <v>2.399658</v>
      </c>
      <c r="M57" s="42" t="str">
        <f t="shared" si="20"/>
        <v>United States</v>
      </c>
      <c r="N57" s="45" t="str">
        <f t="shared" si="21"/>
        <v>United Kingdom</v>
      </c>
      <c r="O57" s="45" t="str">
        <f t="shared" si="22"/>
        <v>Germany</v>
      </c>
      <c r="P57" s="45" t="str">
        <f t="shared" si="23"/>
        <v>Japan</v>
      </c>
      <c r="Q57" s="45" t="str">
        <f t="shared" si="24"/>
        <v>Mainland China</v>
      </c>
      <c r="R57" s="46">
        <f t="shared" si="25"/>
        <v>0.56000000000000005</v>
      </c>
      <c r="S57" s="46">
        <f t="shared" si="26"/>
        <v>0.05</v>
      </c>
      <c r="T57" s="46">
        <f t="shared" si="27"/>
        <v>0.03</v>
      </c>
      <c r="U57" s="46">
        <f t="shared" si="28"/>
        <v>0.03</v>
      </c>
      <c r="V57" s="46">
        <f t="shared" si="29"/>
        <v>0.02</v>
      </c>
      <c r="Y57" s="18" t="str">
        <f>'2 — IC Universe Table'!B58</f>
        <v>ORCL-US</v>
      </c>
      <c r="Z57" s="18" t="str">
        <f>'2 — IC Universe Table'!C58</f>
        <v>Oracle Corporation</v>
      </c>
      <c r="AA57" s="45" t="str">
        <f t="array" ref="AA57:AE57">TRANSPOSE(_xll.FDS(Y57,"String_array Name= TRANSPOSE(TRANSPOSE(SA_SUBARRAY(FR_RBICS_REV_MATRIX_CURRENT(""IND""),1,9))[13:13]);float_array pct=TRANSPOSE(TRANSPOSE(SA_SUBARRAY(FR_RBICS_REV_MATRIX_CURRENT(""IND""),1,9))[14:14]);SORT_INDIRECT(Name,pct,2)[0:4]"))</f>
        <v>Diversified Hosting Services</v>
      </c>
      <c r="AB57" s="45" t="str">
        <v>Information Technology Consulting</v>
      </c>
      <c r="AC57" s="45" t="str">
        <v>Diversified IT Infrastructure Software</v>
      </c>
      <c r="AD57" s="45" t="str">
        <v>Server Computer Systems</v>
      </c>
      <c r="AE57" s="45" t="e">
        <v>#N/A</v>
      </c>
      <c r="AF57" s="45" t="str">
        <f t="array" ref="AF57:AJ57">TRANSPOSE(_xll.FDS(Y57,"String_array Name= TRANSPOSE(TRANSPOSE(SA_SUBARRAY(FR_RBICS_REV_MATRIX_CURRENT(""IND""),1,9))[14:14]);float_array pct=TRANSPOSE(TRANSPOSE(SA_SUBARRAY(FR_RBICS_REV_MATRIX_CURRENT(""IND""),1,9))[14:14]);SORT_INDIRECT(Name,pct,2)[0:4]"))</f>
        <v>76.706911</v>
      </c>
      <c r="AG57" s="47" t="str">
        <v>9.116884</v>
      </c>
      <c r="AH57" s="47" t="str">
        <v>9.061133</v>
      </c>
      <c r="AI57" s="47" t="str">
        <v>5.115072</v>
      </c>
      <c r="AJ57" s="48" t="e">
        <v>#N/A</v>
      </c>
      <c r="AK57" s="42" t="str">
        <f t="shared" si="30"/>
        <v>Diversified Hosting Services</v>
      </c>
      <c r="AL57" s="45" t="str">
        <f t="shared" si="31"/>
        <v>Information Technology Consulting</v>
      </c>
      <c r="AM57" s="45" t="str">
        <f t="shared" si="32"/>
        <v>Diversified IT Infrastructure Software</v>
      </c>
      <c r="AN57" s="45" t="str">
        <f t="shared" si="33"/>
        <v>Server Computer Systems</v>
      </c>
      <c r="AO57" s="45" t="str">
        <f t="shared" si="34"/>
        <v/>
      </c>
      <c r="AP57" s="46">
        <f t="shared" si="35"/>
        <v>0.77</v>
      </c>
      <c r="AQ57" s="46">
        <f t="shared" si="36"/>
        <v>0.09</v>
      </c>
      <c r="AR57" s="46">
        <f t="shared" si="37"/>
        <v>0.09</v>
      </c>
      <c r="AS57" s="46">
        <f t="shared" si="38"/>
        <v>0.05</v>
      </c>
      <c r="AT57" s="46" t="str">
        <f t="shared" si="39"/>
        <v/>
      </c>
    </row>
    <row r="58" spans="1:46" ht="15" customHeight="1" x14ac:dyDescent="0.25">
      <c r="A58" s="18" t="str">
        <f>'2 — IC Universe Table'!B59</f>
        <v>CCC-US</v>
      </c>
      <c r="B58" s="18" t="str">
        <f>'2 — IC Universe Table'!C59</f>
        <v>CCC Intelligent Solutions Holdings Inc</v>
      </c>
      <c r="C58" s="45" t="str">
        <f t="array" ref="C58:G58">TRANSPOSE(_xll.FDS(A58,"TRANSPOSE(TRANSPOSE(FF_GEOREV_COUNTRY_REV_PCT_MATRIX)[1:1])[0:4]"))</f>
        <v>United States</v>
      </c>
      <c r="D58" s="45" t="str">
        <v>Mainland China</v>
      </c>
      <c r="E58" s="45" t="str">
        <v>Hong Kong</v>
      </c>
      <c r="F58" s="45" t="str">
        <v>Asia/Pacific Unallocated Revenue</v>
      </c>
      <c r="G58" s="45" t="e">
        <v>#N/A</v>
      </c>
      <c r="H58" s="46" t="str">
        <f t="array" ref="H58:L58">TRANSPOSE(_xll.FDS(A58,"TRANSPOSE(TRANSPOSE(FF_GEOREV_COUNTRY_REV_PCT_MATRIX)[2:2])[0:4]"))</f>
        <v>99.352886</v>
      </c>
      <c r="I58" s="47" t="str">
        <v>0.631441</v>
      </c>
      <c r="J58" s="47" t="str">
        <v>0.013921</v>
      </c>
      <c r="K58" s="47" t="str">
        <v>0.001752</v>
      </c>
      <c r="L58" s="47" t="e">
        <v>#N/A</v>
      </c>
      <c r="M58" s="42" t="str">
        <f t="shared" si="20"/>
        <v>United States</v>
      </c>
      <c r="N58" s="45" t="str">
        <f t="shared" si="21"/>
        <v>Mainland China</v>
      </c>
      <c r="O58" s="45" t="str">
        <f t="shared" si="22"/>
        <v>Hong Kong</v>
      </c>
      <c r="P58" s="45" t="str">
        <f t="shared" si="23"/>
        <v>Asia/Pacific Unallocated Revenue</v>
      </c>
      <c r="Q58" s="45" t="str">
        <f t="shared" si="24"/>
        <v/>
      </c>
      <c r="R58" s="46">
        <f t="shared" si="25"/>
        <v>0.99</v>
      </c>
      <c r="S58" s="46">
        <f t="shared" si="26"/>
        <v>0.01</v>
      </c>
      <c r="T58" s="46">
        <f t="shared" si="27"/>
        <v>0</v>
      </c>
      <c r="U58" s="46">
        <f t="shared" si="28"/>
        <v>0</v>
      </c>
      <c r="V58" s="46" t="str">
        <f t="shared" si="29"/>
        <v/>
      </c>
      <c r="Y58" s="18" t="str">
        <f>'2 — IC Universe Table'!B59</f>
        <v>CCC-US</v>
      </c>
      <c r="Z58" s="18" t="str">
        <f>'2 — IC Universe Table'!C59</f>
        <v>CCC Intelligent Solutions Holdings Inc</v>
      </c>
      <c r="AA58" s="45" t="str">
        <f t="array" ref="AA58:AE58">TRANSPOSE(_xll.FDS(Y58,"String_array Name= TRANSPOSE(TRANSPOSE(SA_SUBARRAY(FR_RBICS_REV_MATRIX_CURRENT(""IND""),1,9))[13:13]);float_array pct=TRANSPOSE(TRANSPOSE(SA_SUBARRAY(FR_RBICS_REV_MATRIX_CURRENT(""IND""),1,9))[14:14]);SORT_INDIRECT(Name,pct,2)[0:4]"))</f>
        <v>Finance Industry Software</v>
      </c>
      <c r="AB58" s="45" t="e">
        <v>#N/A</v>
      </c>
      <c r="AC58" s="45" t="e">
        <v>#N/A</v>
      </c>
      <c r="AD58" s="45" t="e">
        <v>#N/A</v>
      </c>
      <c r="AE58" s="45" t="e">
        <v>#N/A</v>
      </c>
      <c r="AF58" s="45" t="str">
        <f t="array" ref="AF58:AJ58">TRANSPOSE(_xll.FDS(Y58,"String_array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58" s="47" t="e">
        <v>#N/A</v>
      </c>
      <c r="AH58" s="47" t="e">
        <v>#N/A</v>
      </c>
      <c r="AI58" s="47" t="e">
        <v>#N/A</v>
      </c>
      <c r="AJ58" s="48" t="e">
        <v>#N/A</v>
      </c>
      <c r="AK58" s="42" t="str">
        <f t="shared" si="30"/>
        <v>Finance Industry Software</v>
      </c>
      <c r="AL58" s="45" t="str">
        <f t="shared" si="31"/>
        <v/>
      </c>
      <c r="AM58" s="45" t="str">
        <f t="shared" si="32"/>
        <v/>
      </c>
      <c r="AN58" s="45" t="str">
        <f t="shared" si="33"/>
        <v/>
      </c>
      <c r="AO58" s="45" t="str">
        <f t="shared" si="34"/>
        <v/>
      </c>
      <c r="AP58" s="46">
        <f t="shared" si="35"/>
        <v>1</v>
      </c>
      <c r="AQ58" s="46" t="str">
        <f t="shared" si="36"/>
        <v/>
      </c>
      <c r="AR58" s="46" t="str">
        <f t="shared" si="37"/>
        <v/>
      </c>
      <c r="AS58" s="46" t="str">
        <f t="shared" si="38"/>
        <v/>
      </c>
      <c r="AT58" s="46" t="str">
        <f t="shared" si="39"/>
        <v/>
      </c>
    </row>
    <row r="59" spans="1:46" ht="15" customHeight="1" x14ac:dyDescent="0.25">
      <c r="A59" s="18" t="str">
        <f>'2 — IC Universe Table'!B60</f>
        <v>OTEX-US</v>
      </c>
      <c r="B59" s="18" t="str">
        <f>'2 — IC Universe Table'!C60</f>
        <v>Open Text Corporation</v>
      </c>
      <c r="C59" s="45" t="str">
        <f t="array" ref="C59:G59">TRANSPOSE(_xll.FDS(A59,"TRANSPOSE(TRANSPOSE(FF_GEOREV_COUNTRY_REV_PCT_MATRIX)[1:1])[0:4]"))</f>
        <v>United States</v>
      </c>
      <c r="D59" s="45" t="str">
        <v>Canada</v>
      </c>
      <c r="E59" s="45" t="str">
        <v>Mainland China</v>
      </c>
      <c r="F59" s="45" t="str">
        <v>United Kingdom</v>
      </c>
      <c r="G59" s="45" t="str">
        <v>Germany</v>
      </c>
      <c r="H59" s="46" t="str">
        <f t="array" ref="H59:L59">TRANSPOSE(_xll.FDS(A59,"TRANSPOSE(TRANSPOSE(FF_GEOREV_COUNTRY_REV_PCT_MATRIX)[2:2])[0:4]"))</f>
        <v>52.388004</v>
      </c>
      <c r="I59" s="47" t="str">
        <v>4.373961</v>
      </c>
      <c r="J59" s="47" t="str">
        <v>3.643926</v>
      </c>
      <c r="K59" s="47" t="str">
        <v>3.422273</v>
      </c>
      <c r="L59" s="47" t="str">
        <v>3.396576</v>
      </c>
      <c r="M59" s="42" t="str">
        <f t="shared" si="20"/>
        <v>United States</v>
      </c>
      <c r="N59" s="45" t="str">
        <f t="shared" si="21"/>
        <v>Canada</v>
      </c>
      <c r="O59" s="45" t="str">
        <f t="shared" si="22"/>
        <v>Mainland China</v>
      </c>
      <c r="P59" s="45" t="str">
        <f t="shared" si="23"/>
        <v>United Kingdom</v>
      </c>
      <c r="Q59" s="45" t="str">
        <f t="shared" si="24"/>
        <v>Germany</v>
      </c>
      <c r="R59" s="46">
        <f t="shared" si="25"/>
        <v>0.52</v>
      </c>
      <c r="S59" s="46">
        <f t="shared" si="26"/>
        <v>0.04</v>
      </c>
      <c r="T59" s="46">
        <f t="shared" si="27"/>
        <v>0.04</v>
      </c>
      <c r="U59" s="46">
        <f t="shared" si="28"/>
        <v>0.03</v>
      </c>
      <c r="V59" s="46">
        <f t="shared" si="29"/>
        <v>0.03</v>
      </c>
      <c r="Y59" s="18" t="str">
        <f>'2 — IC Universe Table'!B60</f>
        <v>OTEX-US</v>
      </c>
      <c r="Z59" s="18" t="str">
        <f>'2 — IC Universe Table'!C60</f>
        <v>Open Text Corporation</v>
      </c>
      <c r="AA59" s="45" t="str">
        <f t="array" ref="AA59:AE59">TRANSPOSE(_xll.FDS(Y59,"String_array Name= TRANSPOSE(TRANSPOSE(SA_SUBARRAY(FR_RBICS_REV_MATRIX_CURRENT(""IND""),1,9))[13:13]);float_array pct=TRANSPOSE(TRANSPOSE(SA_SUBARRAY(FR_RBICS_REV_MATRIX_CURRENT(""IND""),1,9))[14:14]);SORT_INDIRECT(Name,pct,2)[0:4]"))</f>
        <v>General Enterprise Management Software</v>
      </c>
      <c r="AB59" s="45" t="e">
        <v>#N/A</v>
      </c>
      <c r="AC59" s="45" t="e">
        <v>#N/A</v>
      </c>
      <c r="AD59" s="45" t="e">
        <v>#N/A</v>
      </c>
      <c r="AE59" s="45" t="e">
        <v>#N/A</v>
      </c>
      <c r="AF59" s="45" t="str">
        <f t="array" ref="AF59:AJ59">TRANSPOSE(_xll.FDS(Y59,"String_array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59" s="47" t="e">
        <v>#N/A</v>
      </c>
      <c r="AH59" s="47" t="e">
        <v>#N/A</v>
      </c>
      <c r="AI59" s="47" t="e">
        <v>#N/A</v>
      </c>
      <c r="AJ59" s="48" t="e">
        <v>#N/A</v>
      </c>
      <c r="AK59" s="42" t="str">
        <f t="shared" si="30"/>
        <v>General Enterprise Management Software</v>
      </c>
      <c r="AL59" s="45" t="str">
        <f t="shared" si="31"/>
        <v/>
      </c>
      <c r="AM59" s="45" t="str">
        <f t="shared" si="32"/>
        <v/>
      </c>
      <c r="AN59" s="45" t="str">
        <f t="shared" si="33"/>
        <v/>
      </c>
      <c r="AO59" s="45" t="str">
        <f t="shared" si="34"/>
        <v/>
      </c>
      <c r="AP59" s="46">
        <f t="shared" si="35"/>
        <v>1</v>
      </c>
      <c r="AQ59" s="46" t="str">
        <f t="shared" si="36"/>
        <v/>
      </c>
      <c r="AR59" s="46" t="str">
        <f t="shared" si="37"/>
        <v/>
      </c>
      <c r="AS59" s="46" t="str">
        <f t="shared" si="38"/>
        <v/>
      </c>
      <c r="AT59" s="46" t="str">
        <f t="shared" si="39"/>
        <v/>
      </c>
    </row>
    <row r="60" spans="1:46" ht="15" customHeight="1" x14ac:dyDescent="0.25">
      <c r="A60" s="18" t="str">
        <f>'2 — IC Universe Table'!B61</f>
        <v>PRESIGHT-AE</v>
      </c>
      <c r="B60" s="18" t="str">
        <f>'2 — IC Universe Table'!C61</f>
        <v>Presight AI Holding Plc</v>
      </c>
      <c r="C60" s="45" t="str">
        <f t="array" ref="C60:G60">TRANSPOSE(_xll.FDS(A60,"TRANSPOSE(TRANSPOSE(FF_GEOREV_COUNTRY_REV_PCT_MATRIX)[1:1])[0:4]"))</f>
        <v>United Arab Emirates</v>
      </c>
      <c r="D60" s="45" t="str">
        <v>United States</v>
      </c>
      <c r="E60" s="45" t="str">
        <v>Mainland China</v>
      </c>
      <c r="F60" s="45" t="str">
        <v>Germany</v>
      </c>
      <c r="G60" s="45" t="str">
        <v>India</v>
      </c>
      <c r="H60" s="46" t="str">
        <f t="array" ref="H60:L60">TRANSPOSE(_xll.FDS(A60,"TRANSPOSE(TRANSPOSE(FF_GEOREV_COUNTRY_REV_PCT_MATRIX)[2:2])[0:4]"))</f>
        <v>61.467269</v>
      </c>
      <c r="I60" s="47" t="str">
        <v>10.360827</v>
      </c>
      <c r="J60" s="47" t="str">
        <v>6.53145</v>
      </c>
      <c r="K60" s="47" t="str">
        <v>1.611425</v>
      </c>
      <c r="L60" s="47" t="str">
        <v>1.42199</v>
      </c>
      <c r="M60" s="42" t="str">
        <f t="shared" si="20"/>
        <v>United Arab Emirates</v>
      </c>
      <c r="N60" s="45" t="str">
        <f t="shared" si="21"/>
        <v>United States</v>
      </c>
      <c r="O60" s="45" t="str">
        <f t="shared" si="22"/>
        <v>Mainland China</v>
      </c>
      <c r="P60" s="45" t="str">
        <f t="shared" si="23"/>
        <v>Germany</v>
      </c>
      <c r="Q60" s="45" t="str">
        <f t="shared" si="24"/>
        <v>India</v>
      </c>
      <c r="R60" s="46">
        <f t="shared" si="25"/>
        <v>0.61</v>
      </c>
      <c r="S60" s="46">
        <f t="shared" si="26"/>
        <v>0.1</v>
      </c>
      <c r="T60" s="46">
        <f t="shared" si="27"/>
        <v>7.0000000000000007E-2</v>
      </c>
      <c r="U60" s="46">
        <f t="shared" si="28"/>
        <v>0.02</v>
      </c>
      <c r="V60" s="46">
        <f t="shared" si="29"/>
        <v>0.01</v>
      </c>
      <c r="Y60" s="18" t="str">
        <f>'2 — IC Universe Table'!B61</f>
        <v>PRESIGHT-AE</v>
      </c>
      <c r="Z60" s="18" t="str">
        <f>'2 — IC Universe Table'!C61</f>
        <v>Presight AI Holding Plc</v>
      </c>
      <c r="AA60" s="45" t="str">
        <f t="array" ref="AA60:AE60">TRANSPOSE(_xll.FDS(Y60,"String_array Name= TRANSPOSE(TRANSPOSE(SA_SUBARRAY(FR_RBICS_REV_MATRIX_CURRENT(""IND""),1,9))[13:13]);float_array pct=TRANSPOSE(TRANSPOSE(SA_SUBARRAY(FR_RBICS_REV_MATRIX_CURRENT(""IND""),1,9))[14:14]);SORT_INDIRECT(Name,pct,2)[0:4]"))</f>
        <v>Business Intelligence Software</v>
      </c>
      <c r="AB60" s="45" t="str">
        <v>Design, Integration and Implementation Consulting</v>
      </c>
      <c r="AC60" s="45" t="e">
        <v>#N/A</v>
      </c>
      <c r="AD60" s="45" t="e">
        <v>#N/A</v>
      </c>
      <c r="AE60" s="45" t="e">
        <v>#N/A</v>
      </c>
      <c r="AF60" s="45" t="str">
        <f t="array" ref="AF60:AJ60">TRANSPOSE(_xll.FDS(Y60,"String_array Name= TRANSPOSE(TRANSPOSE(SA_SUBARRAY(FR_RBICS_REV_MATRIX_CURRENT(""IND""),1,9))[14:14]);float_array pct=TRANSPOSE(TRANSPOSE(SA_SUBARRAY(FR_RBICS_REV_MATRIX_CURRENT(""IND""),1,9))[14:14]);SORT_INDIRECT(Name,pct,2)[0:4]"))</f>
        <v>89.465358</v>
      </c>
      <c r="AG60" s="47" t="str">
        <v>10.534642</v>
      </c>
      <c r="AH60" s="47" t="e">
        <v>#N/A</v>
      </c>
      <c r="AI60" s="47" t="e">
        <v>#N/A</v>
      </c>
      <c r="AJ60" s="48" t="e">
        <v>#N/A</v>
      </c>
      <c r="AK60" s="42" t="str">
        <f t="shared" si="30"/>
        <v>Business Intelligence Software</v>
      </c>
      <c r="AL60" s="45" t="str">
        <f t="shared" si="31"/>
        <v>Design, Integration and Implementation Consulting</v>
      </c>
      <c r="AM60" s="45" t="str">
        <f t="shared" si="32"/>
        <v/>
      </c>
      <c r="AN60" s="45" t="str">
        <f t="shared" si="33"/>
        <v/>
      </c>
      <c r="AO60" s="45" t="str">
        <f t="shared" si="34"/>
        <v/>
      </c>
      <c r="AP60" s="46">
        <f t="shared" si="35"/>
        <v>0.89</v>
      </c>
      <c r="AQ60" s="46">
        <f t="shared" si="36"/>
        <v>0.11</v>
      </c>
      <c r="AR60" s="46" t="str">
        <f t="shared" si="37"/>
        <v/>
      </c>
      <c r="AS60" s="46" t="str">
        <f t="shared" si="38"/>
        <v/>
      </c>
      <c r="AT60" s="46" t="str">
        <f t="shared" si="39"/>
        <v/>
      </c>
    </row>
    <row r="61" spans="1:46" ht="15" customHeight="1" x14ac:dyDescent="0.25">
      <c r="A61" s="18" t="str">
        <f>'2 — IC Universe Table'!B62</f>
        <v>CRWV-US</v>
      </c>
      <c r="B61" s="18" t="str">
        <f>'2 — IC Universe Table'!C62</f>
        <v>CoreWeave, Inc. Class A</v>
      </c>
      <c r="C61" s="45" t="str">
        <f t="array" ref="C61:G61">TRANSPOSE(_xll.FDS(A61,"TRANSPOSE(TRANSPOSE(FF_GEOREV_COUNTRY_REV_PCT_MATRIX)[1:1])[0:4]"))</f>
        <v>United States</v>
      </c>
      <c r="D61" s="45" t="str">
        <v>Mainland China</v>
      </c>
      <c r="E61" s="45" t="str">
        <v>Germany</v>
      </c>
      <c r="F61" s="45" t="str">
        <v>Japan</v>
      </c>
      <c r="G61" s="45" t="str">
        <v>India</v>
      </c>
      <c r="H61" s="46" t="str">
        <f t="array" ref="H61:L61">TRANSPOSE(_xll.FDS(A61,"TRANSPOSE(TRANSPOSE(FF_GEOREV_COUNTRY_REV_PCT_MATRIX)[2:2])[0:4]"))</f>
        <v>93.831242</v>
      </c>
      <c r="I61" s="47" t="str">
        <v>1.412187</v>
      </c>
      <c r="J61" s="47" t="str">
        <v>0.349842</v>
      </c>
      <c r="K61" s="47" t="str">
        <v>0.313216</v>
      </c>
      <c r="L61" s="47" t="str">
        <v>0.3</v>
      </c>
      <c r="M61" s="42" t="str">
        <f t="shared" si="20"/>
        <v>United States</v>
      </c>
      <c r="N61" s="45" t="str">
        <f t="shared" si="21"/>
        <v>Mainland China</v>
      </c>
      <c r="O61" s="45" t="str">
        <f t="shared" si="22"/>
        <v>Germany</v>
      </c>
      <c r="P61" s="45" t="str">
        <f t="shared" si="23"/>
        <v>Japan</v>
      </c>
      <c r="Q61" s="45" t="str">
        <f t="shared" si="24"/>
        <v>India</v>
      </c>
      <c r="R61" s="46">
        <f t="shared" si="25"/>
        <v>0.94</v>
      </c>
      <c r="S61" s="46">
        <f t="shared" si="26"/>
        <v>0.01</v>
      </c>
      <c r="T61" s="46">
        <f t="shared" si="27"/>
        <v>0</v>
      </c>
      <c r="U61" s="46">
        <f t="shared" si="28"/>
        <v>0</v>
      </c>
      <c r="V61" s="46">
        <f t="shared" si="29"/>
        <v>0</v>
      </c>
      <c r="Y61" s="18" t="str">
        <f>'2 — IC Universe Table'!B62</f>
        <v>CRWV-US</v>
      </c>
      <c r="Z61" s="18" t="str">
        <f>'2 — IC Universe Table'!C62</f>
        <v>CoreWeave, Inc. Class A</v>
      </c>
      <c r="AA61" s="45" t="str">
        <f t="array" ref="AA61:AE61">TRANSPOSE(_xll.FDS(Y61,"String_array Name= TRANSPOSE(TRANSPOSE(SA_SUBARRAY(FR_RBICS_REV_MATRIX_CURRENT(""IND""),1,9))[13:13]);float_array pct=TRANSPOSE(TRANSPOSE(SA_SUBARRAY(FR_RBICS_REV_MATRIX_CURRENT(""IND""),1,9))[14:14]);SORT_INDIRECT(Name,pct,2)[0:4]"))</f>
        <v>Colocation and Data Center Services</v>
      </c>
      <c r="AB61" s="45" t="e">
        <v>#N/A</v>
      </c>
      <c r="AC61" s="45" t="e">
        <v>#N/A</v>
      </c>
      <c r="AD61" s="45" t="e">
        <v>#N/A</v>
      </c>
      <c r="AE61" s="45" t="e">
        <v>#N/A</v>
      </c>
      <c r="AF61" s="45" t="str">
        <f t="array" ref="AF61:AJ61">TRANSPOSE(_xll.FDS(Y61,"String_array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61" s="47" t="e">
        <v>#N/A</v>
      </c>
      <c r="AH61" s="47" t="e">
        <v>#N/A</v>
      </c>
      <c r="AI61" s="47" t="e">
        <v>#N/A</v>
      </c>
      <c r="AJ61" s="48" t="e">
        <v>#N/A</v>
      </c>
      <c r="AK61" s="42" t="str">
        <f t="shared" si="30"/>
        <v>Colocation and Data Center Services</v>
      </c>
      <c r="AL61" s="45" t="str">
        <f t="shared" si="31"/>
        <v/>
      </c>
      <c r="AM61" s="45" t="str">
        <f t="shared" si="32"/>
        <v/>
      </c>
      <c r="AN61" s="45" t="str">
        <f t="shared" si="33"/>
        <v/>
      </c>
      <c r="AO61" s="45" t="str">
        <f t="shared" si="34"/>
        <v/>
      </c>
      <c r="AP61" s="46">
        <f t="shared" si="35"/>
        <v>1</v>
      </c>
      <c r="AQ61" s="46" t="str">
        <f t="shared" si="36"/>
        <v/>
      </c>
      <c r="AR61" s="46" t="str">
        <f t="shared" si="37"/>
        <v/>
      </c>
      <c r="AS61" s="46" t="str">
        <f t="shared" si="38"/>
        <v/>
      </c>
      <c r="AT61" s="46" t="str">
        <f t="shared" si="39"/>
        <v/>
      </c>
    </row>
    <row r="62" spans="1:46" ht="15" customHeight="1" x14ac:dyDescent="0.25">
      <c r="A62" s="18" t="str">
        <f>'2 — IC Universe Table'!B63</f>
        <v>CWAN-US</v>
      </c>
      <c r="B62" s="18" t="str">
        <f>'2 — IC Universe Table'!C63</f>
        <v>Clearwater Analytics Holdings, Inc.</v>
      </c>
      <c r="C62" s="45" t="str">
        <f t="array" ref="C62:G62">TRANSPOSE(_xll.FDS(A62,"TRANSPOSE(TRANSPOSE(FF_GEOREV_COUNTRY_REV_PCT_MATRIX)[1:1])[0:4]"))</f>
        <v>United States</v>
      </c>
      <c r="D62" s="45" t="str">
        <v>Germany</v>
      </c>
      <c r="E62" s="45" t="str">
        <v>India</v>
      </c>
      <c r="F62" s="45" t="str">
        <v>United Kingdom</v>
      </c>
      <c r="G62" s="45" t="str">
        <v>France</v>
      </c>
      <c r="H62" s="46" t="str">
        <f t="array" ref="H62:L62">TRANSPOSE(_xll.FDS(A62,"TRANSPOSE(TRANSPOSE(FF_GEOREV_COUNTRY_REV_PCT_MATRIX)[2:2])[0:4]"))</f>
        <v>74.569164</v>
      </c>
      <c r="I62" s="47" t="str">
        <v>7.069756</v>
      </c>
      <c r="J62" s="47" t="str">
        <v>6.238654</v>
      </c>
      <c r="K62" s="47" t="str">
        <v>5.720377</v>
      </c>
      <c r="L62" s="47" t="str">
        <v>4.784824</v>
      </c>
      <c r="M62" s="42" t="str">
        <f t="shared" si="20"/>
        <v>United States</v>
      </c>
      <c r="N62" s="45" t="str">
        <f t="shared" si="21"/>
        <v>Germany</v>
      </c>
      <c r="O62" s="45" t="str">
        <f t="shared" si="22"/>
        <v>India</v>
      </c>
      <c r="P62" s="45" t="str">
        <f t="shared" si="23"/>
        <v>United Kingdom</v>
      </c>
      <c r="Q62" s="45" t="str">
        <f t="shared" si="24"/>
        <v>France</v>
      </c>
      <c r="R62" s="46">
        <f t="shared" si="25"/>
        <v>0.75</v>
      </c>
      <c r="S62" s="46">
        <f t="shared" si="26"/>
        <v>7.0000000000000007E-2</v>
      </c>
      <c r="T62" s="46">
        <f t="shared" si="27"/>
        <v>0.06</v>
      </c>
      <c r="U62" s="46">
        <f t="shared" si="28"/>
        <v>0.06</v>
      </c>
      <c r="V62" s="46">
        <f t="shared" si="29"/>
        <v>0.05</v>
      </c>
      <c r="Y62" s="18" t="str">
        <f>'2 — IC Universe Table'!B63</f>
        <v>CWAN-US</v>
      </c>
      <c r="Z62" s="18" t="str">
        <f>'2 — IC Universe Table'!C63</f>
        <v>Clearwater Analytics Holdings, Inc.</v>
      </c>
      <c r="AA62" s="45" t="str">
        <f t="array" ref="AA62:AE62">TRANSPOSE(_xll.FDS(Y62,"String_array Name= TRANSPOSE(TRANSPOSE(SA_SUBARRAY(FR_RBICS_REV_MATRIX_CURRENT(""IND""),1,9))[13:13]);float_array pct=TRANSPOSE(TRANSPOSE(SA_SUBARRAY(FR_RBICS_REV_MATRIX_CURRENT(""IND""),1,9))[14:14]);SORT_INDIRECT(Name,pct,2)[0:4]"))</f>
        <v>Finance Industry Software</v>
      </c>
      <c r="AB62" s="45" t="e">
        <v>#N/A</v>
      </c>
      <c r="AC62" s="45" t="e">
        <v>#N/A</v>
      </c>
      <c r="AD62" s="45" t="e">
        <v>#N/A</v>
      </c>
      <c r="AE62" s="45" t="e">
        <v>#N/A</v>
      </c>
      <c r="AF62" s="45" t="str">
        <f t="array" ref="AF62:AJ62">TRANSPOSE(_xll.FDS(Y62,"String_array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62" s="47" t="e">
        <v>#N/A</v>
      </c>
      <c r="AH62" s="47" t="e">
        <v>#N/A</v>
      </c>
      <c r="AI62" s="47" t="e">
        <v>#N/A</v>
      </c>
      <c r="AJ62" s="48" t="e">
        <v>#N/A</v>
      </c>
      <c r="AK62" s="42" t="str">
        <f t="shared" si="30"/>
        <v>Finance Industry Software</v>
      </c>
      <c r="AL62" s="45" t="str">
        <f t="shared" si="31"/>
        <v/>
      </c>
      <c r="AM62" s="45" t="str">
        <f t="shared" si="32"/>
        <v/>
      </c>
      <c r="AN62" s="45" t="str">
        <f t="shared" si="33"/>
        <v/>
      </c>
      <c r="AO62" s="45" t="str">
        <f t="shared" si="34"/>
        <v/>
      </c>
      <c r="AP62" s="46">
        <f t="shared" si="35"/>
        <v>1</v>
      </c>
      <c r="AQ62" s="46" t="str">
        <f t="shared" si="36"/>
        <v/>
      </c>
      <c r="AR62" s="46" t="str">
        <f t="shared" si="37"/>
        <v/>
      </c>
      <c r="AS62" s="46" t="str">
        <f t="shared" si="38"/>
        <v/>
      </c>
      <c r="AT62" s="46" t="str">
        <f t="shared" si="39"/>
        <v/>
      </c>
    </row>
    <row r="63" spans="1:46" ht="15" customHeight="1" x14ac:dyDescent="0.25">
      <c r="A63" s="18" t="str">
        <f>'2 — IC Universe Table'!B64</f>
        <v>7203-SA</v>
      </c>
      <c r="B63" s="18" t="str">
        <f>'2 — IC Universe Table'!C64</f>
        <v>Elm Company</v>
      </c>
      <c r="C63" s="45" t="str">
        <f t="array" ref="C63:G63">TRANSPOSE(_xll.FDS(A63,"TRANSPOSE(TRANSPOSE(FF_GEOREV_COUNTRY_REV_PCT_MATRIX)[1:1])[0:4]"))</f>
        <v>Saudi Arabia</v>
      </c>
      <c r="D63" s="45" t="e">
        <v>#N/A</v>
      </c>
      <c r="E63" s="45" t="e">
        <v>#N/A</v>
      </c>
      <c r="F63" s="45" t="e">
        <v>#N/A</v>
      </c>
      <c r="G63" s="45" t="e">
        <v>#N/A</v>
      </c>
      <c r="H63" s="46" t="str">
        <f t="array" ref="H63:L63">TRANSPOSE(_xll.FDS(A63,"TRANSPOSE(TRANSPOSE(FF_GEOREV_COUNTRY_REV_PCT_MATRIX)[2:2])[0:4]"))</f>
        <v>100</v>
      </c>
      <c r="I63" s="47" t="e">
        <v>#N/A</v>
      </c>
      <c r="J63" s="47" t="e">
        <v>#N/A</v>
      </c>
      <c r="K63" s="47" t="e">
        <v>#N/A</v>
      </c>
      <c r="L63" s="47" t="e">
        <v>#N/A</v>
      </c>
      <c r="M63" s="42" t="str">
        <f t="shared" si="20"/>
        <v>Saudi Arabia</v>
      </c>
      <c r="N63" s="45" t="str">
        <f t="shared" si="21"/>
        <v/>
      </c>
      <c r="O63" s="45" t="str">
        <f t="shared" si="22"/>
        <v/>
      </c>
      <c r="P63" s="45" t="str">
        <f t="shared" si="23"/>
        <v/>
      </c>
      <c r="Q63" s="45" t="str">
        <f t="shared" si="24"/>
        <v/>
      </c>
      <c r="R63" s="46">
        <f t="shared" si="25"/>
        <v>1</v>
      </c>
      <c r="S63" s="46" t="str">
        <f t="shared" si="26"/>
        <v/>
      </c>
      <c r="T63" s="46" t="str">
        <f t="shared" si="27"/>
        <v/>
      </c>
      <c r="U63" s="46" t="str">
        <f t="shared" si="28"/>
        <v/>
      </c>
      <c r="V63" s="46" t="str">
        <f t="shared" si="29"/>
        <v/>
      </c>
      <c r="Y63" s="18" t="str">
        <f>'2 — IC Universe Table'!B64</f>
        <v>7203-SA</v>
      </c>
      <c r="Z63" s="18" t="str">
        <f>'2 — IC Universe Table'!C64</f>
        <v>Elm Company</v>
      </c>
      <c r="AA63" s="45" t="str">
        <f t="array" ref="AA63:AE63">TRANSPOSE(_xll.FDS(Y63,"String_array Name= TRANSPOSE(TRANSPOSE(SA_SUBARRAY(FR_RBICS_REV_MATRIX_CURRENT(""IND""),1,9))[13:13]);float_array pct=TRANSPOSE(TRANSPOSE(SA_SUBARRAY(FR_RBICS_REV_MATRIX_CURRENT(""IND""),1,9))[14:14]);SORT_INDIRECT(Name,pct,2)[0:4]"))</f>
        <v>Industry-Specific Software</v>
      </c>
      <c r="AB63" s="45" t="str">
        <v>Business Process Outsourcing Services</v>
      </c>
      <c r="AC63" s="45" t="str">
        <v>Information Technology Consulting</v>
      </c>
      <c r="AD63" s="45" t="e">
        <v>#N/A</v>
      </c>
      <c r="AE63" s="45" t="e">
        <v>#N/A</v>
      </c>
      <c r="AF63" s="45" t="str">
        <f t="array" ref="AF63:AJ63">TRANSPOSE(_xll.FDS(Y63,"String_array Name= TRANSPOSE(TRANSPOSE(SA_SUBARRAY(FR_RBICS_REV_MATRIX_CURRENT(""IND""),1,9))[14:14]);float_array pct=TRANSPOSE(TRANSPOSE(SA_SUBARRAY(FR_RBICS_REV_MATRIX_CURRENT(""IND""),1,9))[14:14]);SORT_INDIRECT(Name,pct,2)[0:4]"))</f>
        <v>73.843792</v>
      </c>
      <c r="AG63" s="47" t="str">
        <v>24.096315</v>
      </c>
      <c r="AH63" s="47" t="str">
        <v>2.059893</v>
      </c>
      <c r="AI63" s="47" t="e">
        <v>#N/A</v>
      </c>
      <c r="AJ63" s="48" t="e">
        <v>#N/A</v>
      </c>
      <c r="AK63" s="42" t="str">
        <f t="shared" si="30"/>
        <v>Industry-Specific Software</v>
      </c>
      <c r="AL63" s="45" t="str">
        <f t="shared" si="31"/>
        <v>Business Process Outsourcing Services</v>
      </c>
      <c r="AM63" s="45" t="str">
        <f t="shared" si="32"/>
        <v>Information Technology Consulting</v>
      </c>
      <c r="AN63" s="45" t="str">
        <f t="shared" si="33"/>
        <v/>
      </c>
      <c r="AO63" s="45" t="str">
        <f t="shared" si="34"/>
        <v/>
      </c>
      <c r="AP63" s="46">
        <f t="shared" si="35"/>
        <v>0.74</v>
      </c>
      <c r="AQ63" s="46">
        <f t="shared" si="36"/>
        <v>0.24</v>
      </c>
      <c r="AR63" s="46">
        <f t="shared" si="37"/>
        <v>0.02</v>
      </c>
      <c r="AS63" s="46" t="str">
        <f t="shared" si="38"/>
        <v/>
      </c>
      <c r="AT63" s="46" t="str">
        <f t="shared" si="39"/>
        <v/>
      </c>
    </row>
    <row r="64" spans="1:46" ht="15" customHeight="1" x14ac:dyDescent="0.25">
      <c r="A64" s="18" t="str">
        <f>'2 — IC Universe Table'!B65</f>
        <v>ROP-US</v>
      </c>
      <c r="B64" s="18" t="str">
        <f>'2 — IC Universe Table'!C65</f>
        <v>Roper Technologies, Inc.</v>
      </c>
      <c r="C64" s="45" t="str">
        <f t="array" ref="C64:G64">TRANSPOSE(_xll.FDS(A64,"TRANSPOSE(TRANSPOSE(FF_GEOREV_COUNTRY_REV_PCT_MATRIX)[1:1])[0:4]"))</f>
        <v>United States</v>
      </c>
      <c r="D64" s="45" t="str">
        <v>Canada</v>
      </c>
      <c r="E64" s="45" t="str">
        <v>Germany</v>
      </c>
      <c r="F64" s="45" t="str">
        <v>France</v>
      </c>
      <c r="G64" s="45" t="str">
        <v>United Kingdom</v>
      </c>
      <c r="H64" s="46" t="str">
        <f t="array" ref="H64:L64">TRANSPOSE(_xll.FDS(A64,"TRANSPOSE(TRANSPOSE(FF_GEOREV_COUNTRY_REV_PCT_MATRIX)[2:2])[0:4]"))</f>
        <v>86.969946</v>
      </c>
      <c r="I64" s="47" t="str">
        <v>3.691237</v>
      </c>
      <c r="J64" s="47" t="str">
        <v>0.852029</v>
      </c>
      <c r="K64" s="47" t="str">
        <v>0.786021</v>
      </c>
      <c r="L64" s="47" t="str">
        <v>0.689406</v>
      </c>
      <c r="M64" s="42" t="str">
        <f t="shared" si="20"/>
        <v>United States</v>
      </c>
      <c r="N64" s="45" t="str">
        <f t="shared" si="21"/>
        <v>Canada</v>
      </c>
      <c r="O64" s="45" t="str">
        <f t="shared" si="22"/>
        <v>Germany</v>
      </c>
      <c r="P64" s="45" t="str">
        <f t="shared" si="23"/>
        <v>France</v>
      </c>
      <c r="Q64" s="45" t="str">
        <f t="shared" si="24"/>
        <v>United Kingdom</v>
      </c>
      <c r="R64" s="46">
        <f t="shared" si="25"/>
        <v>0.87</v>
      </c>
      <c r="S64" s="46">
        <f t="shared" si="26"/>
        <v>0.04</v>
      </c>
      <c r="T64" s="46">
        <f t="shared" si="27"/>
        <v>0.01</v>
      </c>
      <c r="U64" s="46">
        <f t="shared" si="28"/>
        <v>0.01</v>
      </c>
      <c r="V64" s="46">
        <f t="shared" si="29"/>
        <v>0.01</v>
      </c>
      <c r="Y64" s="18" t="str">
        <f>'2 — IC Universe Table'!B65</f>
        <v>ROP-US</v>
      </c>
      <c r="Z64" s="18" t="str">
        <f>'2 — IC Universe Table'!C65</f>
        <v>Roper Technologies, Inc.</v>
      </c>
      <c r="AA64" s="45" t="str">
        <f t="array" ref="AA64:AE64">TRANSPOSE(_xll.FDS(Y64,"String_array Name= TRANSPOSE(TRANSPOSE(SA_SUBARRAY(FR_RBICS_REV_MATRIX_CURRENT(""IND""),1,9))[13:13]);float_array pct=TRANSPOSE(TRANSPOSE(SA_SUBARRAY(FR_RBICS_REV_MATRIX_CURRENT(""IND""),1,9))[14:14]);SORT_INDIRECT(Name,pct,2)[0:4]"))</f>
        <v>Industry-Specific Software</v>
      </c>
      <c r="AB64" s="45" t="e">
        <v>#N/A</v>
      </c>
      <c r="AC64" s="45" t="e">
        <v>#N/A</v>
      </c>
      <c r="AD64" s="45" t="e">
        <v>#N/A</v>
      </c>
      <c r="AE64" s="45" t="e">
        <v>#N/A</v>
      </c>
      <c r="AF64" s="45" t="str">
        <f t="array" ref="AF64:AJ64">TRANSPOSE(_xll.FDS(Y64,"String_array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64" s="47" t="e">
        <v>#N/A</v>
      </c>
      <c r="AH64" s="47" t="e">
        <v>#N/A</v>
      </c>
      <c r="AI64" s="47" t="e">
        <v>#N/A</v>
      </c>
      <c r="AJ64" s="48" t="e">
        <v>#N/A</v>
      </c>
      <c r="AK64" s="42" t="str">
        <f t="shared" si="30"/>
        <v>Industry-Specific Software</v>
      </c>
      <c r="AL64" s="45" t="str">
        <f t="shared" si="31"/>
        <v/>
      </c>
      <c r="AM64" s="45" t="str">
        <f t="shared" si="32"/>
        <v/>
      </c>
      <c r="AN64" s="45" t="str">
        <f t="shared" si="33"/>
        <v/>
      </c>
      <c r="AO64" s="45" t="str">
        <f t="shared" si="34"/>
        <v/>
      </c>
      <c r="AP64" s="46">
        <f t="shared" si="35"/>
        <v>1</v>
      </c>
      <c r="AQ64" s="46" t="str">
        <f t="shared" si="36"/>
        <v/>
      </c>
      <c r="AR64" s="46" t="str">
        <f t="shared" si="37"/>
        <v/>
      </c>
      <c r="AS64" s="46" t="str">
        <f t="shared" si="38"/>
        <v/>
      </c>
      <c r="AT64" s="46" t="str">
        <f t="shared" si="39"/>
        <v/>
      </c>
    </row>
    <row r="65" spans="1:46" ht="15" customHeight="1" x14ac:dyDescent="0.25">
      <c r="A65" s="18" t="str">
        <f>'2 — IC Universe Table'!B66</f>
        <v>ALRM-US</v>
      </c>
      <c r="B65" s="18" t="str">
        <f>'2 — IC Universe Table'!C66</f>
        <v>Alarm.com Holdings, Inc.</v>
      </c>
      <c r="C65" s="45" t="str">
        <f t="array" ref="C65:G65">TRANSPOSE(_xll.FDS(A65,"TRANSPOSE(TRANSPOSE(FF_GEOREV_COUNTRY_REV_PCT_MATRIX)[1:1])[0:4]"))</f>
        <v>United States</v>
      </c>
      <c r="D65" s="45" t="str">
        <v>Canada</v>
      </c>
      <c r="E65" s="45" t="str">
        <v>Mainland China</v>
      </c>
      <c r="F65" s="45" t="str">
        <v>Germany</v>
      </c>
      <c r="G65" s="45" t="str">
        <v>India</v>
      </c>
      <c r="H65" s="46" t="str">
        <f t="array" ref="H65:L65">TRANSPOSE(_xll.FDS(A65,"TRANSPOSE(TRANSPOSE(FF_GEOREV_COUNTRY_REV_PCT_MATRIX)[2:2])[0:4]"))</f>
        <v>82.728608</v>
      </c>
      <c r="I65" s="47" t="str">
        <v>12.271392</v>
      </c>
      <c r="J65" s="47" t="str">
        <v>1.183129</v>
      </c>
      <c r="K65" s="47" t="str">
        <v>0.291899</v>
      </c>
      <c r="L65" s="47" t="str">
        <v>0.257584</v>
      </c>
      <c r="M65" s="42" t="str">
        <f t="shared" si="20"/>
        <v>United States</v>
      </c>
      <c r="N65" s="45" t="str">
        <f t="shared" si="21"/>
        <v>Canada</v>
      </c>
      <c r="O65" s="45" t="str">
        <f t="shared" si="22"/>
        <v>Mainland China</v>
      </c>
      <c r="P65" s="45" t="str">
        <f t="shared" si="23"/>
        <v>Germany</v>
      </c>
      <c r="Q65" s="45" t="str">
        <f t="shared" si="24"/>
        <v>India</v>
      </c>
      <c r="R65" s="46">
        <f t="shared" si="25"/>
        <v>0.83</v>
      </c>
      <c r="S65" s="46">
        <f t="shared" si="26"/>
        <v>0.12</v>
      </c>
      <c r="T65" s="46">
        <f t="shared" si="27"/>
        <v>0.01</v>
      </c>
      <c r="U65" s="46">
        <f t="shared" si="28"/>
        <v>0</v>
      </c>
      <c r="V65" s="46">
        <f t="shared" si="29"/>
        <v>0</v>
      </c>
      <c r="Y65" s="18" t="str">
        <f>'2 — IC Universe Table'!B66</f>
        <v>ALRM-US</v>
      </c>
      <c r="Z65" s="18" t="str">
        <f>'2 — IC Universe Table'!C66</f>
        <v>Alarm.com Holdings, Inc.</v>
      </c>
      <c r="AA65" s="45" t="str">
        <f t="array" ref="AA65:AE65">TRANSPOSE(_xll.FDS(Y65,"String_array Name= TRANSPOSE(TRANSPOSE(SA_SUBARRAY(FR_RBICS_REV_MATRIX_CURRENT(""IND""),1,9))[13:13]);float_array pct=TRANSPOSE(TRANSPOSE(SA_SUBARRAY(FR_RBICS_REV_MATRIX_CURRENT(""IND""),1,9))[14:14]);SORT_INDIRECT(Name,pct,2)[0:4]"))</f>
        <v>Other Enterprise Management Software</v>
      </c>
      <c r="AB65" s="45" t="str">
        <v>Building/Physical Electronic Security Equipment</v>
      </c>
      <c r="AC65" s="45" t="str">
        <v>Monitoring and Control Sensor/Instrument Products</v>
      </c>
      <c r="AD65" s="45" t="e">
        <v>#N/A</v>
      </c>
      <c r="AE65" s="45" t="e">
        <v>#N/A</v>
      </c>
      <c r="AF65" s="45" t="str">
        <f t="array" ref="AF65:AJ65">TRANSPOSE(_xll.FDS(Y65,"String_array Name= TRANSPOSE(TRANSPOSE(SA_SUBARRAY(FR_RBICS_REV_MATRIX_CURRENT(""IND""),1,9))[14:14]);float_array pct=TRANSPOSE(TRANSPOSE(SA_SUBARRAY(FR_RBICS_REV_MATRIX_CURRENT(""IND""),1,9))[14:14]);SORT_INDIRECT(Name,pct,2)[0:4]"))</f>
        <v>67.161084</v>
      </c>
      <c r="AG65" s="47" t="str">
        <v>32.272429</v>
      </c>
      <c r="AH65" s="47" t="str">
        <v>0.566487</v>
      </c>
      <c r="AI65" s="47" t="e">
        <v>#N/A</v>
      </c>
      <c r="AJ65" s="48" t="e">
        <v>#N/A</v>
      </c>
      <c r="AK65" s="42" t="str">
        <f t="shared" si="30"/>
        <v>Other Enterprise Management Software</v>
      </c>
      <c r="AL65" s="45" t="str">
        <f t="shared" si="31"/>
        <v>Building/Physical Electronic Security Equipment</v>
      </c>
      <c r="AM65" s="45" t="str">
        <f t="shared" si="32"/>
        <v>Monitoring and Control Sensor/Instrument Products</v>
      </c>
      <c r="AN65" s="45" t="str">
        <f t="shared" si="33"/>
        <v/>
      </c>
      <c r="AO65" s="45" t="str">
        <f t="shared" si="34"/>
        <v/>
      </c>
      <c r="AP65" s="46">
        <f t="shared" si="35"/>
        <v>0.67</v>
      </c>
      <c r="AQ65" s="46">
        <f t="shared" si="36"/>
        <v>0.32</v>
      </c>
      <c r="AR65" s="46">
        <f t="shared" si="37"/>
        <v>0.01</v>
      </c>
      <c r="AS65" s="46" t="str">
        <f t="shared" si="38"/>
        <v/>
      </c>
      <c r="AT65" s="46" t="str">
        <f t="shared" si="39"/>
        <v/>
      </c>
    </row>
    <row r="66" spans="1:46" ht="15" customHeight="1" x14ac:dyDescent="0.25">
      <c r="A66" s="18" t="str">
        <f>'2 — IC Universe Table'!B67</f>
        <v>SAIL-US</v>
      </c>
      <c r="B66" s="18" t="str">
        <f>'2 — IC Universe Table'!C67</f>
        <v>SailPoint, Inc.</v>
      </c>
      <c r="C66" s="45" t="str">
        <f t="array" ref="C66:G66">TRANSPOSE(_xll.FDS(A66,"TRANSPOSE(TRANSPOSE(FF_GEOREV_COUNTRY_REV_PCT_MATRIX)[1:1])[0:4]"))</f>
        <v>United States</v>
      </c>
      <c r="D66" s="45" t="str">
        <v>Mainland China</v>
      </c>
      <c r="E66" s="45" t="str">
        <v>Germany</v>
      </c>
      <c r="F66" s="45" t="str">
        <v>Italy</v>
      </c>
      <c r="G66" s="45" t="str">
        <v>Russian Federation</v>
      </c>
      <c r="H66" s="46" t="str">
        <f t="array" ref="H66:L66">TRANSPOSE(_xll.FDS(A66,"TRANSPOSE(TRANSPOSE(FF_GEOREV_COUNTRY_REV_PCT_MATRIX)[2:2])[0:4]"))</f>
        <v>68.066215</v>
      </c>
      <c r="I66" s="47" t="str">
        <v>5.080082</v>
      </c>
      <c r="J66" s="47" t="str">
        <v>1.368429</v>
      </c>
      <c r="K66" s="47" t="str">
        <v>1.285547</v>
      </c>
      <c r="L66" s="47" t="str">
        <v>1.135795</v>
      </c>
      <c r="M66" s="42" t="str">
        <f t="shared" si="20"/>
        <v>United States</v>
      </c>
      <c r="N66" s="45" t="str">
        <f t="shared" si="21"/>
        <v>Mainland China</v>
      </c>
      <c r="O66" s="45" t="str">
        <f t="shared" si="22"/>
        <v>Germany</v>
      </c>
      <c r="P66" s="45" t="str">
        <f t="shared" si="23"/>
        <v>Italy</v>
      </c>
      <c r="Q66" s="45" t="str">
        <f t="shared" si="24"/>
        <v>Russian Federation</v>
      </c>
      <c r="R66" s="46">
        <f t="shared" si="25"/>
        <v>0.68</v>
      </c>
      <c r="S66" s="46">
        <f t="shared" si="26"/>
        <v>0.05</v>
      </c>
      <c r="T66" s="46">
        <f t="shared" si="27"/>
        <v>0.01</v>
      </c>
      <c r="U66" s="46">
        <f t="shared" si="28"/>
        <v>0.01</v>
      </c>
      <c r="V66" s="46">
        <f t="shared" si="29"/>
        <v>0.01</v>
      </c>
      <c r="Y66" s="18" t="str">
        <f>'2 — IC Universe Table'!B67</f>
        <v>SAIL-US</v>
      </c>
      <c r="Z66" s="18" t="str">
        <f>'2 — IC Universe Table'!C67</f>
        <v>SailPoint, Inc.</v>
      </c>
      <c r="AA66" s="45" t="str">
        <f t="array" ref="AA66:AE66">TRANSPOSE(_xll.FDS(Y66,"String_array Name= TRANSPOSE(TRANSPOSE(SA_SUBARRAY(FR_RBICS_REV_MATRIX_CURRENT(""IND""),1,9))[13:13]);float_array pct=TRANSPOSE(TRANSPOSE(SA_SUBARRAY(FR_RBICS_REV_MATRIX_CURRENT(""IND""),1,9))[14:14]);SORT_INDIRECT(Name,pct,2)[0:4]"))</f>
        <v>Network Infrastructure Software</v>
      </c>
      <c r="AB66" s="45" t="e">
        <v>#N/A</v>
      </c>
      <c r="AC66" s="45" t="e">
        <v>#N/A</v>
      </c>
      <c r="AD66" s="45" t="e">
        <v>#N/A</v>
      </c>
      <c r="AE66" s="45" t="e">
        <v>#N/A</v>
      </c>
      <c r="AF66" s="45" t="str">
        <f t="array" ref="AF66:AJ66">TRANSPOSE(_xll.FDS(Y66,"String_array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66" s="47" t="e">
        <v>#N/A</v>
      </c>
      <c r="AH66" s="47" t="e">
        <v>#N/A</v>
      </c>
      <c r="AI66" s="47" t="e">
        <v>#N/A</v>
      </c>
      <c r="AJ66" s="48" t="e">
        <v>#N/A</v>
      </c>
      <c r="AK66" s="42" t="str">
        <f t="shared" si="30"/>
        <v>Network Infrastructure Software</v>
      </c>
      <c r="AL66" s="45" t="str">
        <f t="shared" si="31"/>
        <v/>
      </c>
      <c r="AM66" s="45" t="str">
        <f t="shared" si="32"/>
        <v/>
      </c>
      <c r="AN66" s="45" t="str">
        <f t="shared" si="33"/>
        <v/>
      </c>
      <c r="AO66" s="45" t="str">
        <f t="shared" si="34"/>
        <v/>
      </c>
      <c r="AP66" s="46">
        <f t="shared" si="35"/>
        <v>1</v>
      </c>
      <c r="AQ66" s="46" t="str">
        <f t="shared" si="36"/>
        <v/>
      </c>
      <c r="AR66" s="46" t="str">
        <f t="shared" si="37"/>
        <v/>
      </c>
      <c r="AS66" s="46" t="str">
        <f t="shared" si="38"/>
        <v/>
      </c>
      <c r="AT66" s="46" t="str">
        <f t="shared" si="39"/>
        <v/>
      </c>
    </row>
    <row r="67" spans="1:46" ht="15" customHeight="1" x14ac:dyDescent="0.25">
      <c r="A67" s="18" t="str">
        <f>'2 — IC Universe Table'!B68</f>
        <v>GWRE-US</v>
      </c>
      <c r="B67" s="18" t="str">
        <f>'2 — IC Universe Table'!C68</f>
        <v>Guidewire Software, Inc.</v>
      </c>
      <c r="C67" s="45" t="str">
        <f t="array" ref="C67:G67">TRANSPOSE(_xll.FDS(A67,"TRANSPOSE(TRANSPOSE(FF_GEOREV_COUNTRY_REV_PCT_MATRIX)[1:1])[0:4]"))</f>
        <v>United States</v>
      </c>
      <c r="D67" s="45" t="str">
        <v>Canada</v>
      </c>
      <c r="E67" s="45" t="str">
        <v>Mainland China</v>
      </c>
      <c r="F67" s="45" t="str">
        <v>France</v>
      </c>
      <c r="G67" s="45" t="str">
        <v>India</v>
      </c>
      <c r="H67" s="46" t="str">
        <f t="array" ref="H67:L67">TRANSPOSE(_xll.FDS(A67,"TRANSPOSE(TRANSPOSE(FF_GEOREV_COUNTRY_REV_PCT_MATRIX)[2:2])[0:4]"))</f>
        <v>64.106884</v>
      </c>
      <c r="I67" s="47" t="str">
        <v>11.757657</v>
      </c>
      <c r="J67" s="47" t="str">
        <v>1.460689</v>
      </c>
      <c r="K67" s="47" t="str">
        <v>1.332446</v>
      </c>
      <c r="L67" s="47" t="str">
        <v>1.23337</v>
      </c>
      <c r="M67" s="42" t="str">
        <f t="shared" ref="M67:M91" si="40">IFERROR(C67, "")</f>
        <v>United States</v>
      </c>
      <c r="N67" s="45" t="str">
        <f t="shared" ref="N67:N91" si="41">IFERROR(D67, "")</f>
        <v>Canada</v>
      </c>
      <c r="O67" s="45" t="str">
        <f t="shared" ref="O67:O91" si="42">IFERROR(E67, "")</f>
        <v>Mainland China</v>
      </c>
      <c r="P67" s="45" t="str">
        <f t="shared" ref="P67:P91" si="43">IFERROR(F67, "")</f>
        <v>France</v>
      </c>
      <c r="Q67" s="45" t="str">
        <f t="shared" ref="Q67:Q91" si="44">IFERROR(G67, "")</f>
        <v>India</v>
      </c>
      <c r="R67" s="46">
        <f t="shared" ref="R67:R91" si="45">IFERROR(ROUND(VALUE(H67), 0)/100, "")</f>
        <v>0.64</v>
      </c>
      <c r="S67" s="46">
        <f t="shared" ref="S67:S91" si="46">IFERROR(ROUND(VALUE(I67), 0)/100, "")</f>
        <v>0.12</v>
      </c>
      <c r="T67" s="46">
        <f t="shared" ref="T67:T91" si="47">IFERROR(ROUND(VALUE(J67), 0)/100, "")</f>
        <v>0.01</v>
      </c>
      <c r="U67" s="46">
        <f t="shared" ref="U67:U91" si="48">IFERROR(ROUND(VALUE(K67), 0)/100, "")</f>
        <v>0.01</v>
      </c>
      <c r="V67" s="46">
        <f t="shared" ref="V67:V91" si="49">IFERROR(ROUND(VALUE(L67), 0)/100, "")</f>
        <v>0.01</v>
      </c>
      <c r="Y67" s="18" t="str">
        <f>'2 — IC Universe Table'!B68</f>
        <v>GWRE-US</v>
      </c>
      <c r="Z67" s="18" t="str">
        <f>'2 — IC Universe Table'!C68</f>
        <v>Guidewire Software, Inc.</v>
      </c>
      <c r="AA67" s="45" t="str">
        <f t="array" ref="AA67:AE67">TRANSPOSE(_xll.FDS(Y67,"String_array Name= TRANSPOSE(TRANSPOSE(SA_SUBARRAY(FR_RBICS_REV_MATRIX_CURRENT(""IND""),1,9))[13:13]);float_array pct=TRANSPOSE(TRANSPOSE(SA_SUBARRAY(FR_RBICS_REV_MATRIX_CURRENT(""IND""),1,9))[14:14]);SORT_INDIRECT(Name,pct,2)[0:4]"))</f>
        <v>Finance Industry Software</v>
      </c>
      <c r="AB67" s="45" t="e">
        <v>#N/A</v>
      </c>
      <c r="AC67" s="45" t="e">
        <v>#N/A</v>
      </c>
      <c r="AD67" s="45" t="e">
        <v>#N/A</v>
      </c>
      <c r="AE67" s="45" t="e">
        <v>#N/A</v>
      </c>
      <c r="AF67" s="45" t="str">
        <f t="array" ref="AF67:AJ67">TRANSPOSE(_xll.FDS(Y67,"String_array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67" s="47" t="e">
        <v>#N/A</v>
      </c>
      <c r="AH67" s="47" t="e">
        <v>#N/A</v>
      </c>
      <c r="AI67" s="47" t="e">
        <v>#N/A</v>
      </c>
      <c r="AJ67" s="48" t="e">
        <v>#N/A</v>
      </c>
      <c r="AK67" s="42" t="str">
        <f t="shared" ref="AK67:AK91" si="50">IFERROR(AA67, "")</f>
        <v>Finance Industry Software</v>
      </c>
      <c r="AL67" s="45" t="str">
        <f t="shared" ref="AL67:AL91" si="51">IFERROR(AB67, "")</f>
        <v/>
      </c>
      <c r="AM67" s="45" t="str">
        <f t="shared" ref="AM67:AM91" si="52">IFERROR(AC67, "")</f>
        <v/>
      </c>
      <c r="AN67" s="45" t="str">
        <f t="shared" ref="AN67:AN91" si="53">IFERROR(AD67, "")</f>
        <v/>
      </c>
      <c r="AO67" s="45" t="str">
        <f t="shared" ref="AO67:AO91" si="54">IFERROR(AE67, "")</f>
        <v/>
      </c>
      <c r="AP67" s="46">
        <f t="shared" ref="AP67:AP91" si="55">IFERROR(ROUND(VALUE(AF67), 0)/100, "")</f>
        <v>1</v>
      </c>
      <c r="AQ67" s="46" t="str">
        <f t="shared" ref="AQ67:AQ91" si="56">IFERROR(ROUND(VALUE(AG67), 0)/100, "")</f>
        <v/>
      </c>
      <c r="AR67" s="46" t="str">
        <f t="shared" ref="AR67:AR91" si="57">IFERROR(ROUND(VALUE(AH67), 0)/100, "")</f>
        <v/>
      </c>
      <c r="AS67" s="46" t="str">
        <f t="shared" ref="AS67:AS91" si="58">IFERROR(ROUND(VALUE(AI67), 0)/100, "")</f>
        <v/>
      </c>
      <c r="AT67" s="46" t="str">
        <f t="shared" ref="AT67:AT91" si="59">IFERROR(ROUND(VALUE(AJ67), 0)/100, "")</f>
        <v/>
      </c>
    </row>
    <row r="68" spans="1:46" ht="15" customHeight="1" x14ac:dyDescent="0.25">
      <c r="A68" s="18" t="str">
        <f>'2 — IC Universe Table'!B69</f>
        <v>SNOW-US</v>
      </c>
      <c r="B68" s="18" t="str">
        <f>'2 — IC Universe Table'!C69</f>
        <v>Snowflake, Inc.</v>
      </c>
      <c r="C68" s="45" t="str">
        <f t="array" ref="C68:G68">TRANSPOSE(_xll.FDS(A68,"TRANSPOSE(TRANSPOSE(FF_GEOREV_COUNTRY_REV_PCT_MATRIX)[1:1])[0:4]"))</f>
        <v>United States</v>
      </c>
      <c r="D68" s="45" t="str">
        <v>Germany</v>
      </c>
      <c r="E68" s="45" t="str">
        <v>Italy</v>
      </c>
      <c r="F68" s="45" t="str">
        <v>Russian Federation</v>
      </c>
      <c r="G68" s="45" t="str">
        <v>Mainland China</v>
      </c>
      <c r="H68" s="46" t="str">
        <f t="array" ref="H68:L68">TRANSPOSE(_xll.FDS(A68,"TRANSPOSE(TRANSPOSE(FF_GEOREV_COUNTRY_REV_PCT_MATRIX)[2:2])[0:4]"))</f>
        <v>76.154507</v>
      </c>
      <c r="I68" s="47" t="str">
        <v>1.121046</v>
      </c>
      <c r="J68" s="47" t="str">
        <v>1.053148</v>
      </c>
      <c r="K68" s="47" t="str">
        <v>0.930468</v>
      </c>
      <c r="L68" s="47" t="str">
        <v>0.91902</v>
      </c>
      <c r="M68" s="42" t="str">
        <f t="shared" si="40"/>
        <v>United States</v>
      </c>
      <c r="N68" s="45" t="str">
        <f t="shared" si="41"/>
        <v>Germany</v>
      </c>
      <c r="O68" s="45" t="str">
        <f t="shared" si="42"/>
        <v>Italy</v>
      </c>
      <c r="P68" s="45" t="str">
        <f t="shared" si="43"/>
        <v>Russian Federation</v>
      </c>
      <c r="Q68" s="45" t="str">
        <f t="shared" si="44"/>
        <v>Mainland China</v>
      </c>
      <c r="R68" s="46">
        <f t="shared" si="45"/>
        <v>0.76</v>
      </c>
      <c r="S68" s="46">
        <f t="shared" si="46"/>
        <v>0.01</v>
      </c>
      <c r="T68" s="46">
        <f t="shared" si="47"/>
        <v>0.01</v>
      </c>
      <c r="U68" s="46">
        <f t="shared" si="48"/>
        <v>0.01</v>
      </c>
      <c r="V68" s="46">
        <f t="shared" si="49"/>
        <v>0.01</v>
      </c>
      <c r="Y68" s="18" t="str">
        <f>'2 — IC Universe Table'!B69</f>
        <v>SNOW-US</v>
      </c>
      <c r="Z68" s="18" t="str">
        <f>'2 — IC Universe Table'!C69</f>
        <v>Snowflake, Inc.</v>
      </c>
      <c r="AA68" s="45" t="str">
        <f t="array" ref="AA68:AE68">TRANSPOSE(_xll.FDS(Y68,"String_array Name= TRANSPOSE(TRANSPOSE(SA_SUBARRAY(FR_RBICS_REV_MATRIX_CURRENT(""IND""),1,9))[13:13]);float_array pct=TRANSPOSE(TRANSPOSE(SA_SUBARRAY(FR_RBICS_REV_MATRIX_CURRENT(""IND""),1,9))[14:14]);SORT_INDIRECT(Name,pct,2)[0:4]"))</f>
        <v>Business Intelligence Software</v>
      </c>
      <c r="AB68" s="45" t="e">
        <v>#N/A</v>
      </c>
      <c r="AC68" s="45" t="e">
        <v>#N/A</v>
      </c>
      <c r="AD68" s="45" t="e">
        <v>#N/A</v>
      </c>
      <c r="AE68" s="45" t="e">
        <v>#N/A</v>
      </c>
      <c r="AF68" s="45" t="str">
        <f t="array" ref="AF68:AJ68">TRANSPOSE(_xll.FDS(Y68,"String_array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68" s="47" t="e">
        <v>#N/A</v>
      </c>
      <c r="AH68" s="47" t="e">
        <v>#N/A</v>
      </c>
      <c r="AI68" s="47" t="e">
        <v>#N/A</v>
      </c>
      <c r="AJ68" s="48" t="e">
        <v>#N/A</v>
      </c>
      <c r="AK68" s="42" t="str">
        <f t="shared" si="50"/>
        <v>Business Intelligence Software</v>
      </c>
      <c r="AL68" s="45" t="str">
        <f t="shared" si="51"/>
        <v/>
      </c>
      <c r="AM68" s="45" t="str">
        <f t="shared" si="52"/>
        <v/>
      </c>
      <c r="AN68" s="45" t="str">
        <f t="shared" si="53"/>
        <v/>
      </c>
      <c r="AO68" s="45" t="str">
        <f t="shared" si="54"/>
        <v/>
      </c>
      <c r="AP68" s="46">
        <f t="shared" si="55"/>
        <v>1</v>
      </c>
      <c r="AQ68" s="46" t="str">
        <f t="shared" si="56"/>
        <v/>
      </c>
      <c r="AR68" s="46" t="str">
        <f t="shared" si="57"/>
        <v/>
      </c>
      <c r="AS68" s="46" t="str">
        <f t="shared" si="58"/>
        <v/>
      </c>
      <c r="AT68" s="46" t="str">
        <f t="shared" si="59"/>
        <v/>
      </c>
    </row>
    <row r="69" spans="1:46" ht="15" customHeight="1" x14ac:dyDescent="0.25">
      <c r="A69" s="18" t="str">
        <f>'2 — IC Universe Table'!B70</f>
        <v>SNPS-US</v>
      </c>
      <c r="B69" s="18" t="str">
        <f>'2 — IC Universe Table'!C70</f>
        <v>Synopsys, Inc.</v>
      </c>
      <c r="C69" s="45" t="str">
        <f t="array" ref="C69:G69">TRANSPOSE(_xll.FDS(A69,"TRANSPOSE(TRANSPOSE(FF_GEOREV_COUNTRY_REV_PCT_MATRIX)[1:1])[0:4]"))</f>
        <v>United States</v>
      </c>
      <c r="D69" s="45" t="str">
        <v>Republic of Korea (South Korea)</v>
      </c>
      <c r="E69" s="45" t="str">
        <v>Mainland China</v>
      </c>
      <c r="F69" s="45" t="str">
        <v>India</v>
      </c>
      <c r="G69" s="45" t="str">
        <v>Japan</v>
      </c>
      <c r="H69" s="46" t="str">
        <f t="array" ref="H69:L69">TRANSPOSE(_xll.FDS(A69,"TRANSPOSE(TRANSPOSE(FF_GEOREV_COUNTRY_REV_PCT_MATRIX)[2:2])[0:4]"))</f>
        <v>43.946935</v>
      </c>
      <c r="I69" s="47" t="str">
        <v>13.424654</v>
      </c>
      <c r="J69" s="47" t="str">
        <v>11.264262</v>
      </c>
      <c r="K69" s="47" t="str">
        <v>2.276122</v>
      </c>
      <c r="L69" s="47" t="str">
        <v>2.275804</v>
      </c>
      <c r="M69" s="42" t="str">
        <f t="shared" si="40"/>
        <v>United States</v>
      </c>
      <c r="N69" s="45" t="str">
        <f t="shared" si="41"/>
        <v>Republic of Korea (South Korea)</v>
      </c>
      <c r="O69" s="45" t="str">
        <f t="shared" si="42"/>
        <v>Mainland China</v>
      </c>
      <c r="P69" s="45" t="str">
        <f t="shared" si="43"/>
        <v>India</v>
      </c>
      <c r="Q69" s="45" t="str">
        <f t="shared" si="44"/>
        <v>Japan</v>
      </c>
      <c r="R69" s="46">
        <f t="shared" si="45"/>
        <v>0.44</v>
      </c>
      <c r="S69" s="46">
        <f t="shared" si="46"/>
        <v>0.13</v>
      </c>
      <c r="T69" s="46">
        <f t="shared" si="47"/>
        <v>0.11</v>
      </c>
      <c r="U69" s="46">
        <f t="shared" si="48"/>
        <v>0.02</v>
      </c>
      <c r="V69" s="46">
        <f t="shared" si="49"/>
        <v>0.02</v>
      </c>
      <c r="Y69" s="18" t="str">
        <f>'2 — IC Universe Table'!B70</f>
        <v>SNPS-US</v>
      </c>
      <c r="Z69" s="18" t="str">
        <f>'2 — IC Universe Table'!C70</f>
        <v>Synopsys, Inc.</v>
      </c>
      <c r="AA69" s="45" t="str">
        <f t="array" ref="AA69:AE69">TRANSPOSE(_xll.FDS(Y69,"String_array Name= TRANSPOSE(TRANSPOSE(SA_SUBARRAY(FR_RBICS_REV_MATRIX_CURRENT(""IND""),1,9))[13:13]);float_array pct=TRANSPOSE(TRANSPOSE(SA_SUBARRAY(FR_RBICS_REV_MATRIX_CURRENT(""IND""),1,9))[14:14]);SORT_INDIRECT(Name,pct,2)[0:4]"))</f>
        <v>Electronic Design Automation Software</v>
      </c>
      <c r="AB69" s="45" t="str">
        <v>Multi-Industry-Specific IT Services</v>
      </c>
      <c r="AC69" s="45" t="e">
        <v>#N/A</v>
      </c>
      <c r="AD69" s="45" t="e">
        <v>#N/A</v>
      </c>
      <c r="AE69" s="45" t="e">
        <v>#N/A</v>
      </c>
      <c r="AF69" s="45" t="str">
        <f t="array" ref="AF69:AJ69">TRANSPOSE(_xll.FDS(Y69,"String_array Name= TRANSPOSE(TRANSPOSE(SA_SUBARRAY(FR_RBICS_REV_MATRIX_CURRENT(""IND""),1,9))[14:14]);float_array pct=TRANSPOSE(TRANSPOSE(SA_SUBARRAY(FR_RBICS_REV_MATRIX_CURRENT(""IND""),1,9))[14:14]);SORT_INDIRECT(Name,pct,2)[0:4]"))</f>
        <v>97.500000</v>
      </c>
      <c r="AG69" s="47" t="str">
        <v>2.500000</v>
      </c>
      <c r="AH69" s="47" t="e">
        <v>#N/A</v>
      </c>
      <c r="AI69" s="47" t="e">
        <v>#N/A</v>
      </c>
      <c r="AJ69" s="48" t="e">
        <v>#N/A</v>
      </c>
      <c r="AK69" s="42" t="str">
        <f t="shared" si="50"/>
        <v>Electronic Design Automation Software</v>
      </c>
      <c r="AL69" s="45" t="str">
        <f t="shared" si="51"/>
        <v>Multi-Industry-Specific IT Services</v>
      </c>
      <c r="AM69" s="45" t="str">
        <f t="shared" si="52"/>
        <v/>
      </c>
      <c r="AN69" s="45" t="str">
        <f t="shared" si="53"/>
        <v/>
      </c>
      <c r="AO69" s="45" t="str">
        <f t="shared" si="54"/>
        <v/>
      </c>
      <c r="AP69" s="46">
        <f t="shared" si="55"/>
        <v>0.98</v>
      </c>
      <c r="AQ69" s="46">
        <f t="shared" si="56"/>
        <v>0.03</v>
      </c>
      <c r="AR69" s="46" t="str">
        <f t="shared" si="57"/>
        <v/>
      </c>
      <c r="AS69" s="46" t="str">
        <f t="shared" si="58"/>
        <v/>
      </c>
      <c r="AT69" s="46" t="str">
        <f t="shared" si="59"/>
        <v/>
      </c>
    </row>
    <row r="70" spans="1:46" ht="15" customHeight="1" x14ac:dyDescent="0.25">
      <c r="A70" s="18" t="str">
        <f>'2 — IC Universe Table'!B71</f>
        <v>MDB-US</v>
      </c>
      <c r="B70" s="18" t="str">
        <f>'2 — IC Universe Table'!C71</f>
        <v>MongoDB, Inc.</v>
      </c>
      <c r="C70" s="45" t="str">
        <f t="array" ref="C70:G70">TRANSPOSE(_xll.FDS(A70,"TRANSPOSE(TRANSPOSE(FF_GEOREV_COUNTRY_REV_PCT_MATRIX)[1:1])[0:4]"))</f>
        <v>United States</v>
      </c>
      <c r="D70" s="45" t="str">
        <v>Mainland China</v>
      </c>
      <c r="E70" s="45" t="str">
        <v>Germany</v>
      </c>
      <c r="F70" s="45" t="str">
        <v>Japan</v>
      </c>
      <c r="G70" s="45" t="str">
        <v>Italy</v>
      </c>
      <c r="H70" s="46" t="str">
        <f t="array" ref="H70:L70">TRANSPOSE(_xll.FDS(A70,"TRANSPOSE(TRANSPOSE(FF_GEOREV_COUNTRY_REV_PCT_MATRIX)[2:2])[0:4]"))</f>
        <v>54</v>
      </c>
      <c r="I70" s="47" t="str">
        <v>2.122561</v>
      </c>
      <c r="J70" s="47" t="str">
        <v>1.949801</v>
      </c>
      <c r="K70" s="47" t="str">
        <v>1.892162</v>
      </c>
      <c r="L70" s="47" t="str">
        <v>1.831708</v>
      </c>
      <c r="M70" s="42" t="str">
        <f t="shared" si="40"/>
        <v>United States</v>
      </c>
      <c r="N70" s="45" t="str">
        <f t="shared" si="41"/>
        <v>Mainland China</v>
      </c>
      <c r="O70" s="45" t="str">
        <f t="shared" si="42"/>
        <v>Germany</v>
      </c>
      <c r="P70" s="45" t="str">
        <f t="shared" si="43"/>
        <v>Japan</v>
      </c>
      <c r="Q70" s="45" t="str">
        <f t="shared" si="44"/>
        <v>Italy</v>
      </c>
      <c r="R70" s="46">
        <f t="shared" si="45"/>
        <v>0.54</v>
      </c>
      <c r="S70" s="46">
        <f t="shared" si="46"/>
        <v>0.02</v>
      </c>
      <c r="T70" s="46">
        <f t="shared" si="47"/>
        <v>0.02</v>
      </c>
      <c r="U70" s="46">
        <f t="shared" si="48"/>
        <v>0.02</v>
      </c>
      <c r="V70" s="46">
        <f t="shared" si="49"/>
        <v>0.02</v>
      </c>
      <c r="Y70" s="18" t="str">
        <f>'2 — IC Universe Table'!B71</f>
        <v>MDB-US</v>
      </c>
      <c r="Z70" s="18" t="str">
        <f>'2 — IC Universe Table'!C71</f>
        <v>MongoDB, Inc.</v>
      </c>
      <c r="AA70" s="45" t="str">
        <f t="array" ref="AA70:AE70">TRANSPOSE(_xll.FDS(Y70,"String_array Name= TRANSPOSE(TRANSPOSE(SA_SUBARRAY(FR_RBICS_REV_MATRIX_CURRENT(""IND""),1,9))[13:13]);float_array pct=TRANSPOSE(TRANSPOSE(SA_SUBARRAY(FR_RBICS_REV_MATRIX_CURRENT(""IND""),1,9))[14:14]);SORT_INDIRECT(Name,pct,2)[0:4]"))</f>
        <v>Data Storage Infrastructure Software</v>
      </c>
      <c r="AB70" s="45" t="e">
        <v>#N/A</v>
      </c>
      <c r="AC70" s="45" t="e">
        <v>#N/A</v>
      </c>
      <c r="AD70" s="45" t="e">
        <v>#N/A</v>
      </c>
      <c r="AE70" s="45" t="e">
        <v>#N/A</v>
      </c>
      <c r="AF70" s="45" t="str">
        <f t="array" ref="AF70:AJ70">TRANSPOSE(_xll.FDS(Y70,"String_array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70" s="47" t="e">
        <v>#N/A</v>
      </c>
      <c r="AH70" s="47" t="e">
        <v>#N/A</v>
      </c>
      <c r="AI70" s="47" t="e">
        <v>#N/A</v>
      </c>
      <c r="AJ70" s="48" t="e">
        <v>#N/A</v>
      </c>
      <c r="AK70" s="42" t="str">
        <f t="shared" si="50"/>
        <v>Data Storage Infrastructure Software</v>
      </c>
      <c r="AL70" s="45" t="str">
        <f t="shared" si="51"/>
        <v/>
      </c>
      <c r="AM70" s="45" t="str">
        <f t="shared" si="52"/>
        <v/>
      </c>
      <c r="AN70" s="45" t="str">
        <f t="shared" si="53"/>
        <v/>
      </c>
      <c r="AO70" s="45" t="str">
        <f t="shared" si="54"/>
        <v/>
      </c>
      <c r="AP70" s="46">
        <f t="shared" si="55"/>
        <v>1</v>
      </c>
      <c r="AQ70" s="46" t="str">
        <f t="shared" si="56"/>
        <v/>
      </c>
      <c r="AR70" s="46" t="str">
        <f t="shared" si="57"/>
        <v/>
      </c>
      <c r="AS70" s="46" t="str">
        <f t="shared" si="58"/>
        <v/>
      </c>
      <c r="AT70" s="46" t="str">
        <f t="shared" si="59"/>
        <v/>
      </c>
    </row>
    <row r="71" spans="1:46" ht="15" customHeight="1" x14ac:dyDescent="0.25">
      <c r="A71" s="18" t="str">
        <f>'2 — IC Universe Table'!B72</f>
        <v>TTAN-US</v>
      </c>
      <c r="B71" s="18" t="str">
        <f>'2 — IC Universe Table'!C72</f>
        <v>ServiceTitan, Inc. Class A</v>
      </c>
      <c r="C71" s="45" t="str">
        <f t="array" ref="C71:G71">TRANSPOSE(_xll.FDS(A71,"TRANSPOSE(TRANSPOSE(FF_GEOREV_COUNTRY_REV_PCT_MATRIX)[1:1])[0:4]"))</f>
        <v>United States</v>
      </c>
      <c r="D71" s="45" t="e">
        <v>#N/A</v>
      </c>
      <c r="E71" s="45" t="e">
        <v>#N/A</v>
      </c>
      <c r="F71" s="45" t="e">
        <v>#N/A</v>
      </c>
      <c r="G71" s="45" t="e">
        <v>#N/A</v>
      </c>
      <c r="H71" s="46" t="str">
        <f t="array" ref="H71:L71">TRANSPOSE(_xll.FDS(A71,"TRANSPOSE(TRANSPOSE(FF_GEOREV_COUNTRY_REV_PCT_MATRIX)[2:2])[0:4]"))</f>
        <v>100</v>
      </c>
      <c r="I71" s="47" t="e">
        <v>#N/A</v>
      </c>
      <c r="J71" s="47" t="e">
        <v>#N/A</v>
      </c>
      <c r="K71" s="47" t="e">
        <v>#N/A</v>
      </c>
      <c r="L71" s="47" t="e">
        <v>#N/A</v>
      </c>
      <c r="M71" s="42" t="str">
        <f t="shared" si="40"/>
        <v>United States</v>
      </c>
      <c r="N71" s="45" t="str">
        <f t="shared" si="41"/>
        <v/>
      </c>
      <c r="O71" s="45" t="str">
        <f t="shared" si="42"/>
        <v/>
      </c>
      <c r="P71" s="45" t="str">
        <f t="shared" si="43"/>
        <v/>
      </c>
      <c r="Q71" s="45" t="str">
        <f t="shared" si="44"/>
        <v/>
      </c>
      <c r="R71" s="46">
        <f t="shared" si="45"/>
        <v>1</v>
      </c>
      <c r="S71" s="46" t="str">
        <f t="shared" si="46"/>
        <v/>
      </c>
      <c r="T71" s="46" t="str">
        <f t="shared" si="47"/>
        <v/>
      </c>
      <c r="U71" s="46" t="str">
        <f t="shared" si="48"/>
        <v/>
      </c>
      <c r="V71" s="46" t="str">
        <f t="shared" si="49"/>
        <v/>
      </c>
      <c r="Y71" s="18" t="str">
        <f>'2 — IC Universe Table'!B72</f>
        <v>TTAN-US</v>
      </c>
      <c r="Z71" s="18" t="str">
        <f>'2 — IC Universe Table'!C72</f>
        <v>ServiceTitan, Inc. Class A</v>
      </c>
      <c r="AA71" s="45" t="str">
        <f t="array" ref="AA71:AE71">TRANSPOSE(_xll.FDS(Y71,"String_array Name= TRANSPOSE(TRANSPOSE(SA_SUBARRAY(FR_RBICS_REV_MATRIX_CURRENT(""IND""),1,9))[13:13]);float_array pct=TRANSPOSE(TRANSPOSE(SA_SUBARRAY(FR_RBICS_REV_MATRIX_CURRENT(""IND""),1,9))[14:14]);SORT_INDIRECT(Name,pct,2)[0:4]"))</f>
        <v>General Enterprise Management Software</v>
      </c>
      <c r="AB71" s="45" t="str">
        <v>Business Process Outsourcing Services</v>
      </c>
      <c r="AC71" s="45" t="e">
        <v>#N/A</v>
      </c>
      <c r="AD71" s="45" t="e">
        <v>#N/A</v>
      </c>
      <c r="AE71" s="45" t="e">
        <v>#N/A</v>
      </c>
      <c r="AF71" s="45" t="str">
        <f t="array" ref="AF71:AJ71">TRANSPOSE(_xll.FDS(Y71,"String_array Name= TRANSPOSE(TRANSPOSE(SA_SUBARRAY(FR_RBICS_REV_MATRIX_CURRENT(""IND""),1,9))[14:14]);float_array pct=TRANSPOSE(TRANSPOSE(SA_SUBARRAY(FR_RBICS_REV_MATRIX_CURRENT(""IND""),1,9))[14:14]);SORT_INDIRECT(Name,pct,2)[0:4]"))</f>
        <v>95.803482</v>
      </c>
      <c r="AG71" s="47" t="str">
        <v>4.196518</v>
      </c>
      <c r="AH71" s="47" t="e">
        <v>#N/A</v>
      </c>
      <c r="AI71" s="47" t="e">
        <v>#N/A</v>
      </c>
      <c r="AJ71" s="48" t="e">
        <v>#N/A</v>
      </c>
      <c r="AK71" s="42" t="str">
        <f t="shared" si="50"/>
        <v>General Enterprise Management Software</v>
      </c>
      <c r="AL71" s="45" t="str">
        <f t="shared" si="51"/>
        <v>Business Process Outsourcing Services</v>
      </c>
      <c r="AM71" s="45" t="str">
        <f t="shared" si="52"/>
        <v/>
      </c>
      <c r="AN71" s="45" t="str">
        <f t="shared" si="53"/>
        <v/>
      </c>
      <c r="AO71" s="45" t="str">
        <f t="shared" si="54"/>
        <v/>
      </c>
      <c r="AP71" s="46">
        <f t="shared" si="55"/>
        <v>0.96</v>
      </c>
      <c r="AQ71" s="46">
        <f t="shared" si="56"/>
        <v>0.04</v>
      </c>
      <c r="AR71" s="46" t="str">
        <f t="shared" si="57"/>
        <v/>
      </c>
      <c r="AS71" s="46" t="str">
        <f t="shared" si="58"/>
        <v/>
      </c>
      <c r="AT71" s="46" t="str">
        <f t="shared" si="59"/>
        <v/>
      </c>
    </row>
    <row r="72" spans="1:46" ht="15" customHeight="1" x14ac:dyDescent="0.25">
      <c r="A72" s="18" t="str">
        <f>'2 — IC Universe Table'!B73</f>
        <v>NCNO-US</v>
      </c>
      <c r="B72" s="18" t="str">
        <f>'2 — IC Universe Table'!C73</f>
        <v>nCino Inc</v>
      </c>
      <c r="C72" s="45" t="str">
        <f t="array" ref="C72:G72">TRANSPOSE(_xll.FDS(A72,"TRANSPOSE(TRANSPOSE(FF_GEOREV_COUNTRY_REV_PCT_MATRIX)[1:1])[0:4]"))</f>
        <v>United States</v>
      </c>
      <c r="D72" s="45" t="str">
        <v>United Kingdom</v>
      </c>
      <c r="E72" s="45" t="str">
        <v>Mainland China</v>
      </c>
      <c r="F72" s="45" t="str">
        <v>Germany</v>
      </c>
      <c r="G72" s="45" t="str">
        <v>Japan</v>
      </c>
      <c r="H72" s="46" t="str">
        <f t="array" ref="H72:L72">TRANSPOSE(_xll.FDS(A72,"TRANSPOSE(TRANSPOSE(FF_GEOREV_COUNTRY_REV_PCT_MATRIX)[2:2])[0:4]"))</f>
        <v>84.859484</v>
      </c>
      <c r="I72" s="47" t="str">
        <v>6.988477</v>
      </c>
      <c r="J72" s="47" t="str">
        <v>1.950421</v>
      </c>
      <c r="K72" s="47" t="str">
        <v>0.483179</v>
      </c>
      <c r="L72" s="47" t="str">
        <v>0.432594</v>
      </c>
      <c r="M72" s="42" t="str">
        <f t="shared" si="40"/>
        <v>United States</v>
      </c>
      <c r="N72" s="45" t="str">
        <f t="shared" si="41"/>
        <v>United Kingdom</v>
      </c>
      <c r="O72" s="45" t="str">
        <f t="shared" si="42"/>
        <v>Mainland China</v>
      </c>
      <c r="P72" s="45" t="str">
        <f t="shared" si="43"/>
        <v>Germany</v>
      </c>
      <c r="Q72" s="45" t="str">
        <f t="shared" si="44"/>
        <v>Japan</v>
      </c>
      <c r="R72" s="46">
        <f t="shared" si="45"/>
        <v>0.85</v>
      </c>
      <c r="S72" s="46">
        <f t="shared" si="46"/>
        <v>7.0000000000000007E-2</v>
      </c>
      <c r="T72" s="46">
        <f t="shared" si="47"/>
        <v>0.02</v>
      </c>
      <c r="U72" s="46">
        <f t="shared" si="48"/>
        <v>0</v>
      </c>
      <c r="V72" s="46">
        <f t="shared" si="49"/>
        <v>0</v>
      </c>
      <c r="Y72" s="18" t="str">
        <f>'2 — IC Universe Table'!B73</f>
        <v>NCNO-US</v>
      </c>
      <c r="Z72" s="18" t="str">
        <f>'2 — IC Universe Table'!C73</f>
        <v>nCino Inc</v>
      </c>
      <c r="AA72" s="45" t="str">
        <f t="array" ref="AA72:AE72">TRANSPOSE(_xll.FDS(Y72,"String_array Name= TRANSPOSE(TRANSPOSE(SA_SUBARRAY(FR_RBICS_REV_MATRIX_CURRENT(""IND""),1,9))[13:13]);float_array pct=TRANSPOSE(TRANSPOSE(SA_SUBARRAY(FR_RBICS_REV_MATRIX_CURRENT(""IND""),1,9))[14:14]);SORT_INDIRECT(Name,pct,2)[0:4]"))</f>
        <v>Finance Industry Software</v>
      </c>
      <c r="AB72" s="45" t="e">
        <v>#N/A</v>
      </c>
      <c r="AC72" s="45" t="e">
        <v>#N/A</v>
      </c>
      <c r="AD72" s="45" t="e">
        <v>#N/A</v>
      </c>
      <c r="AE72" s="45" t="e">
        <v>#N/A</v>
      </c>
      <c r="AF72" s="45" t="str">
        <f t="array" ref="AF72:AJ72">TRANSPOSE(_xll.FDS(Y72,"String_array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72" s="47" t="e">
        <v>#N/A</v>
      </c>
      <c r="AH72" s="47" t="e">
        <v>#N/A</v>
      </c>
      <c r="AI72" s="47" t="e">
        <v>#N/A</v>
      </c>
      <c r="AJ72" s="48" t="e">
        <v>#N/A</v>
      </c>
      <c r="AK72" s="42" t="str">
        <f t="shared" si="50"/>
        <v>Finance Industry Software</v>
      </c>
      <c r="AL72" s="45" t="str">
        <f t="shared" si="51"/>
        <v/>
      </c>
      <c r="AM72" s="45" t="str">
        <f t="shared" si="52"/>
        <v/>
      </c>
      <c r="AN72" s="45" t="str">
        <f t="shared" si="53"/>
        <v/>
      </c>
      <c r="AO72" s="45" t="str">
        <f t="shared" si="54"/>
        <v/>
      </c>
      <c r="AP72" s="46">
        <f t="shared" si="55"/>
        <v>1</v>
      </c>
      <c r="AQ72" s="46" t="str">
        <f t="shared" si="56"/>
        <v/>
      </c>
      <c r="AR72" s="46" t="str">
        <f t="shared" si="57"/>
        <v/>
      </c>
      <c r="AS72" s="46" t="str">
        <f t="shared" si="58"/>
        <v/>
      </c>
      <c r="AT72" s="46" t="str">
        <f t="shared" si="59"/>
        <v/>
      </c>
    </row>
    <row r="73" spans="1:46" ht="15" customHeight="1" x14ac:dyDescent="0.25">
      <c r="A73" s="18" t="str">
        <f>'2 — IC Universe Table'!B74</f>
        <v>RMBS-US</v>
      </c>
      <c r="B73" s="18" t="str">
        <f>'2 — IC Universe Table'!C74</f>
        <v>Rambus Inc.</v>
      </c>
      <c r="C73" s="45" t="str">
        <f t="array" ref="C73:G73">TRANSPOSE(_xll.FDS(A73,"TRANSPOSE(TRANSPOSE(FF_GEOREV_COUNTRY_REV_PCT_MATRIX)[1:1])[0:4]"))</f>
        <v>Republic of Korea (South Korea)</v>
      </c>
      <c r="D73" s="45" t="str">
        <v>Singapore</v>
      </c>
      <c r="E73" s="45" t="str">
        <v>United States</v>
      </c>
      <c r="F73" s="45" t="str">
        <v>Mainland China</v>
      </c>
      <c r="G73" s="45" t="str">
        <v>Germany</v>
      </c>
      <c r="H73" s="46" t="str">
        <f t="array" ref="H73:L73">TRANSPOSE(_xll.FDS(A73,"TRANSPOSE(TRANSPOSE(FF_GEOREV_COUNTRY_REV_PCT_MATRIX)[2:2])[0:4]"))</f>
        <v>46.529401</v>
      </c>
      <c r="I73" s="47" t="str">
        <v>23.150658</v>
      </c>
      <c r="J73" s="47" t="str">
        <v>17.537555</v>
      </c>
      <c r="K73" s="47" t="str">
        <v>3.029478</v>
      </c>
      <c r="L73" s="47" t="str">
        <v>0.747426</v>
      </c>
      <c r="M73" s="42" t="str">
        <f t="shared" si="40"/>
        <v>Republic of Korea (South Korea)</v>
      </c>
      <c r="N73" s="45" t="str">
        <f t="shared" si="41"/>
        <v>Singapore</v>
      </c>
      <c r="O73" s="45" t="str">
        <f t="shared" si="42"/>
        <v>United States</v>
      </c>
      <c r="P73" s="45" t="str">
        <f t="shared" si="43"/>
        <v>Mainland China</v>
      </c>
      <c r="Q73" s="45" t="str">
        <f t="shared" si="44"/>
        <v>Germany</v>
      </c>
      <c r="R73" s="46">
        <f t="shared" si="45"/>
        <v>0.47</v>
      </c>
      <c r="S73" s="46">
        <f t="shared" si="46"/>
        <v>0.23</v>
      </c>
      <c r="T73" s="46">
        <f t="shared" si="47"/>
        <v>0.18</v>
      </c>
      <c r="U73" s="46">
        <f t="shared" si="48"/>
        <v>0.03</v>
      </c>
      <c r="V73" s="46">
        <f t="shared" si="49"/>
        <v>0.01</v>
      </c>
      <c r="Y73" s="18" t="str">
        <f>'2 — IC Universe Table'!B74</f>
        <v>RMBS-US</v>
      </c>
      <c r="Z73" s="18" t="str">
        <f>'2 — IC Universe Table'!C74</f>
        <v>Rambus Inc.</v>
      </c>
      <c r="AA73" s="45" t="str">
        <f t="array" ref="AA73:AE73">TRANSPOSE(_xll.FDS(Y73,"String_array Name= TRANSPOSE(TRANSPOSE(SA_SUBARRAY(FR_RBICS_REV_MATRIX_CURRENT(""IND""),1,9))[13:13]);float_array pct=TRANSPOSE(TRANSPOSE(SA_SUBARRAY(FR_RBICS_REV_MATRIX_CURRENT(""IND""),1,9))[14:14]);SORT_INDIRECT(Name,pct,2)[0:4]"))</f>
        <v>Electronic Design Automation Software</v>
      </c>
      <c r="AB73" s="45" t="str">
        <v>Other Memory Semiconductors</v>
      </c>
      <c r="AC73" s="45" t="e">
        <v>#N/A</v>
      </c>
      <c r="AD73" s="45" t="e">
        <v>#N/A</v>
      </c>
      <c r="AE73" s="45" t="e">
        <v>#N/A</v>
      </c>
      <c r="AF73" s="45" t="str">
        <f t="array" ref="AF73:AJ73">TRANSPOSE(_xll.FDS(Y73,"String_array Name= TRANSPOSE(TRANSPOSE(SA_SUBARRAY(FR_RBICS_REV_MATRIX_CURRENT(""IND""),1,9))[14:14]);float_array pct=TRANSPOSE(TRANSPOSE(SA_SUBARRAY(FR_RBICS_REV_MATRIX_CURRENT(""IND""),1,9))[14:14]);SORT_INDIRECT(Name,pct,2)[0:4]"))</f>
        <v>59.360402</v>
      </c>
      <c r="AG73" s="47" t="str">
        <v>40.639598</v>
      </c>
      <c r="AH73" s="47" t="e">
        <v>#N/A</v>
      </c>
      <c r="AI73" s="47" t="e">
        <v>#N/A</v>
      </c>
      <c r="AJ73" s="48" t="e">
        <v>#N/A</v>
      </c>
      <c r="AK73" s="42" t="str">
        <f t="shared" si="50"/>
        <v>Electronic Design Automation Software</v>
      </c>
      <c r="AL73" s="45" t="str">
        <f t="shared" si="51"/>
        <v>Other Memory Semiconductors</v>
      </c>
      <c r="AM73" s="45" t="str">
        <f t="shared" si="52"/>
        <v/>
      </c>
      <c r="AN73" s="45" t="str">
        <f t="shared" si="53"/>
        <v/>
      </c>
      <c r="AO73" s="45" t="str">
        <f t="shared" si="54"/>
        <v/>
      </c>
      <c r="AP73" s="46">
        <f t="shared" si="55"/>
        <v>0.59</v>
      </c>
      <c r="AQ73" s="46">
        <f t="shared" si="56"/>
        <v>0.41</v>
      </c>
      <c r="AR73" s="46" t="str">
        <f t="shared" si="57"/>
        <v/>
      </c>
      <c r="AS73" s="46" t="str">
        <f t="shared" si="58"/>
        <v/>
      </c>
      <c r="AT73" s="46" t="str">
        <f t="shared" si="59"/>
        <v/>
      </c>
    </row>
    <row r="74" spans="1:46" ht="15" customHeight="1" x14ac:dyDescent="0.25">
      <c r="A74" s="18" t="str">
        <f>'2 — IC Universe Table'!B75</f>
        <v>TRMB-US</v>
      </c>
      <c r="B74" s="18" t="str">
        <f>'2 — IC Universe Table'!C75</f>
        <v>Trimble Inc.</v>
      </c>
      <c r="C74" s="45" t="str">
        <f t="array" ref="C74:G74">TRANSPOSE(_xll.FDS(A74,"TRANSPOSE(TRANSPOSE(FF_GEOREV_COUNTRY_REV_PCT_MATRIX)[1:1])[0:4]"))</f>
        <v>United States</v>
      </c>
      <c r="D74" s="45" t="str">
        <v>Canada</v>
      </c>
      <c r="E74" s="45" t="str">
        <v>Mainland China</v>
      </c>
      <c r="F74" s="45" t="str">
        <v>Germany</v>
      </c>
      <c r="G74" s="45" t="str">
        <v>Italy</v>
      </c>
      <c r="H74" s="46" t="str">
        <f t="array" ref="H74:L74">TRANSPOSE(_xll.FDS(A74,"TRANSPOSE(TRANSPOSE(FF_GEOREV_COUNTRY_REV_PCT_MATRIX)[2:2])[0:4]"))</f>
        <v>51.888253</v>
      </c>
      <c r="I74" s="47" t="str">
        <v>4.547552</v>
      </c>
      <c r="J74" s="47" t="str">
        <v>4.058504</v>
      </c>
      <c r="K74" s="47" t="str">
        <v>3.715401</v>
      </c>
      <c r="L74" s="47" t="str">
        <v>2.648218</v>
      </c>
      <c r="M74" s="42" t="str">
        <f t="shared" si="40"/>
        <v>United States</v>
      </c>
      <c r="N74" s="45" t="str">
        <f t="shared" si="41"/>
        <v>Canada</v>
      </c>
      <c r="O74" s="45" t="str">
        <f t="shared" si="42"/>
        <v>Mainland China</v>
      </c>
      <c r="P74" s="45" t="str">
        <f t="shared" si="43"/>
        <v>Germany</v>
      </c>
      <c r="Q74" s="45" t="str">
        <f t="shared" si="44"/>
        <v>Italy</v>
      </c>
      <c r="R74" s="46">
        <f t="shared" si="45"/>
        <v>0.52</v>
      </c>
      <c r="S74" s="46">
        <f t="shared" si="46"/>
        <v>0.05</v>
      </c>
      <c r="T74" s="46">
        <f t="shared" si="47"/>
        <v>0.04</v>
      </c>
      <c r="U74" s="46">
        <f t="shared" si="48"/>
        <v>0.04</v>
      </c>
      <c r="V74" s="46">
        <f t="shared" si="49"/>
        <v>0.03</v>
      </c>
      <c r="Y74" s="18" t="str">
        <f>'2 — IC Universe Table'!B75</f>
        <v>TRMB-US</v>
      </c>
      <c r="Z74" s="18" t="str">
        <f>'2 — IC Universe Table'!C75</f>
        <v>Trimble Inc.</v>
      </c>
      <c r="AA74" s="45" t="str">
        <f t="array" ref="AA74:AE74">TRANSPOSE(_xll.FDS(Y74,"String_array Name= TRANSPOSE(TRANSPOSE(SA_SUBARRAY(FR_RBICS_REV_MATRIX_CURRENT(""IND""),1,9))[13:13]);float_array pct=TRANSPOSE(TRANSPOSE(SA_SUBARRAY(FR_RBICS_REV_MATRIX_CURRENT(""IND""),1,9))[14:14]);SORT_INDIRECT(Name,pct,2)[0:4]"))</f>
        <v>Global Positioning Systems (GPS) Manufacturing</v>
      </c>
      <c r="AB74" s="45" t="str">
        <v>Other Real Estate Investment and Services</v>
      </c>
      <c r="AC74" s="45" t="str">
        <v>General Transportation and Related Services</v>
      </c>
      <c r="AD74" s="45" t="e">
        <v>#N/A</v>
      </c>
      <c r="AE74" s="45" t="e">
        <v>#N/A</v>
      </c>
      <c r="AF74" s="45" t="str">
        <f t="array" ref="AF74:AJ74">TRANSPOSE(_xll.FDS(Y74,"String_array Name= TRANSPOSE(TRANSPOSE(SA_SUBARRAY(FR_RBICS_REV_MATRIX_CURRENT(""IND""),1,9))[14:14]);float_array pct=TRANSPOSE(TRANSPOSE(SA_SUBARRAY(FR_RBICS_REV_MATRIX_CURRENT(""IND""),1,9))[14:14]);SORT_INDIRECT(Name,pct,2)[0:4]"))</f>
        <v>41.699020</v>
      </c>
      <c r="AG74" s="47" t="str">
        <v>36.885402</v>
      </c>
      <c r="AH74" s="47" t="str">
        <v>21.415578</v>
      </c>
      <c r="AI74" s="47" t="e">
        <v>#N/A</v>
      </c>
      <c r="AJ74" s="48" t="e">
        <v>#N/A</v>
      </c>
      <c r="AK74" s="42" t="str">
        <f t="shared" si="50"/>
        <v>Global Positioning Systems (GPS) Manufacturing</v>
      </c>
      <c r="AL74" s="45" t="str">
        <f t="shared" si="51"/>
        <v>Other Real Estate Investment and Services</v>
      </c>
      <c r="AM74" s="45" t="str">
        <f t="shared" si="52"/>
        <v>General Transportation and Related Services</v>
      </c>
      <c r="AN74" s="45" t="str">
        <f t="shared" si="53"/>
        <v/>
      </c>
      <c r="AO74" s="45" t="str">
        <f t="shared" si="54"/>
        <v/>
      </c>
      <c r="AP74" s="46">
        <f t="shared" si="55"/>
        <v>0.42</v>
      </c>
      <c r="AQ74" s="46">
        <f t="shared" si="56"/>
        <v>0.37</v>
      </c>
      <c r="AR74" s="46">
        <f t="shared" si="57"/>
        <v>0.21</v>
      </c>
      <c r="AS74" s="46" t="str">
        <f t="shared" si="58"/>
        <v/>
      </c>
      <c r="AT74" s="46" t="str">
        <f t="shared" si="59"/>
        <v/>
      </c>
    </row>
    <row r="75" spans="1:46" ht="15" customHeight="1" x14ac:dyDescent="0.25">
      <c r="A75" s="18" t="str">
        <f>'2 — IC Universe Table'!B76</f>
        <v>CFLT-US</v>
      </c>
      <c r="B75" s="18" t="str">
        <f>'2 — IC Universe Table'!C76</f>
        <v>Confluent, Inc.</v>
      </c>
      <c r="C75" s="45" t="str">
        <f t="array" ref="C75:G75">TRANSPOSE(_xll.FDS(A75,"TRANSPOSE(TRANSPOSE(FF_GEOREV_COUNTRY_REV_PCT_MATRIX)[1:1])[0:4]"))</f>
        <v>United States</v>
      </c>
      <c r="D75" s="45" t="str">
        <v>Mainland China</v>
      </c>
      <c r="E75" s="45" t="str">
        <v>Germany</v>
      </c>
      <c r="F75" s="45" t="str">
        <v>India</v>
      </c>
      <c r="G75" s="45" t="str">
        <v>Japan</v>
      </c>
      <c r="H75" s="46" t="str">
        <f t="array" ref="H75:L75">TRANSPOSE(_xll.FDS(A75,"TRANSPOSE(TRANSPOSE(FF_GEOREV_COUNTRY_REV_PCT_MATRIX)[2:2])[0:4]"))</f>
        <v>57.023025</v>
      </c>
      <c r="I75" s="47" t="str">
        <v>9.898434</v>
      </c>
      <c r="J75" s="47" t="str">
        <v>2.44212</v>
      </c>
      <c r="K75" s="47" t="str">
        <v>2.155031</v>
      </c>
      <c r="L75" s="47" t="str">
        <v>2.154729</v>
      </c>
      <c r="M75" s="42" t="str">
        <f t="shared" si="40"/>
        <v>United States</v>
      </c>
      <c r="N75" s="45" t="str">
        <f t="shared" si="41"/>
        <v>Mainland China</v>
      </c>
      <c r="O75" s="45" t="str">
        <f t="shared" si="42"/>
        <v>Germany</v>
      </c>
      <c r="P75" s="45" t="str">
        <f t="shared" si="43"/>
        <v>India</v>
      </c>
      <c r="Q75" s="45" t="str">
        <f t="shared" si="44"/>
        <v>Japan</v>
      </c>
      <c r="R75" s="46">
        <f t="shared" si="45"/>
        <v>0.56999999999999995</v>
      </c>
      <c r="S75" s="46">
        <f t="shared" si="46"/>
        <v>0.1</v>
      </c>
      <c r="T75" s="46">
        <f t="shared" si="47"/>
        <v>0.02</v>
      </c>
      <c r="U75" s="46">
        <f t="shared" si="48"/>
        <v>0.02</v>
      </c>
      <c r="V75" s="46">
        <f t="shared" si="49"/>
        <v>0.02</v>
      </c>
      <c r="Y75" s="18" t="str">
        <f>'2 — IC Universe Table'!B76</f>
        <v>CFLT-US</v>
      </c>
      <c r="Z75" s="18" t="str">
        <f>'2 — IC Universe Table'!C76</f>
        <v>Confluent, Inc.</v>
      </c>
      <c r="AA75" s="45" t="str">
        <f t="array" ref="AA75:AE75">TRANSPOSE(_xll.FDS(Y75,"String_array Name= TRANSPOSE(TRANSPOSE(SA_SUBARRAY(FR_RBICS_REV_MATRIX_CURRENT(""IND""),1,9))[13:13]);float_array pct=TRANSPOSE(TRANSPOSE(SA_SUBARRAY(FR_RBICS_REV_MATRIX_CURRENT(""IND""),1,9))[14:14]);SORT_INDIRECT(Name,pct,2)[0:4]"))</f>
        <v>Data Storage Infrastructure Software</v>
      </c>
      <c r="AB75" s="45" t="e">
        <v>#N/A</v>
      </c>
      <c r="AC75" s="45" t="e">
        <v>#N/A</v>
      </c>
      <c r="AD75" s="45" t="e">
        <v>#N/A</v>
      </c>
      <c r="AE75" s="45" t="e">
        <v>#N/A</v>
      </c>
      <c r="AF75" s="45" t="str">
        <f t="array" ref="AF75:AJ75">TRANSPOSE(_xll.FDS(Y75,"String_array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75" s="47" t="e">
        <v>#N/A</v>
      </c>
      <c r="AH75" s="47" t="e">
        <v>#N/A</v>
      </c>
      <c r="AI75" s="47" t="e">
        <v>#N/A</v>
      </c>
      <c r="AJ75" s="48" t="e">
        <v>#N/A</v>
      </c>
      <c r="AK75" s="42" t="str">
        <f t="shared" si="50"/>
        <v>Data Storage Infrastructure Software</v>
      </c>
      <c r="AL75" s="45" t="str">
        <f t="shared" si="51"/>
        <v/>
      </c>
      <c r="AM75" s="45" t="str">
        <f t="shared" si="52"/>
        <v/>
      </c>
      <c r="AN75" s="45" t="str">
        <f t="shared" si="53"/>
        <v/>
      </c>
      <c r="AO75" s="45" t="str">
        <f t="shared" si="54"/>
        <v/>
      </c>
      <c r="AP75" s="46">
        <f t="shared" si="55"/>
        <v>1</v>
      </c>
      <c r="AQ75" s="46" t="str">
        <f t="shared" si="56"/>
        <v/>
      </c>
      <c r="AR75" s="46" t="str">
        <f t="shared" si="57"/>
        <v/>
      </c>
      <c r="AS75" s="46" t="str">
        <f t="shared" si="58"/>
        <v/>
      </c>
      <c r="AT75" s="46" t="str">
        <f t="shared" si="59"/>
        <v/>
      </c>
    </row>
    <row r="76" spans="1:46" ht="15" customHeight="1" x14ac:dyDescent="0.25">
      <c r="A76" s="18" t="str">
        <f>'2 — IC Universe Table'!B77</f>
        <v>SSNC-US</v>
      </c>
      <c r="B76" s="18" t="str">
        <f>'2 — IC Universe Table'!C77</f>
        <v>SS&amp;C Technologies Holdings, Inc.</v>
      </c>
      <c r="C76" s="45" t="str">
        <f t="array" ref="C76:G76">TRANSPOSE(_xll.FDS(A76,"TRANSPOSE(TRANSPOSE(FF_GEOREV_COUNTRY_REV_PCT_MATRIX)[1:1])[0:4]"))</f>
        <v>United States</v>
      </c>
      <c r="D76" s="45" t="str">
        <v>United Kingdom</v>
      </c>
      <c r="E76" s="45" t="str">
        <v>Canada</v>
      </c>
      <c r="F76" s="45" t="str">
        <v>Germany</v>
      </c>
      <c r="G76" s="45" t="str">
        <v>Mainland China</v>
      </c>
      <c r="H76" s="46" t="str">
        <f t="array" ref="H76:L76">TRANSPOSE(_xll.FDS(A76,"TRANSPOSE(TRANSPOSE(FF_GEOREV_COUNTRY_REV_PCT_MATRIX)[2:2])[0:4]"))</f>
        <v>69.153349</v>
      </c>
      <c r="I76" s="47" t="str">
        <v>11.448487</v>
      </c>
      <c r="J76" s="47" t="str">
        <v>3.792928</v>
      </c>
      <c r="K76" s="47" t="str">
        <v>1.220555</v>
      </c>
      <c r="L76" s="47" t="str">
        <v>0.921426</v>
      </c>
      <c r="M76" s="42" t="str">
        <f t="shared" si="40"/>
        <v>United States</v>
      </c>
      <c r="N76" s="45" t="str">
        <f t="shared" si="41"/>
        <v>United Kingdom</v>
      </c>
      <c r="O76" s="45" t="str">
        <f t="shared" si="42"/>
        <v>Canada</v>
      </c>
      <c r="P76" s="45" t="str">
        <f t="shared" si="43"/>
        <v>Germany</v>
      </c>
      <c r="Q76" s="45" t="str">
        <f t="shared" si="44"/>
        <v>Mainland China</v>
      </c>
      <c r="R76" s="46">
        <f t="shared" si="45"/>
        <v>0.69</v>
      </c>
      <c r="S76" s="46">
        <f t="shared" si="46"/>
        <v>0.11</v>
      </c>
      <c r="T76" s="46">
        <f t="shared" si="47"/>
        <v>0.04</v>
      </c>
      <c r="U76" s="46">
        <f t="shared" si="48"/>
        <v>0.01</v>
      </c>
      <c r="V76" s="46">
        <f t="shared" si="49"/>
        <v>0.01</v>
      </c>
      <c r="Y76" s="18" t="str">
        <f>'2 — IC Universe Table'!B77</f>
        <v>SSNC-US</v>
      </c>
      <c r="Z76" s="18" t="str">
        <f>'2 — IC Universe Table'!C77</f>
        <v>SS&amp;C Technologies Holdings, Inc.</v>
      </c>
      <c r="AA76" s="45" t="str">
        <f t="array" ref="AA76:AE76">TRANSPOSE(_xll.FDS(Y76,"String_array Name= TRANSPOSE(TRANSPOSE(SA_SUBARRAY(FR_RBICS_REV_MATRIX_CURRENT(""IND""),1,9))[13:13]);float_array pct=TRANSPOSE(TRANSPOSE(SA_SUBARRAY(FR_RBICS_REV_MATRIX_CURRENT(""IND""),1,9))[14:14]);SORT_INDIRECT(Name,pct,2)[0:4]"))</f>
        <v>Finance Industry Software</v>
      </c>
      <c r="AB76" s="45" t="e">
        <v>#N/A</v>
      </c>
      <c r="AC76" s="45" t="e">
        <v>#N/A</v>
      </c>
      <c r="AD76" s="45" t="e">
        <v>#N/A</v>
      </c>
      <c r="AE76" s="45" t="e">
        <v>#N/A</v>
      </c>
      <c r="AF76" s="45" t="str">
        <f t="array" ref="AF76:AJ76">TRANSPOSE(_xll.FDS(Y76,"String_array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76" s="47" t="e">
        <v>#N/A</v>
      </c>
      <c r="AH76" s="47" t="e">
        <v>#N/A</v>
      </c>
      <c r="AI76" s="47" t="e">
        <v>#N/A</v>
      </c>
      <c r="AJ76" s="48" t="e">
        <v>#N/A</v>
      </c>
      <c r="AK76" s="42" t="str">
        <f t="shared" si="50"/>
        <v>Finance Industry Software</v>
      </c>
      <c r="AL76" s="45" t="str">
        <f t="shared" si="51"/>
        <v/>
      </c>
      <c r="AM76" s="45" t="str">
        <f t="shared" si="52"/>
        <v/>
      </c>
      <c r="AN76" s="45" t="str">
        <f t="shared" si="53"/>
        <v/>
      </c>
      <c r="AO76" s="45" t="str">
        <f t="shared" si="54"/>
        <v/>
      </c>
      <c r="AP76" s="46">
        <f t="shared" si="55"/>
        <v>1</v>
      </c>
      <c r="AQ76" s="46" t="str">
        <f t="shared" si="56"/>
        <v/>
      </c>
      <c r="AR76" s="46" t="str">
        <f t="shared" si="57"/>
        <v/>
      </c>
      <c r="AS76" s="46" t="str">
        <f t="shared" si="58"/>
        <v/>
      </c>
      <c r="AT76" s="46" t="str">
        <f t="shared" si="59"/>
        <v/>
      </c>
    </row>
    <row r="77" spans="1:46" ht="15" customHeight="1" x14ac:dyDescent="0.25">
      <c r="A77" s="18" t="str">
        <f>'2 — IC Universe Table'!B78</f>
        <v>ACIW-US</v>
      </c>
      <c r="B77" s="18" t="str">
        <f>'2 — IC Universe Table'!C78</f>
        <v>ACI Worldwide, Inc.</v>
      </c>
      <c r="C77" s="45" t="str">
        <f t="array" ref="C77:G77">TRANSPOSE(_xll.FDS(A77,"TRANSPOSE(TRANSPOSE(FF_GEOREV_COUNTRY_REV_PCT_MATRIX)[1:1])[0:4]"))</f>
        <v>United States</v>
      </c>
      <c r="D77" s="45" t="str">
        <v>Mainland China</v>
      </c>
      <c r="E77" s="45" t="str">
        <v>Germany</v>
      </c>
      <c r="F77" s="45" t="str">
        <v>Japan</v>
      </c>
      <c r="G77" s="45" t="str">
        <v>India</v>
      </c>
      <c r="H77" s="46" t="str">
        <f t="array" ref="H77:L77">TRANSPOSE(_xll.FDS(A77,"TRANSPOSE(TRANSPOSE(FF_GEOREV_COUNTRY_REV_PCT_MATRIX)[2:2])[0:4]"))</f>
        <v>58.399173</v>
      </c>
      <c r="I77" s="47" t="str">
        <v>9.523495</v>
      </c>
      <c r="J77" s="47" t="str">
        <v>2.359261</v>
      </c>
      <c r="K77" s="47" t="str">
        <v>2.112266</v>
      </c>
      <c r="L77" s="47" t="str">
        <v>2.023139</v>
      </c>
      <c r="M77" s="42" t="str">
        <f t="shared" si="40"/>
        <v>United States</v>
      </c>
      <c r="N77" s="45" t="str">
        <f t="shared" si="41"/>
        <v>Mainland China</v>
      </c>
      <c r="O77" s="45" t="str">
        <f t="shared" si="42"/>
        <v>Germany</v>
      </c>
      <c r="P77" s="45" t="str">
        <f t="shared" si="43"/>
        <v>Japan</v>
      </c>
      <c r="Q77" s="45" t="str">
        <f t="shared" si="44"/>
        <v>India</v>
      </c>
      <c r="R77" s="46">
        <f t="shared" si="45"/>
        <v>0.57999999999999996</v>
      </c>
      <c r="S77" s="46">
        <f t="shared" si="46"/>
        <v>0.1</v>
      </c>
      <c r="T77" s="46">
        <f t="shared" si="47"/>
        <v>0.02</v>
      </c>
      <c r="U77" s="46">
        <f t="shared" si="48"/>
        <v>0.02</v>
      </c>
      <c r="V77" s="46">
        <f t="shared" si="49"/>
        <v>0.02</v>
      </c>
      <c r="Y77" s="18" t="str">
        <f>'2 — IC Universe Table'!B78</f>
        <v>ACIW-US</v>
      </c>
      <c r="Z77" s="18" t="str">
        <f>'2 — IC Universe Table'!C78</f>
        <v>ACI Worldwide, Inc.</v>
      </c>
      <c r="AA77" s="45" t="str">
        <f t="array" ref="AA77:AE77">TRANSPOSE(_xll.FDS(Y77,"String_array Name= TRANSPOSE(TRANSPOSE(SA_SUBARRAY(FR_RBICS_REV_MATRIX_CURRENT(""IND""),1,9))[13:13]);float_array pct=TRANSPOSE(TRANSPOSE(SA_SUBARRAY(FR_RBICS_REV_MATRIX_CURRENT(""IND""),1,9))[14:14]);SORT_INDIRECT(Name,pct,2)[0:4]"))</f>
        <v>Enterprise Resource Planning Software</v>
      </c>
      <c r="AB77" s="45" t="str">
        <v>Finance Industry Software</v>
      </c>
      <c r="AC77" s="45" t="str">
        <v>Other Enterprise Management Software</v>
      </c>
      <c r="AD77" s="45" t="e">
        <v>#N/A</v>
      </c>
      <c r="AE77" s="45" t="e">
        <v>#N/A</v>
      </c>
      <c r="AF77" s="45" t="str">
        <f t="array" ref="AF77:AJ77">TRANSPOSE(_xll.FDS(Y77,"String_array Name= TRANSPOSE(TRANSPOSE(SA_SUBARRAY(FR_RBICS_REV_MATRIX_CURRENT(""IND""),1,9))[14:14]);float_array pct=TRANSPOSE(TRANSPOSE(SA_SUBARRAY(FR_RBICS_REV_MATRIX_CURRENT(""IND""),1,9))[14:14]);SORT_INDIRECT(Name,pct,2)[0:4]"))</f>
        <v>55.976587</v>
      </c>
      <c r="AG77" s="47" t="str">
        <v>40.735927</v>
      </c>
      <c r="AH77" s="47" t="str">
        <v>3.287486</v>
      </c>
      <c r="AI77" s="47" t="e">
        <v>#N/A</v>
      </c>
      <c r="AJ77" s="48" t="e">
        <v>#N/A</v>
      </c>
      <c r="AK77" s="42" t="str">
        <f t="shared" si="50"/>
        <v>Enterprise Resource Planning Software</v>
      </c>
      <c r="AL77" s="45" t="str">
        <f t="shared" si="51"/>
        <v>Finance Industry Software</v>
      </c>
      <c r="AM77" s="45" t="str">
        <f t="shared" si="52"/>
        <v>Other Enterprise Management Software</v>
      </c>
      <c r="AN77" s="45" t="str">
        <f t="shared" si="53"/>
        <v/>
      </c>
      <c r="AO77" s="45" t="str">
        <f t="shared" si="54"/>
        <v/>
      </c>
      <c r="AP77" s="46">
        <f t="shared" si="55"/>
        <v>0.56000000000000005</v>
      </c>
      <c r="AQ77" s="46">
        <f t="shared" si="56"/>
        <v>0.41</v>
      </c>
      <c r="AR77" s="46">
        <f t="shared" si="57"/>
        <v>0.03</v>
      </c>
      <c r="AS77" s="46" t="str">
        <f t="shared" si="58"/>
        <v/>
      </c>
      <c r="AT77" s="46" t="str">
        <f t="shared" si="59"/>
        <v/>
      </c>
    </row>
    <row r="78" spans="1:46" ht="15" customHeight="1" x14ac:dyDescent="0.25">
      <c r="A78" s="18" t="str">
        <f>'2 — IC Universe Table'!B79</f>
        <v>DOX-US</v>
      </c>
      <c r="B78" s="18" t="str">
        <f>'2 — IC Universe Table'!C79</f>
        <v>Amdocs Limited</v>
      </c>
      <c r="C78" s="45" t="str">
        <f t="array" ref="C78:G78">TRANSPOSE(_xll.FDS(A78,"TRANSPOSE(TRANSPOSE(FF_GEOREV_COUNTRY_REV_PCT_MATRIX)[1:1])[0:4]"))</f>
        <v>United States</v>
      </c>
      <c r="D78" s="45" t="str">
        <v>Mainland China</v>
      </c>
      <c r="E78" s="45" t="str">
        <v>Germany</v>
      </c>
      <c r="F78" s="45" t="str">
        <v>France</v>
      </c>
      <c r="G78" s="45" t="str">
        <v>United Kingdom</v>
      </c>
      <c r="H78" s="46" t="str">
        <f t="array" ref="H78:L78">TRANSPOSE(_xll.FDS(A78,"TRANSPOSE(TRANSPOSE(FF_GEOREV_COUNTRY_REV_PCT_MATRIX)[2:2])[0:4]"))</f>
        <v>65.819772</v>
      </c>
      <c r="I78" s="47" t="str">
        <v>6.452665</v>
      </c>
      <c r="J78" s="47" t="str">
        <v>1.934543</v>
      </c>
      <c r="K78" s="47" t="str">
        <v>1.78467</v>
      </c>
      <c r="L78" s="47" t="str">
        <v>1.565304</v>
      </c>
      <c r="M78" s="42" t="str">
        <f t="shared" si="40"/>
        <v>United States</v>
      </c>
      <c r="N78" s="45" t="str">
        <f t="shared" si="41"/>
        <v>Mainland China</v>
      </c>
      <c r="O78" s="45" t="str">
        <f t="shared" si="42"/>
        <v>Germany</v>
      </c>
      <c r="P78" s="45" t="str">
        <f t="shared" si="43"/>
        <v>France</v>
      </c>
      <c r="Q78" s="45" t="str">
        <f t="shared" si="44"/>
        <v>United Kingdom</v>
      </c>
      <c r="R78" s="46">
        <f t="shared" si="45"/>
        <v>0.66</v>
      </c>
      <c r="S78" s="46">
        <f t="shared" si="46"/>
        <v>0.06</v>
      </c>
      <c r="T78" s="46">
        <f t="shared" si="47"/>
        <v>0.02</v>
      </c>
      <c r="U78" s="46">
        <f t="shared" si="48"/>
        <v>0.02</v>
      </c>
      <c r="V78" s="46">
        <f t="shared" si="49"/>
        <v>0.02</v>
      </c>
      <c r="Y78" s="18" t="str">
        <f>'2 — IC Universe Table'!B79</f>
        <v>DOX-US</v>
      </c>
      <c r="Z78" s="18" t="str">
        <f>'2 — IC Universe Table'!C79</f>
        <v>Amdocs Limited</v>
      </c>
      <c r="AA78" s="45" t="str">
        <f t="array" ref="AA78:AE78">TRANSPOSE(_xll.FDS(Y78,"String_array Name= TRANSPOSE(TRANSPOSE(SA_SUBARRAY(FR_RBICS_REV_MATRIX_CURRENT(""IND""),1,9))[13:13]);float_array pct=TRANSPOSE(TRANSPOSE(SA_SUBARRAY(FR_RBICS_REV_MATRIX_CURRENT(""IND""),1,9))[14:14]);SORT_INDIRECT(Name,pct,2)[0:4]"))</f>
        <v>Design, Integration and Implementation Consulting</v>
      </c>
      <c r="AB78" s="45" t="str">
        <v>Telecommunications Industry Software</v>
      </c>
      <c r="AC78" s="45" t="e">
        <v>#N/A</v>
      </c>
      <c r="AD78" s="45" t="e">
        <v>#N/A</v>
      </c>
      <c r="AE78" s="45" t="e">
        <v>#N/A</v>
      </c>
      <c r="AF78" s="45" t="str">
        <f t="array" ref="AF78:AJ78">TRANSPOSE(_xll.FDS(Y78,"String_array Name= TRANSPOSE(TRANSPOSE(SA_SUBARRAY(FR_RBICS_REV_MATRIX_CURRENT(""IND""),1,9))[14:14]);float_array pct=TRANSPOSE(TRANSPOSE(SA_SUBARRAY(FR_RBICS_REV_MATRIX_CURRENT(""IND""),1,9))[14:14]);SORT_INDIRECT(Name,pct,2)[0:4]"))</f>
        <v>66.089135</v>
      </c>
      <c r="AG78" s="47" t="str">
        <v>33.910865</v>
      </c>
      <c r="AH78" s="47" t="e">
        <v>#N/A</v>
      </c>
      <c r="AI78" s="47" t="e">
        <v>#N/A</v>
      </c>
      <c r="AJ78" s="48" t="e">
        <v>#N/A</v>
      </c>
      <c r="AK78" s="42" t="str">
        <f t="shared" si="50"/>
        <v>Design, Integration and Implementation Consulting</v>
      </c>
      <c r="AL78" s="45" t="str">
        <f t="shared" si="51"/>
        <v>Telecommunications Industry Software</v>
      </c>
      <c r="AM78" s="45" t="str">
        <f t="shared" si="52"/>
        <v/>
      </c>
      <c r="AN78" s="45" t="str">
        <f t="shared" si="53"/>
        <v/>
      </c>
      <c r="AO78" s="45" t="str">
        <f t="shared" si="54"/>
        <v/>
      </c>
      <c r="AP78" s="46">
        <f t="shared" si="55"/>
        <v>0.66</v>
      </c>
      <c r="AQ78" s="46">
        <f t="shared" si="56"/>
        <v>0.34</v>
      </c>
      <c r="AR78" s="46" t="str">
        <f t="shared" si="57"/>
        <v/>
      </c>
      <c r="AS78" s="46" t="str">
        <f t="shared" si="58"/>
        <v/>
      </c>
      <c r="AT78" s="46" t="str">
        <f t="shared" si="59"/>
        <v/>
      </c>
    </row>
    <row r="79" spans="1:46" ht="15" customHeight="1" x14ac:dyDescent="0.25">
      <c r="A79" s="18" t="str">
        <f>'2 — IC Universe Table'!B80</f>
        <v>AGYS-US</v>
      </c>
      <c r="B79" s="18" t="str">
        <f>'2 — IC Universe Table'!C80</f>
        <v>Agilysys, Inc.</v>
      </c>
      <c r="C79" s="45" t="str">
        <f t="array" ref="C79:G79">TRANSPOSE(_xll.FDS(A79,"TRANSPOSE(TRANSPOSE(FF_GEOREV_COUNTRY_REV_PCT_MATRIX)[1:1])[0:4]"))</f>
        <v>United States</v>
      </c>
      <c r="D79" s="45" t="str">
        <v>Mainland China</v>
      </c>
      <c r="E79" s="45" t="str">
        <v>India</v>
      </c>
      <c r="F79" s="45" t="str">
        <v>United Kingdom</v>
      </c>
      <c r="G79" s="45" t="str">
        <v>Canada</v>
      </c>
      <c r="H79" s="46" t="str">
        <f t="array" ref="H79:L79">TRANSPOSE(_xll.FDS(A79,"TRANSPOSE(TRANSPOSE(FF_GEOREV_COUNTRY_REV_PCT_MATRIX)[2:2])[0:4]"))</f>
        <v>90</v>
      </c>
      <c r="I79" s="47" t="str">
        <v>5.817246</v>
      </c>
      <c r="J79" s="47" t="str">
        <v>1.235796</v>
      </c>
      <c r="K79" s="47" t="str">
        <v>1.097135</v>
      </c>
      <c r="L79" s="47" t="str">
        <v>0.703803</v>
      </c>
      <c r="M79" s="42" t="str">
        <f t="shared" si="40"/>
        <v>United States</v>
      </c>
      <c r="N79" s="45" t="str">
        <f t="shared" si="41"/>
        <v>Mainland China</v>
      </c>
      <c r="O79" s="45" t="str">
        <f t="shared" si="42"/>
        <v>India</v>
      </c>
      <c r="P79" s="45" t="str">
        <f t="shared" si="43"/>
        <v>United Kingdom</v>
      </c>
      <c r="Q79" s="45" t="str">
        <f t="shared" si="44"/>
        <v>Canada</v>
      </c>
      <c r="R79" s="46">
        <f t="shared" si="45"/>
        <v>0.9</v>
      </c>
      <c r="S79" s="46">
        <f t="shared" si="46"/>
        <v>0.06</v>
      </c>
      <c r="T79" s="46">
        <f t="shared" si="47"/>
        <v>0.01</v>
      </c>
      <c r="U79" s="46">
        <f t="shared" si="48"/>
        <v>0.01</v>
      </c>
      <c r="V79" s="46">
        <f t="shared" si="49"/>
        <v>0.01</v>
      </c>
      <c r="Y79" s="18" t="str">
        <f>'2 — IC Universe Table'!B80</f>
        <v>AGYS-US</v>
      </c>
      <c r="Z79" s="18" t="str">
        <f>'2 — IC Universe Table'!C80</f>
        <v>Agilysys, Inc.</v>
      </c>
      <c r="AA79" s="45" t="str">
        <f t="array" ref="AA79:AE79">TRANSPOSE(_xll.FDS(Y79,"String_array Name= TRANSPOSE(TRANSPOSE(SA_SUBARRAY(FR_RBICS_REV_MATRIX_CURRENT(""IND""),1,9))[13:13]);float_array pct=TRANSPOSE(TRANSPOSE(SA_SUBARRAY(FR_RBICS_REV_MATRIX_CURRENT(""IND""),1,9))[14:14]);SORT_INDIRECT(Name,pct,2)[0:4]"))</f>
        <v>Hospitality Industry Software</v>
      </c>
      <c r="AB79" s="45" t="e">
        <v>#N/A</v>
      </c>
      <c r="AC79" s="45" t="e">
        <v>#N/A</v>
      </c>
      <c r="AD79" s="45" t="e">
        <v>#N/A</v>
      </c>
      <c r="AE79" s="45" t="e">
        <v>#N/A</v>
      </c>
      <c r="AF79" s="45" t="str">
        <f t="array" ref="AF79:AJ79">TRANSPOSE(_xll.FDS(Y79,"String_array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79" s="47" t="e">
        <v>#N/A</v>
      </c>
      <c r="AH79" s="47" t="e">
        <v>#N/A</v>
      </c>
      <c r="AI79" s="47" t="e">
        <v>#N/A</v>
      </c>
      <c r="AJ79" s="48" t="e">
        <v>#N/A</v>
      </c>
      <c r="AK79" s="42" t="str">
        <f t="shared" si="50"/>
        <v>Hospitality Industry Software</v>
      </c>
      <c r="AL79" s="45" t="str">
        <f t="shared" si="51"/>
        <v/>
      </c>
      <c r="AM79" s="45" t="str">
        <f t="shared" si="52"/>
        <v/>
      </c>
      <c r="AN79" s="45" t="str">
        <f t="shared" si="53"/>
        <v/>
      </c>
      <c r="AO79" s="45" t="str">
        <f t="shared" si="54"/>
        <v/>
      </c>
      <c r="AP79" s="46">
        <f t="shared" si="55"/>
        <v>1</v>
      </c>
      <c r="AQ79" s="46" t="str">
        <f t="shared" si="56"/>
        <v/>
      </c>
      <c r="AR79" s="46" t="str">
        <f t="shared" si="57"/>
        <v/>
      </c>
      <c r="AS79" s="46" t="str">
        <f t="shared" si="58"/>
        <v/>
      </c>
      <c r="AT79" s="46" t="str">
        <f t="shared" si="59"/>
        <v/>
      </c>
    </row>
    <row r="80" spans="1:46" ht="15" customHeight="1" x14ac:dyDescent="0.25">
      <c r="A80" s="18" t="str">
        <f>'2 — IC Universe Table'!B81</f>
        <v>TYL-US</v>
      </c>
      <c r="B80" s="18" t="str">
        <f>'2 — IC Universe Table'!C81</f>
        <v>Tyler Technologies, Inc.</v>
      </c>
      <c r="C80" s="45" t="str">
        <f t="array" ref="C80:G80">TRANSPOSE(_xll.FDS(A80,"TRANSPOSE(TRANSPOSE(FF_GEOREV_COUNTRY_REV_PCT_MATRIX)[1:1])[0:4]"))</f>
        <v>United States</v>
      </c>
      <c r="D80" s="45" t="str">
        <v>United Kingdom</v>
      </c>
      <c r="E80" s="45" t="str">
        <v>Canada</v>
      </c>
      <c r="F80" s="45" t="str">
        <v>Australia</v>
      </c>
      <c r="G80" s="45" t="str">
        <v>Dominican Republic</v>
      </c>
      <c r="H80" s="46" t="str">
        <f t="array" ref="H80:L80">TRANSPOSE(_xll.FDS(A80,"TRANSPOSE(TRANSPOSE(FF_GEOREV_COUNTRY_REV_PCT_MATRIX)[2:2])[0:4]"))</f>
        <v>78.533999</v>
      </c>
      <c r="I80" s="47" t="str">
        <v>9.883109</v>
      </c>
      <c r="J80" s="47" t="str">
        <v>5.728642</v>
      </c>
      <c r="K80" s="47" t="str">
        <v>4.560796</v>
      </c>
      <c r="L80" s="47" t="str">
        <v>0.329065</v>
      </c>
      <c r="M80" s="42" t="str">
        <f t="shared" si="40"/>
        <v>United States</v>
      </c>
      <c r="N80" s="45" t="str">
        <f t="shared" si="41"/>
        <v>United Kingdom</v>
      </c>
      <c r="O80" s="45" t="str">
        <f t="shared" si="42"/>
        <v>Canada</v>
      </c>
      <c r="P80" s="45" t="str">
        <f t="shared" si="43"/>
        <v>Australia</v>
      </c>
      <c r="Q80" s="45" t="str">
        <f t="shared" si="44"/>
        <v>Dominican Republic</v>
      </c>
      <c r="R80" s="46">
        <f t="shared" si="45"/>
        <v>0.79</v>
      </c>
      <c r="S80" s="46">
        <f t="shared" si="46"/>
        <v>0.1</v>
      </c>
      <c r="T80" s="46">
        <f t="shared" si="47"/>
        <v>0.06</v>
      </c>
      <c r="U80" s="46">
        <f t="shared" si="48"/>
        <v>0.05</v>
      </c>
      <c r="V80" s="46">
        <f t="shared" si="49"/>
        <v>0</v>
      </c>
      <c r="Y80" s="18" t="str">
        <f>'2 — IC Universe Table'!B81</f>
        <v>TYL-US</v>
      </c>
      <c r="Z80" s="18" t="str">
        <f>'2 — IC Universe Table'!C81</f>
        <v>Tyler Technologies, Inc.</v>
      </c>
      <c r="AA80" s="45" t="str">
        <f t="array" ref="AA80:AE80">TRANSPOSE(_xll.FDS(Y80,"String_array Name= TRANSPOSE(TRANSPOSE(SA_SUBARRAY(FR_RBICS_REV_MATRIX_CURRENT(""IND""),1,9))[13:13]);float_array pct=TRANSPOSE(TRANSPOSE(SA_SUBARRAY(FR_RBICS_REV_MATRIX_CURRENT(""IND""),1,9))[14:14]);SORT_INDIRECT(Name,pct,2)[0:4]"))</f>
        <v>Government and Not-For-Profit Industry Software</v>
      </c>
      <c r="AB80" s="45" t="e">
        <v>#N/A</v>
      </c>
      <c r="AC80" s="45" t="e">
        <v>#N/A</v>
      </c>
      <c r="AD80" s="45" t="e">
        <v>#N/A</v>
      </c>
      <c r="AE80" s="45" t="e">
        <v>#N/A</v>
      </c>
      <c r="AF80" s="45" t="str">
        <f t="array" ref="AF80:AJ80">TRANSPOSE(_xll.FDS(Y80,"String_array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80" s="47" t="e">
        <v>#N/A</v>
      </c>
      <c r="AH80" s="47" t="e">
        <v>#N/A</v>
      </c>
      <c r="AI80" s="47" t="e">
        <v>#N/A</v>
      </c>
      <c r="AJ80" s="48" t="e">
        <v>#N/A</v>
      </c>
      <c r="AK80" s="42" t="str">
        <f t="shared" si="50"/>
        <v>Government and Not-For-Profit Industry Software</v>
      </c>
      <c r="AL80" s="45" t="str">
        <f t="shared" si="51"/>
        <v/>
      </c>
      <c r="AM80" s="45" t="str">
        <f t="shared" si="52"/>
        <v/>
      </c>
      <c r="AN80" s="45" t="str">
        <f t="shared" si="53"/>
        <v/>
      </c>
      <c r="AO80" s="45" t="str">
        <f t="shared" si="54"/>
        <v/>
      </c>
      <c r="AP80" s="46">
        <f t="shared" si="55"/>
        <v>1</v>
      </c>
      <c r="AQ80" s="46" t="str">
        <f t="shared" si="56"/>
        <v/>
      </c>
      <c r="AR80" s="46" t="str">
        <f t="shared" si="57"/>
        <v/>
      </c>
      <c r="AS80" s="46" t="str">
        <f t="shared" si="58"/>
        <v/>
      </c>
      <c r="AT80" s="46" t="str">
        <f t="shared" si="59"/>
        <v/>
      </c>
    </row>
    <row r="81" spans="1:46" ht="15" customHeight="1" x14ac:dyDescent="0.25">
      <c r="A81" s="18" t="str">
        <f>'2 — IC Universe Table'!B82</f>
        <v>XRO-AU</v>
      </c>
      <c r="B81" s="18" t="str">
        <f>'2 — IC Universe Table'!C82</f>
        <v>Xero Limited</v>
      </c>
      <c r="C81" s="45" t="str">
        <f t="array" ref="C81:G81">TRANSPOSE(_xll.FDS(A81,"TRANSPOSE(TRANSPOSE(FF_GEOREV_COUNTRY_REV_PCT_MATRIX)[1:1])[0:4]"))</f>
        <v>Australia</v>
      </c>
      <c r="D81" s="45" t="str">
        <v>United Kingdom</v>
      </c>
      <c r="E81" s="45" t="str">
        <v>New Zealand</v>
      </c>
      <c r="F81" s="45" t="str">
        <v>United States</v>
      </c>
      <c r="G81" s="45" t="str">
        <v>Singapore</v>
      </c>
      <c r="H81" s="46" t="str">
        <f t="array" ref="H81:L81">TRANSPOSE(_xll.FDS(A81,"TRANSPOSE(TRANSPOSE(FF_GEOREV_COUNTRY_REV_PCT_MATRIX)[2:2])[0:4]"))</f>
        <v>45.4302</v>
      </c>
      <c r="I81" s="47" t="str">
        <v>27.490854</v>
      </c>
      <c r="J81" s="47" t="str">
        <v>10.54806</v>
      </c>
      <c r="K81" s="47" t="str">
        <v>5.68646</v>
      </c>
      <c r="L81" s="47" t="str">
        <v>3.999565</v>
      </c>
      <c r="M81" s="42" t="str">
        <f t="shared" si="40"/>
        <v>Australia</v>
      </c>
      <c r="N81" s="45" t="str">
        <f t="shared" si="41"/>
        <v>United Kingdom</v>
      </c>
      <c r="O81" s="45" t="str">
        <f t="shared" si="42"/>
        <v>New Zealand</v>
      </c>
      <c r="P81" s="45" t="str">
        <f t="shared" si="43"/>
        <v>United States</v>
      </c>
      <c r="Q81" s="45" t="str">
        <f t="shared" si="44"/>
        <v>Singapore</v>
      </c>
      <c r="R81" s="46">
        <f t="shared" si="45"/>
        <v>0.45</v>
      </c>
      <c r="S81" s="46">
        <f t="shared" si="46"/>
        <v>0.27</v>
      </c>
      <c r="T81" s="46">
        <f t="shared" si="47"/>
        <v>0.11</v>
      </c>
      <c r="U81" s="46">
        <f t="shared" si="48"/>
        <v>0.06</v>
      </c>
      <c r="V81" s="46">
        <f t="shared" si="49"/>
        <v>0.04</v>
      </c>
      <c r="Y81" s="18" t="str">
        <f>'2 — IC Universe Table'!B82</f>
        <v>XRO-AU</v>
      </c>
      <c r="Z81" s="18" t="str">
        <f>'2 — IC Universe Table'!C82</f>
        <v>Xero Limited</v>
      </c>
      <c r="AA81" s="45" t="str">
        <f t="array" ref="AA81:AE81">TRANSPOSE(_xll.FDS(Y81,"String_array Name= TRANSPOSE(TRANSPOSE(SA_SUBARRAY(FR_RBICS_REV_MATRIX_CURRENT(""IND""),1,9))[13:13]);float_array pct=TRANSPOSE(TRANSPOSE(SA_SUBARRAY(FR_RBICS_REV_MATRIX_CURRENT(""IND""),1,9))[14:14]);SORT_INDIRECT(Name,pct,2)[0:4]"))</f>
        <v>Enterprise Resource Planning Software</v>
      </c>
      <c r="AB81" s="45" t="e">
        <v>#N/A</v>
      </c>
      <c r="AC81" s="45" t="e">
        <v>#N/A</v>
      </c>
      <c r="AD81" s="45" t="e">
        <v>#N/A</v>
      </c>
      <c r="AE81" s="45" t="e">
        <v>#N/A</v>
      </c>
      <c r="AF81" s="45" t="str">
        <f t="array" ref="AF81:AJ81">TRANSPOSE(_xll.FDS(Y81,"String_array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81" s="47" t="e">
        <v>#N/A</v>
      </c>
      <c r="AH81" s="47" t="e">
        <v>#N/A</v>
      </c>
      <c r="AI81" s="47" t="e">
        <v>#N/A</v>
      </c>
      <c r="AJ81" s="48" t="e">
        <v>#N/A</v>
      </c>
      <c r="AK81" s="42" t="str">
        <f t="shared" si="50"/>
        <v>Enterprise Resource Planning Software</v>
      </c>
      <c r="AL81" s="45" t="str">
        <f t="shared" si="51"/>
        <v/>
      </c>
      <c r="AM81" s="45" t="str">
        <f t="shared" si="52"/>
        <v/>
      </c>
      <c r="AN81" s="45" t="str">
        <f t="shared" si="53"/>
        <v/>
      </c>
      <c r="AO81" s="45" t="str">
        <f t="shared" si="54"/>
        <v/>
      </c>
      <c r="AP81" s="46">
        <f t="shared" si="55"/>
        <v>1</v>
      </c>
      <c r="AQ81" s="46" t="str">
        <f t="shared" si="56"/>
        <v/>
      </c>
      <c r="AR81" s="46" t="str">
        <f t="shared" si="57"/>
        <v/>
      </c>
      <c r="AS81" s="46" t="str">
        <f t="shared" si="58"/>
        <v/>
      </c>
      <c r="AT81" s="46" t="str">
        <f t="shared" si="59"/>
        <v/>
      </c>
    </row>
    <row r="82" spans="1:46" ht="15" customHeight="1" x14ac:dyDescent="0.25">
      <c r="A82" s="18" t="str">
        <f>'2 — IC Universe Table'!B83</f>
        <v>HEXA.B-SE</v>
      </c>
      <c r="B82" s="18" t="str">
        <f>'2 — IC Universe Table'!C83</f>
        <v>Hexagon AB Class B</v>
      </c>
      <c r="C82" s="45" t="str">
        <f t="array" ref="C82:G82">TRANSPOSE(_xll.FDS(A82,"TRANSPOSE(TRANSPOSE(FF_GEOREV_COUNTRY_REV_PCT_MATRIX)[1:1])[0:4]"))</f>
        <v>United States</v>
      </c>
      <c r="D82" s="45" t="str">
        <v>Mainland China</v>
      </c>
      <c r="E82" s="45" t="str">
        <v>Germany</v>
      </c>
      <c r="F82" s="45" t="str">
        <v>Japan</v>
      </c>
      <c r="G82" s="45" t="str">
        <v>India</v>
      </c>
      <c r="H82" s="46" t="str">
        <f t="array" ref="H82:L82">TRANSPOSE(_xll.FDS(A82,"TRANSPOSE(TRANSPOSE(FF_GEOREV_COUNTRY_REV_PCT_MATRIX)[2:2])[0:4]"))</f>
        <v>29.412527</v>
      </c>
      <c r="I82" s="47" t="str">
        <v>12.612941</v>
      </c>
      <c r="J82" s="47" t="str">
        <v>4.457413</v>
      </c>
      <c r="K82" s="47" t="str">
        <v>3.772799</v>
      </c>
      <c r="L82" s="47" t="str">
        <v>3.613606</v>
      </c>
      <c r="M82" s="42" t="str">
        <f t="shared" si="40"/>
        <v>United States</v>
      </c>
      <c r="N82" s="45" t="str">
        <f t="shared" si="41"/>
        <v>Mainland China</v>
      </c>
      <c r="O82" s="45" t="str">
        <f t="shared" si="42"/>
        <v>Germany</v>
      </c>
      <c r="P82" s="45" t="str">
        <f t="shared" si="43"/>
        <v>Japan</v>
      </c>
      <c r="Q82" s="45" t="str">
        <f t="shared" si="44"/>
        <v>India</v>
      </c>
      <c r="R82" s="46">
        <f t="shared" si="45"/>
        <v>0.28999999999999998</v>
      </c>
      <c r="S82" s="46">
        <f t="shared" si="46"/>
        <v>0.13</v>
      </c>
      <c r="T82" s="46">
        <f t="shared" si="47"/>
        <v>0.04</v>
      </c>
      <c r="U82" s="46">
        <f t="shared" si="48"/>
        <v>0.04</v>
      </c>
      <c r="V82" s="46">
        <f t="shared" si="49"/>
        <v>0.04</v>
      </c>
      <c r="Y82" s="18" t="str">
        <f>'2 — IC Universe Table'!B83</f>
        <v>HEXA.B-SE</v>
      </c>
      <c r="Z82" s="18" t="str">
        <f>'2 — IC Universe Table'!C83</f>
        <v>Hexagon AB Class B</v>
      </c>
      <c r="AA82" s="45" t="str">
        <f t="array" ref="AA82:AE82">TRANSPOSE(_xll.FDS(Y82,"String_array Name= TRANSPOSE(TRANSPOSE(SA_SUBARRAY(FR_RBICS_REV_MATRIX_CURRENT(""IND""),1,9))[13:13]);float_array pct=TRANSPOSE(TRANSPOSE(SA_SUBARRAY(FR_RBICS_REV_MATRIX_CURRENT(""IND""),1,9))[14:14]);SORT_INDIRECT(Name,pct,2)[0:4]"))</f>
        <v>Computer Aided Design Software</v>
      </c>
      <c r="AB82" s="45" t="str">
        <v>Asset Management Software</v>
      </c>
      <c r="AC82" s="45" t="str">
        <v>Specialized Design and Engineering Software</v>
      </c>
      <c r="AD82" s="45" t="str">
        <v>Global Positioning Systems (GPS) Manufacturing</v>
      </c>
      <c r="AE82" s="45" t="str">
        <v>Industry-Specific Software</v>
      </c>
      <c r="AF82" s="45" t="str">
        <f t="array" ref="AF82:AJ82">TRANSPOSE(_xll.FDS(Y82,"String_array Name= TRANSPOSE(TRANSPOSE(SA_SUBARRAY(FR_RBICS_REV_MATRIX_CURRENT(""IND""),1,9))[14:14]);float_array pct=TRANSPOSE(TRANSPOSE(SA_SUBARRAY(FR_RBICS_REV_MATRIX_CURRENT(""IND""),1,9))[14:14]);SORT_INDIRECT(Name,pct,2)[0:4]"))</f>
        <v>60.975171</v>
      </c>
      <c r="AG82" s="47" t="str">
        <v>15.398900</v>
      </c>
      <c r="AH82" s="47" t="str">
        <v>10.931663</v>
      </c>
      <c r="AI82" s="47" t="str">
        <v>10.331229</v>
      </c>
      <c r="AJ82" s="48" t="str">
        <v>2.303790</v>
      </c>
      <c r="AK82" s="42" t="str">
        <f t="shared" si="50"/>
        <v>Computer Aided Design Software</v>
      </c>
      <c r="AL82" s="45" t="str">
        <f t="shared" si="51"/>
        <v>Asset Management Software</v>
      </c>
      <c r="AM82" s="45" t="str">
        <f t="shared" si="52"/>
        <v>Specialized Design and Engineering Software</v>
      </c>
      <c r="AN82" s="45" t="str">
        <f t="shared" si="53"/>
        <v>Global Positioning Systems (GPS) Manufacturing</v>
      </c>
      <c r="AO82" s="45" t="str">
        <f t="shared" si="54"/>
        <v>Industry-Specific Software</v>
      </c>
      <c r="AP82" s="46">
        <f t="shared" si="55"/>
        <v>0.61</v>
      </c>
      <c r="AQ82" s="46">
        <f t="shared" si="56"/>
        <v>0.15</v>
      </c>
      <c r="AR82" s="46">
        <f t="shared" si="57"/>
        <v>0.11</v>
      </c>
      <c r="AS82" s="46">
        <f t="shared" si="58"/>
        <v>0.1</v>
      </c>
      <c r="AT82" s="46">
        <f t="shared" si="59"/>
        <v>0.02</v>
      </c>
    </row>
    <row r="83" spans="1:46" ht="15" customHeight="1" x14ac:dyDescent="0.25">
      <c r="A83" s="18" t="str">
        <f>'2 — IC Universe Table'!B84</f>
        <v>SGE-GB</v>
      </c>
      <c r="B83" s="18" t="str">
        <f>'2 — IC Universe Table'!C84</f>
        <v>Sage Group plc</v>
      </c>
      <c r="C83" s="45" t="str">
        <f t="array" ref="C83:G83">TRANSPOSE(_xll.FDS(A83,"TRANSPOSE(TRANSPOSE(FF_GEOREV_COUNTRY_REV_PCT_MATRIX)[1:1])[0:4]"))</f>
        <v>United States</v>
      </c>
      <c r="D83" s="45" t="str">
        <v>United Kingdom</v>
      </c>
      <c r="E83" s="45" t="str">
        <v>France</v>
      </c>
      <c r="F83" s="45" t="str">
        <v>Canada</v>
      </c>
      <c r="G83" s="45" t="str">
        <v>Spain</v>
      </c>
      <c r="H83" s="46" t="str">
        <f t="array" ref="H83:L83">TRANSPOSE(_xll.FDS(A83,"TRANSPOSE(TRANSPOSE(FF_GEOREV_COUNTRY_REV_PCT_MATRIX)[2:2])[0:4]"))</f>
        <v>39.673696</v>
      </c>
      <c r="I83" s="47" t="str">
        <v>21.59279</v>
      </c>
      <c r="J83" s="47" t="str">
        <v>12.892957</v>
      </c>
      <c r="K83" s="47" t="str">
        <v>5.610824</v>
      </c>
      <c r="L83" s="47" t="str">
        <v>5.203027</v>
      </c>
      <c r="M83" s="42" t="str">
        <f t="shared" si="40"/>
        <v>United States</v>
      </c>
      <c r="N83" s="45" t="str">
        <f t="shared" si="41"/>
        <v>United Kingdom</v>
      </c>
      <c r="O83" s="45" t="str">
        <f t="shared" si="42"/>
        <v>France</v>
      </c>
      <c r="P83" s="45" t="str">
        <f t="shared" si="43"/>
        <v>Canada</v>
      </c>
      <c r="Q83" s="45" t="str">
        <f t="shared" si="44"/>
        <v>Spain</v>
      </c>
      <c r="R83" s="46">
        <f t="shared" si="45"/>
        <v>0.4</v>
      </c>
      <c r="S83" s="46">
        <f t="shared" si="46"/>
        <v>0.22</v>
      </c>
      <c r="T83" s="46">
        <f t="shared" si="47"/>
        <v>0.13</v>
      </c>
      <c r="U83" s="46">
        <f t="shared" si="48"/>
        <v>0.06</v>
      </c>
      <c r="V83" s="46">
        <f t="shared" si="49"/>
        <v>0.05</v>
      </c>
      <c r="Y83" s="18" t="str">
        <f>'2 — IC Universe Table'!B84</f>
        <v>SGE-GB</v>
      </c>
      <c r="Z83" s="18" t="str">
        <f>'2 — IC Universe Table'!C84</f>
        <v>Sage Group plc</v>
      </c>
      <c r="AA83" s="45" t="str">
        <f t="array" ref="AA83:AE83">TRANSPOSE(_xll.FDS(Y83,"String_array Name= TRANSPOSE(TRANSPOSE(SA_SUBARRAY(FR_RBICS_REV_MATRIX_CURRENT(""IND""),1,9))[13:13]);float_array pct=TRANSPOSE(TRANSPOSE(SA_SUBARRAY(FR_RBICS_REV_MATRIX_CURRENT(""IND""),1,9))[14:14]);SORT_INDIRECT(Name,pct,2)[0:4]"))</f>
        <v>Enterprise Resource Planning Software</v>
      </c>
      <c r="AB83" s="45" t="e">
        <v>#N/A</v>
      </c>
      <c r="AC83" s="45" t="e">
        <v>#N/A</v>
      </c>
      <c r="AD83" s="45" t="e">
        <v>#N/A</v>
      </c>
      <c r="AE83" s="45" t="e">
        <v>#N/A</v>
      </c>
      <c r="AF83" s="45" t="str">
        <f t="array" ref="AF83:AJ83">TRANSPOSE(_xll.FDS(Y83,"String_array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83" s="47" t="e">
        <v>#N/A</v>
      </c>
      <c r="AH83" s="47" t="e">
        <v>#N/A</v>
      </c>
      <c r="AI83" s="47" t="e">
        <v>#N/A</v>
      </c>
      <c r="AJ83" s="48" t="e">
        <v>#N/A</v>
      </c>
      <c r="AK83" s="42" t="str">
        <f t="shared" si="50"/>
        <v>Enterprise Resource Planning Software</v>
      </c>
      <c r="AL83" s="45" t="str">
        <f t="shared" si="51"/>
        <v/>
      </c>
      <c r="AM83" s="45" t="str">
        <f t="shared" si="52"/>
        <v/>
      </c>
      <c r="AN83" s="45" t="str">
        <f t="shared" si="53"/>
        <v/>
      </c>
      <c r="AO83" s="45" t="str">
        <f t="shared" si="54"/>
        <v/>
      </c>
      <c r="AP83" s="46">
        <f t="shared" si="55"/>
        <v>1</v>
      </c>
      <c r="AQ83" s="46" t="str">
        <f t="shared" si="56"/>
        <v/>
      </c>
      <c r="AR83" s="46" t="str">
        <f t="shared" si="57"/>
        <v/>
      </c>
      <c r="AS83" s="46" t="str">
        <f t="shared" si="58"/>
        <v/>
      </c>
      <c r="AT83" s="46" t="str">
        <f t="shared" si="59"/>
        <v/>
      </c>
    </row>
    <row r="84" spans="1:46" ht="15" customHeight="1" x14ac:dyDescent="0.25">
      <c r="A84" s="18" t="str">
        <f>'2 — IC Universe Table'!B85</f>
        <v>MANH-US</v>
      </c>
      <c r="B84" s="18" t="str">
        <f>'2 — IC Universe Table'!C85</f>
        <v>Manhattan Associates, Inc.</v>
      </c>
      <c r="C84" s="45" t="str">
        <f t="array" ref="C84:G84">TRANSPOSE(_xll.FDS(A84,"TRANSPOSE(TRANSPOSE(FF_GEOREV_COUNTRY_REV_PCT_MATRIX)[1:1])[0:4]"))</f>
        <v>United States</v>
      </c>
      <c r="D84" s="45" t="str">
        <v>Canada</v>
      </c>
      <c r="E84" s="45" t="str">
        <v>Germany</v>
      </c>
      <c r="F84" s="45" t="str">
        <v>United Kingdom</v>
      </c>
      <c r="G84" s="45" t="str">
        <v>France</v>
      </c>
      <c r="H84" s="46" t="str">
        <f t="array" ref="H84:L84">TRANSPOSE(_xll.FDS(A84,"TRANSPOSE(TRANSPOSE(FF_GEOREV_COUNTRY_REV_PCT_MATRIX)[2:2])[0:4]"))</f>
        <v>65</v>
      </c>
      <c r="I84" s="47" t="str">
        <v>8.612231</v>
      </c>
      <c r="J84" s="47" t="str">
        <v>5.476363</v>
      </c>
      <c r="K84" s="47" t="str">
        <v>4.431109</v>
      </c>
      <c r="L84" s="47" t="str">
        <v>3.706413</v>
      </c>
      <c r="M84" s="42" t="str">
        <f t="shared" si="40"/>
        <v>United States</v>
      </c>
      <c r="N84" s="45" t="str">
        <f t="shared" si="41"/>
        <v>Canada</v>
      </c>
      <c r="O84" s="45" t="str">
        <f t="shared" si="42"/>
        <v>Germany</v>
      </c>
      <c r="P84" s="45" t="str">
        <f t="shared" si="43"/>
        <v>United Kingdom</v>
      </c>
      <c r="Q84" s="45" t="str">
        <f t="shared" si="44"/>
        <v>France</v>
      </c>
      <c r="R84" s="46">
        <f t="shared" si="45"/>
        <v>0.65</v>
      </c>
      <c r="S84" s="46">
        <f t="shared" si="46"/>
        <v>0.09</v>
      </c>
      <c r="T84" s="46">
        <f t="shared" si="47"/>
        <v>0.05</v>
      </c>
      <c r="U84" s="46">
        <f t="shared" si="48"/>
        <v>0.04</v>
      </c>
      <c r="V84" s="46">
        <f t="shared" si="49"/>
        <v>0.04</v>
      </c>
      <c r="Y84" s="18" t="str">
        <f>'2 — IC Universe Table'!B85</f>
        <v>MANH-US</v>
      </c>
      <c r="Z84" s="18" t="str">
        <f>'2 — IC Universe Table'!C85</f>
        <v>Manhattan Associates, Inc.</v>
      </c>
      <c r="AA84" s="45" t="str">
        <f t="array" ref="AA84:AE84">TRANSPOSE(_xll.FDS(Y84,"String_array Name= TRANSPOSE(TRANSPOSE(SA_SUBARRAY(FR_RBICS_REV_MATRIX_CURRENT(""IND""),1,9))[13:13]);float_array pct=TRANSPOSE(TRANSPOSE(SA_SUBARRAY(FR_RBICS_REV_MATRIX_CURRENT(""IND""),1,9))[14:14]);SORT_INDIRECT(Name,pct,2)[0:4]"))</f>
        <v>Enterprise Resource Planning Software</v>
      </c>
      <c r="AB84" s="45" t="str">
        <v>Design, Integration and Implementation Consulting</v>
      </c>
      <c r="AC84" s="45" t="e">
        <v>#N/A</v>
      </c>
      <c r="AD84" s="45" t="e">
        <v>#N/A</v>
      </c>
      <c r="AE84" s="45" t="e">
        <v>#N/A</v>
      </c>
      <c r="AF84" s="45" t="str">
        <f t="array" ref="AF84:AJ84">TRANSPOSE(_xll.FDS(Y84,"String_array Name= TRANSPOSE(TRANSPOSE(SA_SUBARRAY(FR_RBICS_REV_MATRIX_CURRENT(""IND""),1,9))[14:14]);float_array pct=TRANSPOSE(TRANSPOSE(SA_SUBARRAY(FR_RBICS_REV_MATRIX_CURRENT(""IND""),1,9))[14:14]);SORT_INDIRECT(Name,pct,2)[0:4]"))</f>
        <v>97.649419</v>
      </c>
      <c r="AG84" s="47" t="str">
        <v>2.350581</v>
      </c>
      <c r="AH84" s="47" t="e">
        <v>#N/A</v>
      </c>
      <c r="AI84" s="47" t="e">
        <v>#N/A</v>
      </c>
      <c r="AJ84" s="48" t="e">
        <v>#N/A</v>
      </c>
      <c r="AK84" s="42" t="str">
        <f t="shared" si="50"/>
        <v>Enterprise Resource Planning Software</v>
      </c>
      <c r="AL84" s="45" t="str">
        <f t="shared" si="51"/>
        <v>Design, Integration and Implementation Consulting</v>
      </c>
      <c r="AM84" s="45" t="str">
        <f t="shared" si="52"/>
        <v/>
      </c>
      <c r="AN84" s="45" t="str">
        <f t="shared" si="53"/>
        <v/>
      </c>
      <c r="AO84" s="45" t="str">
        <f t="shared" si="54"/>
        <v/>
      </c>
      <c r="AP84" s="46">
        <f t="shared" si="55"/>
        <v>0.98</v>
      </c>
      <c r="AQ84" s="46">
        <f t="shared" si="56"/>
        <v>0.02</v>
      </c>
      <c r="AR84" s="46" t="str">
        <f t="shared" si="57"/>
        <v/>
      </c>
      <c r="AS84" s="46" t="str">
        <f t="shared" si="58"/>
        <v/>
      </c>
      <c r="AT84" s="46" t="str">
        <f t="shared" si="59"/>
        <v/>
      </c>
    </row>
    <row r="85" spans="1:46" ht="15" customHeight="1" x14ac:dyDescent="0.25">
      <c r="A85" s="18" t="str">
        <f>'2 — IC Universe Table'!B86</f>
        <v>TNE-AU</v>
      </c>
      <c r="B85" s="18" t="str">
        <f>'2 — IC Universe Table'!C86</f>
        <v>Technology One Limited</v>
      </c>
      <c r="C85" s="45" t="str">
        <f t="array" ref="C85:G85">TRANSPOSE(_xll.FDS(A85,"TRANSPOSE(TRANSPOSE(FF_GEOREV_COUNTRY_REV_PCT_MATRIX)[1:1])[0:4]"))</f>
        <v>Australia</v>
      </c>
      <c r="D85" s="45" t="str">
        <v>United Kingdom</v>
      </c>
      <c r="E85" s="45" t="str">
        <v>Mainland China</v>
      </c>
      <c r="F85" s="45" t="str">
        <v>India</v>
      </c>
      <c r="G85" s="45" t="str">
        <v>Japan</v>
      </c>
      <c r="H85" s="46" t="str">
        <f t="array" ref="H85:L85">TRANSPOSE(_xll.FDS(A85,"TRANSPOSE(TRANSPOSE(FF_GEOREV_COUNTRY_REV_PCT_MATRIX)[2:2])[0:4]"))</f>
        <v>81.418943</v>
      </c>
      <c r="I85" s="47" t="str">
        <v>8.384433</v>
      </c>
      <c r="J85" s="47" t="str">
        <v>5.876825</v>
      </c>
      <c r="K85" s="47" t="str">
        <v>1.279469</v>
      </c>
      <c r="L85" s="47" t="str">
        <v>1.27929</v>
      </c>
      <c r="M85" s="42" t="str">
        <f t="shared" si="40"/>
        <v>Australia</v>
      </c>
      <c r="N85" s="45" t="str">
        <f t="shared" si="41"/>
        <v>United Kingdom</v>
      </c>
      <c r="O85" s="45" t="str">
        <f t="shared" si="42"/>
        <v>Mainland China</v>
      </c>
      <c r="P85" s="45" t="str">
        <f t="shared" si="43"/>
        <v>India</v>
      </c>
      <c r="Q85" s="45" t="str">
        <f t="shared" si="44"/>
        <v>Japan</v>
      </c>
      <c r="R85" s="46">
        <f t="shared" si="45"/>
        <v>0.81</v>
      </c>
      <c r="S85" s="46">
        <f t="shared" si="46"/>
        <v>0.08</v>
      </c>
      <c r="T85" s="46">
        <f t="shared" si="47"/>
        <v>0.06</v>
      </c>
      <c r="U85" s="46">
        <f t="shared" si="48"/>
        <v>0.01</v>
      </c>
      <c r="V85" s="46">
        <f t="shared" si="49"/>
        <v>0.01</v>
      </c>
      <c r="Y85" s="18" t="str">
        <f>'2 — IC Universe Table'!B86</f>
        <v>TNE-AU</v>
      </c>
      <c r="Z85" s="18" t="str">
        <f>'2 — IC Universe Table'!C86</f>
        <v>Technology One Limited</v>
      </c>
      <c r="AA85" s="45" t="str">
        <f t="array" ref="AA85:AE85">TRANSPOSE(_xll.FDS(Y85,"String_array Name= TRANSPOSE(TRANSPOSE(SA_SUBARRAY(FR_RBICS_REV_MATRIX_CURRENT(""IND""),1,9))[13:13]);float_array pct=TRANSPOSE(TRANSPOSE(SA_SUBARRAY(FR_RBICS_REV_MATRIX_CURRENT(""IND""),1,9))[14:14]);SORT_INDIRECT(Name,pct,2)[0:4]"))</f>
        <v>General Enterprise Management Software</v>
      </c>
      <c r="AB85" s="45" t="e">
        <v>#N/A</v>
      </c>
      <c r="AC85" s="45" t="e">
        <v>#N/A</v>
      </c>
      <c r="AD85" s="45" t="e">
        <v>#N/A</v>
      </c>
      <c r="AE85" s="45" t="e">
        <v>#N/A</v>
      </c>
      <c r="AF85" s="45" t="str">
        <f t="array" ref="AF85:AJ85">TRANSPOSE(_xll.FDS(Y85,"String_array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85" s="47" t="e">
        <v>#N/A</v>
      </c>
      <c r="AH85" s="47" t="e">
        <v>#N/A</v>
      </c>
      <c r="AI85" s="47" t="e">
        <v>#N/A</v>
      </c>
      <c r="AJ85" s="48" t="e">
        <v>#N/A</v>
      </c>
      <c r="AK85" s="42" t="str">
        <f t="shared" si="50"/>
        <v>General Enterprise Management Software</v>
      </c>
      <c r="AL85" s="45" t="str">
        <f t="shared" si="51"/>
        <v/>
      </c>
      <c r="AM85" s="45" t="str">
        <f t="shared" si="52"/>
        <v/>
      </c>
      <c r="AN85" s="45" t="str">
        <f t="shared" si="53"/>
        <v/>
      </c>
      <c r="AO85" s="45" t="str">
        <f t="shared" si="54"/>
        <v/>
      </c>
      <c r="AP85" s="46">
        <f t="shared" si="55"/>
        <v>1</v>
      </c>
      <c r="AQ85" s="46" t="str">
        <f t="shared" si="56"/>
        <v/>
      </c>
      <c r="AR85" s="46" t="str">
        <f t="shared" si="57"/>
        <v/>
      </c>
      <c r="AS85" s="46" t="str">
        <f t="shared" si="58"/>
        <v/>
      </c>
      <c r="AT85" s="46" t="str">
        <f t="shared" si="59"/>
        <v/>
      </c>
    </row>
    <row r="86" spans="1:46" ht="15" customHeight="1" x14ac:dyDescent="0.25">
      <c r="A86" s="18" t="str">
        <f>'2 — IC Universe Table'!B87</f>
        <v>PSN-US</v>
      </c>
      <c r="B86" s="18" t="str">
        <f>'2 — IC Universe Table'!C87</f>
        <v>Parsons Corporation</v>
      </c>
      <c r="C86" s="45" t="str">
        <f t="array" ref="C86:G86">TRANSPOSE(_xll.FDS(A86,"TRANSPOSE(TRANSPOSE(FF_GEOREV_COUNTRY_REV_PCT_MATRIX)[1:1])[0:4]"))</f>
        <v>United States</v>
      </c>
      <c r="D86" s="45" t="str">
        <v>Canada</v>
      </c>
      <c r="E86" s="45" t="str">
        <v>Turkey</v>
      </c>
      <c r="F86" s="45" t="str">
        <v>Saudi Arabia</v>
      </c>
      <c r="G86" s="45" t="str">
        <v>Israel</v>
      </c>
      <c r="H86" s="46" t="str">
        <f t="array" ref="H86:L86">TRANSPOSE(_xll.FDS(A86,"TRANSPOSE(TRANSPOSE(FF_GEOREV_COUNTRY_REV_PCT_MATRIX)[2:2])[0:4]"))</f>
        <v>73.850079</v>
      </c>
      <c r="I86" s="47" t="str">
        <v>7.577207</v>
      </c>
      <c r="J86" s="47" t="str">
        <v>3.521314</v>
      </c>
      <c r="K86" s="47" t="str">
        <v>2.654936</v>
      </c>
      <c r="L86" s="47" t="str">
        <v>1.4291</v>
      </c>
      <c r="M86" s="42" t="str">
        <f t="shared" si="40"/>
        <v>United States</v>
      </c>
      <c r="N86" s="45" t="str">
        <f t="shared" si="41"/>
        <v>Canada</v>
      </c>
      <c r="O86" s="45" t="str">
        <f t="shared" si="42"/>
        <v>Turkey</v>
      </c>
      <c r="P86" s="45" t="str">
        <f t="shared" si="43"/>
        <v>Saudi Arabia</v>
      </c>
      <c r="Q86" s="45" t="str">
        <f t="shared" si="44"/>
        <v>Israel</v>
      </c>
      <c r="R86" s="46">
        <f t="shared" si="45"/>
        <v>0.74</v>
      </c>
      <c r="S86" s="46">
        <f t="shared" si="46"/>
        <v>0.08</v>
      </c>
      <c r="T86" s="46">
        <f t="shared" si="47"/>
        <v>0.04</v>
      </c>
      <c r="U86" s="46">
        <f t="shared" si="48"/>
        <v>0.03</v>
      </c>
      <c r="V86" s="46">
        <f t="shared" si="49"/>
        <v>0.01</v>
      </c>
      <c r="Y86" s="18" t="str">
        <f>'2 — IC Universe Table'!B87</f>
        <v>PSN-US</v>
      </c>
      <c r="Z86" s="18" t="str">
        <f>'2 — IC Universe Table'!C87</f>
        <v>Parsons Corporation</v>
      </c>
      <c r="AA86" s="45" t="str">
        <f t="array" ref="AA86:AE86">TRANSPOSE(_xll.FDS(Y86,"String_array Name= TRANSPOSE(TRANSPOSE(SA_SUBARRAY(FR_RBICS_REV_MATRIX_CURRENT(""IND""),1,9))[13:13]);float_array pct=TRANSPOSE(TRANSPOSE(SA_SUBARRAY(FR_RBICS_REV_MATRIX_CURRENT(""IND""),1,9))[14:14]);SORT_INDIRECT(Name,pct,2)[0:4]"))</f>
        <v>Industry-Specific Software</v>
      </c>
      <c r="AB86" s="45" t="str">
        <v>General Transportation and Related Services</v>
      </c>
      <c r="AC86" s="45" t="e">
        <v>#N/A</v>
      </c>
      <c r="AD86" s="45" t="e">
        <v>#N/A</v>
      </c>
      <c r="AE86" s="45" t="e">
        <v>#N/A</v>
      </c>
      <c r="AF86" s="45" t="str">
        <f t="array" ref="AF86:AJ86">TRANSPOSE(_xll.FDS(Y86,"String_array Name= TRANSPOSE(TRANSPOSE(SA_SUBARRAY(FR_RBICS_REV_MATRIX_CURRENT(""IND""),1,9))[14:14]);float_array pct=TRANSPOSE(TRANSPOSE(SA_SUBARRAY(FR_RBICS_REV_MATRIX_CURRENT(""IND""),1,9))[14:14]);SORT_INDIRECT(Name,pct,2)[0:4]"))</f>
        <v>59.359586</v>
      </c>
      <c r="AG86" s="47" t="str">
        <v>40.640414</v>
      </c>
      <c r="AH86" s="47" t="e">
        <v>#N/A</v>
      </c>
      <c r="AI86" s="47" t="e">
        <v>#N/A</v>
      </c>
      <c r="AJ86" s="48" t="e">
        <v>#N/A</v>
      </c>
      <c r="AK86" s="42" t="str">
        <f t="shared" si="50"/>
        <v>Industry-Specific Software</v>
      </c>
      <c r="AL86" s="45" t="str">
        <f t="shared" si="51"/>
        <v>General Transportation and Related Services</v>
      </c>
      <c r="AM86" s="45" t="str">
        <f t="shared" si="52"/>
        <v/>
      </c>
      <c r="AN86" s="45" t="str">
        <f t="shared" si="53"/>
        <v/>
      </c>
      <c r="AO86" s="45" t="str">
        <f t="shared" si="54"/>
        <v/>
      </c>
      <c r="AP86" s="46">
        <f t="shared" si="55"/>
        <v>0.59</v>
      </c>
      <c r="AQ86" s="46">
        <f t="shared" si="56"/>
        <v>0.41</v>
      </c>
      <c r="AR86" s="46" t="str">
        <f t="shared" si="57"/>
        <v/>
      </c>
      <c r="AS86" s="46" t="str">
        <f t="shared" si="58"/>
        <v/>
      </c>
      <c r="AT86" s="46" t="str">
        <f t="shared" si="59"/>
        <v/>
      </c>
    </row>
    <row r="87" spans="1:46" ht="15" customHeight="1" x14ac:dyDescent="0.25">
      <c r="A87" s="18" t="str">
        <f>'2 — IC Universe Table'!B88</f>
        <v>WTC-AU</v>
      </c>
      <c r="B87" s="18" t="str">
        <f>'2 — IC Universe Table'!C88</f>
        <v>Wisetech Global Ltd.</v>
      </c>
      <c r="C87" s="45" t="str">
        <f t="array" ref="C87:G87">TRANSPOSE(_xll.FDS(A87,"TRANSPOSE(TRANSPOSE(FF_GEOREV_COUNTRY_REV_PCT_MATRIX)[1:1])[0:4]"))</f>
        <v>United States</v>
      </c>
      <c r="D87" s="45" t="str">
        <v>Mainland China</v>
      </c>
      <c r="E87" s="45" t="str">
        <v>India</v>
      </c>
      <c r="F87" s="45" t="str">
        <v>Japan</v>
      </c>
      <c r="G87" s="45" t="str">
        <v>Canada</v>
      </c>
      <c r="H87" s="46" t="str">
        <f t="array" ref="H87:L87">TRANSPOSE(_xll.FDS(A87,"TRANSPOSE(TRANSPOSE(FF_GEOREV_COUNTRY_REV_PCT_MATRIX)[2:2])[0:4]"))</f>
        <v>20.331636</v>
      </c>
      <c r="I87" s="47" t="str">
        <v>5.253317</v>
      </c>
      <c r="J87" s="47" t="str">
        <v>4.435773</v>
      </c>
      <c r="K87" s="47" t="str">
        <v>4.435152</v>
      </c>
      <c r="L87" s="47" t="str">
        <v>3.862244</v>
      </c>
      <c r="M87" s="42" t="str">
        <f t="shared" si="40"/>
        <v>United States</v>
      </c>
      <c r="N87" s="45" t="str">
        <f t="shared" si="41"/>
        <v>Mainland China</v>
      </c>
      <c r="O87" s="45" t="str">
        <f t="shared" si="42"/>
        <v>India</v>
      </c>
      <c r="P87" s="45" t="str">
        <f t="shared" si="43"/>
        <v>Japan</v>
      </c>
      <c r="Q87" s="45" t="str">
        <f t="shared" si="44"/>
        <v>Canada</v>
      </c>
      <c r="R87" s="46">
        <f t="shared" si="45"/>
        <v>0.2</v>
      </c>
      <c r="S87" s="46">
        <f t="shared" si="46"/>
        <v>0.05</v>
      </c>
      <c r="T87" s="46">
        <f t="shared" si="47"/>
        <v>0.04</v>
      </c>
      <c r="U87" s="46">
        <f t="shared" si="48"/>
        <v>0.04</v>
      </c>
      <c r="V87" s="46">
        <f t="shared" si="49"/>
        <v>0.04</v>
      </c>
      <c r="Y87" s="18" t="str">
        <f>'2 — IC Universe Table'!B88</f>
        <v>WTC-AU</v>
      </c>
      <c r="Z87" s="18" t="str">
        <f>'2 — IC Universe Table'!C88</f>
        <v>Wisetech Global Ltd.</v>
      </c>
      <c r="AA87" s="45" t="str">
        <f t="array" ref="AA87:AE87">TRANSPOSE(_xll.FDS(Y87,"String_array Name= TRANSPOSE(TRANSPOSE(SA_SUBARRAY(FR_RBICS_REV_MATRIX_CURRENT(""IND""),1,9))[13:13]);float_array pct=TRANSPOSE(TRANSPOSE(SA_SUBARRAY(FR_RBICS_REV_MATRIX_CURRENT(""IND""),1,9))[14:14]);SORT_INDIRECT(Name,pct,2)[0:4]"))</f>
        <v>Enterprise Resource Planning Software</v>
      </c>
      <c r="AB87" s="45" t="e">
        <v>#N/A</v>
      </c>
      <c r="AC87" s="45" t="e">
        <v>#N/A</v>
      </c>
      <c r="AD87" s="45" t="e">
        <v>#N/A</v>
      </c>
      <c r="AE87" s="45" t="e">
        <v>#N/A</v>
      </c>
      <c r="AF87" s="45" t="str">
        <f t="array" ref="AF87:AJ87">TRANSPOSE(_xll.FDS(Y87,"String_array Name= TRANSPOSE(TRANSPOSE(SA_SUBARRAY(FR_RBICS_REV_MATRIX_CURRENT(""IND""),1,9))[14:14]);float_array pct=TRANSPOSE(TRANSPOSE(SA_SUBARRAY(FR_RBICS_REV_MATRIX_CURRENT(""IND""),1,9))[14:14]);SORT_INDIRECT(Name,pct,2)[0:4]"))</f>
        <v>100.000000</v>
      </c>
      <c r="AG87" s="47" t="e">
        <v>#N/A</v>
      </c>
      <c r="AH87" s="47" t="e">
        <v>#N/A</v>
      </c>
      <c r="AI87" s="47" t="e">
        <v>#N/A</v>
      </c>
      <c r="AJ87" s="48" t="e">
        <v>#N/A</v>
      </c>
      <c r="AK87" s="42" t="str">
        <f t="shared" si="50"/>
        <v>Enterprise Resource Planning Software</v>
      </c>
      <c r="AL87" s="45" t="str">
        <f t="shared" si="51"/>
        <v/>
      </c>
      <c r="AM87" s="45" t="str">
        <f t="shared" si="52"/>
        <v/>
      </c>
      <c r="AN87" s="45" t="str">
        <f t="shared" si="53"/>
        <v/>
      </c>
      <c r="AO87" s="45" t="str">
        <f t="shared" si="54"/>
        <v/>
      </c>
      <c r="AP87" s="46">
        <f t="shared" si="55"/>
        <v>1</v>
      </c>
      <c r="AQ87" s="46" t="str">
        <f t="shared" si="56"/>
        <v/>
      </c>
      <c r="AR87" s="46" t="str">
        <f t="shared" si="57"/>
        <v/>
      </c>
      <c r="AS87" s="46" t="str">
        <f t="shared" si="58"/>
        <v/>
      </c>
      <c r="AT87" s="46" t="str">
        <f t="shared" si="59"/>
        <v/>
      </c>
    </row>
    <row r="88" spans="1:46" ht="15" customHeight="1" x14ac:dyDescent="0.25">
      <c r="A88" s="18" t="str">
        <f>'2 — IC Universe Table'!B89</f>
        <v>600588-CN</v>
      </c>
      <c r="B88" s="18" t="str">
        <f>'2 — IC Universe Table'!C89</f>
        <v>Yonyou Network Technology Co. Ltd. Class A</v>
      </c>
      <c r="C88" s="45" t="str">
        <f t="array" ref="C88:G88">TRANSPOSE(_xll.FDS(A88,"TRANSPOSE(TRANSPOSE(FF_GEOREV_COUNTRY_REV_PCT_MATRIX)[1:1])[0:4]"))</f>
        <v>Mainland China</v>
      </c>
      <c r="D88" s="45" t="str">
        <v>Hong Kong</v>
      </c>
      <c r="E88" s="45" t="str">
        <v>United States</v>
      </c>
      <c r="F88" s="45" t="str">
        <v>Macau</v>
      </c>
      <c r="G88" s="45" t="str">
        <v>Germany</v>
      </c>
      <c r="H88" s="46" t="str">
        <f t="array" ref="H88:L88">TRANSPOSE(_xll.FDS(A88,"TRANSPOSE(TRANSPOSE(FF_GEOREV_COUNTRY_REV_PCT_MATRIX)[2:2])[0:4]"))</f>
        <v>95.193</v>
      </c>
      <c r="I88" s="47" t="str">
        <v>2.089403</v>
      </c>
      <c r="J88" s="47" t="str">
        <v>0.772877</v>
      </c>
      <c r="K88" s="47" t="str">
        <v>0.280849</v>
      </c>
      <c r="L88" s="47" t="str">
        <v>0.123288</v>
      </c>
      <c r="M88" s="42" t="str">
        <f t="shared" si="40"/>
        <v>Mainland China</v>
      </c>
      <c r="N88" s="45" t="str">
        <f t="shared" si="41"/>
        <v>Hong Kong</v>
      </c>
      <c r="O88" s="45" t="str">
        <f t="shared" si="42"/>
        <v>United States</v>
      </c>
      <c r="P88" s="45" t="str">
        <f t="shared" si="43"/>
        <v>Macau</v>
      </c>
      <c r="Q88" s="45" t="str">
        <f t="shared" si="44"/>
        <v>Germany</v>
      </c>
      <c r="R88" s="46">
        <f t="shared" si="45"/>
        <v>0.95</v>
      </c>
      <c r="S88" s="46">
        <f t="shared" si="46"/>
        <v>0.02</v>
      </c>
      <c r="T88" s="46">
        <f t="shared" si="47"/>
        <v>0.01</v>
      </c>
      <c r="U88" s="46">
        <f t="shared" si="48"/>
        <v>0</v>
      </c>
      <c r="V88" s="46">
        <f t="shared" si="49"/>
        <v>0</v>
      </c>
      <c r="Y88" s="18" t="str">
        <f>'2 — IC Universe Table'!B89</f>
        <v>600588-CN</v>
      </c>
      <c r="Z88" s="18" t="str">
        <f>'2 — IC Universe Table'!C89</f>
        <v>Yonyou Network Technology Co. Ltd. Class A</v>
      </c>
      <c r="AA88" s="45" t="str">
        <f t="array" ref="AA88:AE88">TRANSPOSE(_xll.FDS(Y88,"String_array Name= TRANSPOSE(TRANSPOSE(SA_SUBARRAY(FR_RBICS_REV_MATRIX_CURRENT(""IND""),1,9))[13:13]);float_array pct=TRANSPOSE(TRANSPOSE(SA_SUBARRAY(FR_RBICS_REV_MATRIX_CURRENT(""IND""),1,9))[14:14]);SORT_INDIRECT(Name,pct,2)[0:4]"))</f>
        <v>General Enterprise Management Software</v>
      </c>
      <c r="AB88" s="45" t="str">
        <v>General and Mixed-Type Software</v>
      </c>
      <c r="AC88" s="45" t="str">
        <v>Enterprise Resource Planning Software</v>
      </c>
      <c r="AD88" s="45" t="e">
        <v>#N/A</v>
      </c>
      <c r="AE88" s="45" t="e">
        <v>#N/A</v>
      </c>
      <c r="AF88" s="45" t="str">
        <f t="array" ref="AF88:AJ88">TRANSPOSE(_xll.FDS(Y88,"String_array Name= TRANSPOSE(TRANSPOSE(SA_SUBARRAY(FR_RBICS_REV_MATRIX_CURRENT(""IND""),1,9))[14:14]);float_array pct=TRANSPOSE(TRANSPOSE(SA_SUBARRAY(FR_RBICS_REV_MATRIX_CURRENT(""IND""),1,9))[14:14]);SORT_INDIRECT(Name,pct,2)[0:4]"))</f>
        <v>95.172406</v>
      </c>
      <c r="AG88" s="47" t="str">
        <v>3.014072</v>
      </c>
      <c r="AH88" s="47" t="str">
        <v>1.813522</v>
      </c>
      <c r="AI88" s="47" t="e">
        <v>#N/A</v>
      </c>
      <c r="AJ88" s="48" t="e">
        <v>#N/A</v>
      </c>
      <c r="AK88" s="42" t="str">
        <f t="shared" si="50"/>
        <v>General Enterprise Management Software</v>
      </c>
      <c r="AL88" s="45" t="str">
        <f t="shared" si="51"/>
        <v>General and Mixed-Type Software</v>
      </c>
      <c r="AM88" s="45" t="str">
        <f t="shared" si="52"/>
        <v>Enterprise Resource Planning Software</v>
      </c>
      <c r="AN88" s="45" t="str">
        <f t="shared" si="53"/>
        <v/>
      </c>
      <c r="AO88" s="45" t="str">
        <f t="shared" si="54"/>
        <v/>
      </c>
      <c r="AP88" s="46">
        <f t="shared" si="55"/>
        <v>0.95</v>
      </c>
      <c r="AQ88" s="46">
        <f t="shared" si="56"/>
        <v>0.03</v>
      </c>
      <c r="AR88" s="46">
        <f t="shared" si="57"/>
        <v>0.02</v>
      </c>
      <c r="AS88" s="46" t="str">
        <f t="shared" si="58"/>
        <v/>
      </c>
      <c r="AT88" s="46" t="str">
        <f t="shared" si="59"/>
        <v/>
      </c>
    </row>
    <row r="89" spans="1:46" ht="15" customHeight="1" x14ac:dyDescent="0.25">
      <c r="A89" s="18" t="str">
        <f>'2 — IC Universe Table'!B90</f>
        <v>600536-CN</v>
      </c>
      <c r="B89" s="18" t="str">
        <f>'2 — IC Universe Table'!C90</f>
        <v>China National Software &amp; Service Company Limited Class A</v>
      </c>
      <c r="C89" s="45" t="str">
        <f t="array" ref="C89:G89">TRANSPOSE(_xll.FDS(A89,"TRANSPOSE(TRANSPOSE(FF_GEOREV_COUNTRY_REV_PCT_MATRIX)[1:1])[0:4]"))</f>
        <v>Mainland China</v>
      </c>
      <c r="D89" s="45" t="str">
        <v>Hong Kong</v>
      </c>
      <c r="E89" s="45" t="str">
        <v>United States</v>
      </c>
      <c r="F89" s="45" t="str">
        <v>Macau</v>
      </c>
      <c r="G89" s="45" t="str">
        <v>Europe Unallocated Revenue</v>
      </c>
      <c r="H89" s="46" t="str">
        <f t="array" ref="H89:L89">TRANSPOSE(_xll.FDS(A89,"TRANSPOSE(TRANSPOSE(FF_GEOREV_COUNTRY_REV_PCT_MATRIX)[2:2])[0:4]"))</f>
        <v>96.525745</v>
      </c>
      <c r="I89" s="47" t="str">
        <v>2.118656</v>
      </c>
      <c r="J89" s="47" t="str">
        <v>0.339638</v>
      </c>
      <c r="K89" s="47" t="str">
        <v>0.284781</v>
      </c>
      <c r="L89" s="47" t="str">
        <v>0.085594</v>
      </c>
      <c r="M89" s="42" t="str">
        <f t="shared" si="40"/>
        <v>Mainland China</v>
      </c>
      <c r="N89" s="45" t="str">
        <f t="shared" si="41"/>
        <v>Hong Kong</v>
      </c>
      <c r="O89" s="45" t="str">
        <f t="shared" si="42"/>
        <v>United States</v>
      </c>
      <c r="P89" s="45" t="str">
        <f t="shared" si="43"/>
        <v>Macau</v>
      </c>
      <c r="Q89" s="45" t="str">
        <f t="shared" si="44"/>
        <v>Europe Unallocated Revenue</v>
      </c>
      <c r="R89" s="46">
        <f t="shared" si="45"/>
        <v>0.97</v>
      </c>
      <c r="S89" s="46">
        <f t="shared" si="46"/>
        <v>0.02</v>
      </c>
      <c r="T89" s="46">
        <f t="shared" si="47"/>
        <v>0</v>
      </c>
      <c r="U89" s="46">
        <f t="shared" si="48"/>
        <v>0</v>
      </c>
      <c r="V89" s="46">
        <f t="shared" si="49"/>
        <v>0</v>
      </c>
      <c r="Y89" s="18" t="str">
        <f>'2 — IC Universe Table'!B90</f>
        <v>600536-CN</v>
      </c>
      <c r="Z89" s="18" t="str">
        <f>'2 — IC Universe Table'!C90</f>
        <v>China National Software &amp; Service Company Limited Class A</v>
      </c>
      <c r="AA89" s="45" t="str">
        <f t="array" ref="AA89:AE89">TRANSPOSE(_xll.FDS(Y89,"String_array Name= TRANSPOSE(TRANSPOSE(SA_SUBARRAY(FR_RBICS_REV_MATRIX_CURRENT(""IND""),1,9))[13:13]);float_array pct=TRANSPOSE(TRANSPOSE(SA_SUBARRAY(FR_RBICS_REV_MATRIX_CURRENT(""IND""),1,9))[14:14]);SORT_INDIRECT(Name,pct,2)[0:4]"))</f>
        <v>Industry-Specific Software</v>
      </c>
      <c r="AB89" s="45" t="str">
        <v>Diversified IT Infrastructure Software</v>
      </c>
      <c r="AC89" s="45" t="str">
        <v>General or Multi-Industry Revenue</v>
      </c>
      <c r="AD89" s="45" t="e">
        <v>#N/A</v>
      </c>
      <c r="AE89" s="45" t="e">
        <v>#N/A</v>
      </c>
      <c r="AF89" s="45" t="str">
        <f t="array" ref="AF89:AJ89">TRANSPOSE(_xll.FDS(Y89,"String_array Name= TRANSPOSE(TRANSPOSE(SA_SUBARRAY(FR_RBICS_REV_MATRIX_CURRENT(""IND""),1,9))[14:14]);float_array pct=TRANSPOSE(TRANSPOSE(SA_SUBARRAY(FR_RBICS_REV_MATRIX_CURRENT(""IND""),1,9))[14:14]);SORT_INDIRECT(Name,pct,2)[0:4]"))</f>
        <v>66.292820</v>
      </c>
      <c r="AG89" s="47" t="str">
        <v>33.075277</v>
      </c>
      <c r="AH89" s="47" t="str">
        <v>0.631903</v>
      </c>
      <c r="AI89" s="47" t="e">
        <v>#N/A</v>
      </c>
      <c r="AJ89" s="48" t="e">
        <v>#N/A</v>
      </c>
      <c r="AK89" s="42" t="str">
        <f t="shared" si="50"/>
        <v>Industry-Specific Software</v>
      </c>
      <c r="AL89" s="45" t="str">
        <f t="shared" si="51"/>
        <v>Diversified IT Infrastructure Software</v>
      </c>
      <c r="AM89" s="45" t="str">
        <f t="shared" si="52"/>
        <v>General or Multi-Industry Revenue</v>
      </c>
      <c r="AN89" s="45" t="str">
        <f t="shared" si="53"/>
        <v/>
      </c>
      <c r="AO89" s="45" t="str">
        <f t="shared" si="54"/>
        <v/>
      </c>
      <c r="AP89" s="46">
        <f t="shared" si="55"/>
        <v>0.66</v>
      </c>
      <c r="AQ89" s="46">
        <f t="shared" si="56"/>
        <v>0.33</v>
      </c>
      <c r="AR89" s="46">
        <f t="shared" si="57"/>
        <v>0.01</v>
      </c>
      <c r="AS89" s="46" t="str">
        <f t="shared" si="58"/>
        <v/>
      </c>
      <c r="AT89" s="46" t="str">
        <f t="shared" si="59"/>
        <v/>
      </c>
    </row>
    <row r="90" spans="1:46" ht="15" customHeight="1" x14ac:dyDescent="0.25">
      <c r="A90" s="18" t="str">
        <f>'2 — IC Universe Table'!B91</f>
        <v>402340-KR</v>
      </c>
      <c r="B90" s="18" t="str">
        <f>'2 — IC Universe Table'!C91</f>
        <v>SK Square Co., Ltd.</v>
      </c>
      <c r="C90" s="45" t="str">
        <f t="array" ref="C90:G90">TRANSPOSE(_xll.FDS(A90,"TRANSPOSE(TRANSPOSE(FF_GEOREV_COUNTRY_REV_PCT_MATRIX)[1:1])[0:4]"))</f>
        <v>Republic of Korea (South Korea)</v>
      </c>
      <c r="D90" s="45" t="str">
        <v>United States</v>
      </c>
      <c r="E90" s="45" t="str">
        <v>Mainland China</v>
      </c>
      <c r="F90" s="45" t="str">
        <v>Germany</v>
      </c>
      <c r="G90" s="45" t="str">
        <v>Japan</v>
      </c>
      <c r="H90" s="46" t="str">
        <f t="array" ref="H90:L90">TRANSPOSE(_xll.FDS(A90,"TRANSPOSE(TRANSPOSE(FF_GEOREV_COUNTRY_REV_PCT_MATRIX)[2:2])[0:4]"))</f>
        <v>93.445228</v>
      </c>
      <c r="I90" s="47" t="str">
        <v>1.747196</v>
      </c>
      <c r="J90" s="47" t="str">
        <v>1.12505</v>
      </c>
      <c r="K90" s="47" t="str">
        <v>0.278709</v>
      </c>
      <c r="L90" s="47" t="str">
        <v>0.249531</v>
      </c>
      <c r="M90" s="42" t="str">
        <f t="shared" si="40"/>
        <v>Republic of Korea (South Korea)</v>
      </c>
      <c r="N90" s="45" t="str">
        <f t="shared" si="41"/>
        <v>United States</v>
      </c>
      <c r="O90" s="45" t="str">
        <f t="shared" si="42"/>
        <v>Mainland China</v>
      </c>
      <c r="P90" s="45" t="str">
        <f t="shared" si="43"/>
        <v>Germany</v>
      </c>
      <c r="Q90" s="45" t="str">
        <f t="shared" si="44"/>
        <v>Japan</v>
      </c>
      <c r="R90" s="46">
        <f t="shared" si="45"/>
        <v>0.93</v>
      </c>
      <c r="S90" s="46">
        <f t="shared" si="46"/>
        <v>0.02</v>
      </c>
      <c r="T90" s="46">
        <f t="shared" si="47"/>
        <v>0.01</v>
      </c>
      <c r="U90" s="46">
        <f t="shared" si="48"/>
        <v>0</v>
      </c>
      <c r="V90" s="46">
        <f t="shared" si="49"/>
        <v>0</v>
      </c>
      <c r="Y90" s="18" t="str">
        <f>'2 — IC Universe Table'!B91</f>
        <v>402340-KR</v>
      </c>
      <c r="Z90" s="18" t="str">
        <f>'2 — IC Universe Table'!C91</f>
        <v>SK Square Co., Ltd.</v>
      </c>
      <c r="AA90" s="45" t="str">
        <f t="array" ref="AA90:AE90">TRANSPOSE(_xll.FDS(Y90,"String_array Name= TRANSPOSE(TRANSPOSE(SA_SUBARRAY(FR_RBICS_REV_MATRIX_CURRENT(""IND""),1,9))[13:13]);float_array pct=TRANSPOSE(TRANSPOSE(SA_SUBARRAY(FR_RBICS_REV_MATRIX_CURRENT(""IND""),1,9))[14:14]);SORT_INDIRECT(Name,pct,2)[0:4]"))</f>
        <v>Customer Relationship Management Software</v>
      </c>
      <c r="AB90" s="45" t="str">
        <v>Logistics and Supply Chain Service Providers</v>
      </c>
      <c r="AC90" s="45" t="str">
        <v>Internet Department Stores</v>
      </c>
      <c r="AD90" s="45" t="str">
        <v>Marketing Specialists</v>
      </c>
      <c r="AE90" s="45" t="str">
        <v>Investment Company</v>
      </c>
      <c r="AF90" s="45" t="str">
        <f t="array" ref="AF90:AJ90">TRANSPOSE(_xll.FDS(Y90,"String_array Name= TRANSPOSE(TRANSPOSE(SA_SUBARRAY(FR_RBICS_REV_MATRIX_CURRENT(""IND""),1,9))[14:14]);float_array pct=TRANSPOSE(TRANSPOSE(SA_SUBARRAY(FR_RBICS_REV_MATRIX_CURRENT(""IND""),1,9))[14:14]);SORT_INDIRECT(Name,pct,2)[0:4]"))</f>
        <v>34.319797</v>
      </c>
      <c r="AG90" s="47" t="str">
        <v>31.111851</v>
      </c>
      <c r="AH90" s="47" t="str">
        <v>29.453779</v>
      </c>
      <c r="AI90" s="47" t="str">
        <v>5.105027</v>
      </c>
      <c r="AJ90" s="48" t="str">
        <v>0.009546</v>
      </c>
      <c r="AK90" s="42" t="str">
        <f t="shared" si="50"/>
        <v>Customer Relationship Management Software</v>
      </c>
      <c r="AL90" s="45" t="str">
        <f t="shared" si="51"/>
        <v>Logistics and Supply Chain Service Providers</v>
      </c>
      <c r="AM90" s="45" t="str">
        <f t="shared" si="52"/>
        <v>Internet Department Stores</v>
      </c>
      <c r="AN90" s="45" t="str">
        <f t="shared" si="53"/>
        <v>Marketing Specialists</v>
      </c>
      <c r="AO90" s="45" t="str">
        <f t="shared" si="54"/>
        <v>Investment Company</v>
      </c>
      <c r="AP90" s="46">
        <f t="shared" si="55"/>
        <v>0.34</v>
      </c>
      <c r="AQ90" s="46">
        <f t="shared" si="56"/>
        <v>0.31</v>
      </c>
      <c r="AR90" s="46">
        <f t="shared" si="57"/>
        <v>0.28999999999999998</v>
      </c>
      <c r="AS90" s="46">
        <f t="shared" si="58"/>
        <v>0.05</v>
      </c>
      <c r="AT90" s="46">
        <f t="shared" si="59"/>
        <v>0</v>
      </c>
    </row>
    <row r="91" spans="1:46" ht="15" customHeight="1" x14ac:dyDescent="0.25">
      <c r="C91" s="45" t="e">
        <f t="array" ref="C91">TRANSPOSE(_xll.FDS(A91,"TRANSPOSE(TRANSPOSE(FF_GEOREV_COUNTRY_REV_PCT_MATRIX)[1:1])[0:4]"))</f>
        <v>#N/A</v>
      </c>
      <c r="D91" s="45"/>
      <c r="E91" s="45"/>
      <c r="F91" s="45"/>
      <c r="G91" s="45"/>
      <c r="H91" s="46" t="e">
        <f t="array" ref="H91">TRANSPOSE(_xll.FDS(A91,"TRANSPOSE(TRANSPOSE(FF_GEOREV_COUNTRY_REV_PCT_MATRIX)[2:2])[0:4]"))</f>
        <v>#N/A</v>
      </c>
      <c r="I91" s="47"/>
      <c r="J91" s="47"/>
      <c r="K91" s="47"/>
      <c r="L91" s="47"/>
      <c r="M91" s="42" t="str">
        <f t="shared" si="40"/>
        <v/>
      </c>
      <c r="N91" s="45">
        <f t="shared" si="41"/>
        <v>0</v>
      </c>
      <c r="O91" s="45">
        <f t="shared" si="42"/>
        <v>0</v>
      </c>
      <c r="P91" s="45">
        <f t="shared" si="43"/>
        <v>0</v>
      </c>
      <c r="Q91" s="45">
        <f t="shared" si="44"/>
        <v>0</v>
      </c>
      <c r="R91" s="46" t="str">
        <f t="shared" si="45"/>
        <v/>
      </c>
      <c r="S91" s="46">
        <f t="shared" si="46"/>
        <v>0</v>
      </c>
      <c r="T91" s="46">
        <f t="shared" si="47"/>
        <v>0</v>
      </c>
      <c r="U91" s="46">
        <f t="shared" si="48"/>
        <v>0</v>
      </c>
      <c r="V91" s="46">
        <f t="shared" si="49"/>
        <v>0</v>
      </c>
      <c r="Y91" s="45"/>
      <c r="Z91" s="45"/>
      <c r="AA91" s="45" t="e">
        <f t="array" ref="AA91">TRANSPOSE(_xll.FDS(Y91,"String_array Name= TRANSPOSE(TRANSPOSE(SA_SUBARRAY(FR_RBICS_REV_MATRIX_CURRENT(""IND""),1,9))[13:13]);float_array pct=TRANSPOSE(TRANSPOSE(SA_SUBARRAY(FR_RBICS_REV_MATRIX_CURRENT(""IND""),1,9))[14:14]);SORT_INDIRECT(Name,pct,2)[0:4]"))</f>
        <v>#N/A</v>
      </c>
      <c r="AB91" s="45"/>
      <c r="AC91" s="45"/>
      <c r="AD91" s="45"/>
      <c r="AE91" s="45"/>
      <c r="AF91" s="45" t="e">
        <f t="array" ref="AF91">TRANSPOSE(_xll.FDS(Y91,"String_array Name= TRANSPOSE(TRANSPOSE(SA_SUBARRAY(FR_RBICS_REV_MATRIX_CURRENT(""IND""),1,9))[14:14]);float_array pct=TRANSPOSE(TRANSPOSE(SA_SUBARRAY(FR_RBICS_REV_MATRIX_CURRENT(""IND""),1,9))[14:14]);SORT_INDIRECT(Name,pct,2)[0:4]"))</f>
        <v>#N/A</v>
      </c>
      <c r="AG91" s="47"/>
      <c r="AH91" s="47"/>
      <c r="AI91" s="47"/>
      <c r="AJ91" s="48"/>
      <c r="AK91" s="42" t="str">
        <f t="shared" si="50"/>
        <v/>
      </c>
      <c r="AL91" s="45">
        <f t="shared" si="51"/>
        <v>0</v>
      </c>
      <c r="AM91" s="45">
        <f t="shared" si="52"/>
        <v>0</v>
      </c>
      <c r="AN91" s="45">
        <f t="shared" si="53"/>
        <v>0</v>
      </c>
      <c r="AO91" s="45">
        <f t="shared" si="54"/>
        <v>0</v>
      </c>
      <c r="AP91" s="46" t="str">
        <f t="shared" si="55"/>
        <v/>
      </c>
      <c r="AQ91" s="46">
        <f t="shared" si="56"/>
        <v>0</v>
      </c>
      <c r="AR91" s="46">
        <f t="shared" si="57"/>
        <v>0</v>
      </c>
      <c r="AS91" s="46">
        <f t="shared" si="58"/>
        <v>0</v>
      </c>
      <c r="AT91" s="46">
        <f t="shared" si="59"/>
        <v>0</v>
      </c>
    </row>
    <row r="92" spans="1:46" ht="15" customHeight="1" x14ac:dyDescent="0.25">
      <c r="C92" s="45"/>
      <c r="D92" s="45"/>
      <c r="E92" s="45"/>
      <c r="F92" s="45"/>
      <c r="G92" s="45"/>
      <c r="H92" s="47"/>
      <c r="I92" s="47"/>
      <c r="J92" s="47"/>
      <c r="K92" s="47"/>
      <c r="L92" s="47"/>
      <c r="N92" s="45"/>
      <c r="O92" s="45"/>
      <c r="P92" s="45"/>
      <c r="Q92" s="45"/>
      <c r="R92" s="47"/>
      <c r="S92" s="47"/>
      <c r="T92" s="47"/>
      <c r="U92" s="47"/>
      <c r="V92" s="49"/>
      <c r="Y92" s="45"/>
      <c r="Z92" s="45"/>
      <c r="AA92" s="45"/>
      <c r="AB92" s="45"/>
      <c r="AC92" s="45"/>
      <c r="AD92" s="45"/>
      <c r="AE92" s="45"/>
      <c r="AF92" s="47"/>
      <c r="AG92" s="47"/>
      <c r="AH92" s="47"/>
      <c r="AI92" s="47"/>
      <c r="AJ92" s="47"/>
      <c r="AK92" s="45"/>
      <c r="AL92" s="45"/>
      <c r="AM92" s="45"/>
      <c r="AN92" s="45"/>
      <c r="AO92" s="45"/>
      <c r="AP92" s="47"/>
      <c r="AQ92" s="47"/>
      <c r="AR92" s="47"/>
      <c r="AS92" s="47"/>
      <c r="AT92" s="47"/>
    </row>
    <row r="93" spans="1:46" ht="15" customHeight="1" x14ac:dyDescent="0.25">
      <c r="C93" s="45"/>
      <c r="D93" s="45"/>
      <c r="E93" s="45"/>
      <c r="F93" s="45"/>
      <c r="G93" s="45"/>
      <c r="H93" s="47"/>
      <c r="I93" s="47"/>
      <c r="J93" s="47"/>
      <c r="K93" s="47"/>
      <c r="L93" s="47"/>
      <c r="N93" s="45"/>
      <c r="O93" s="45"/>
      <c r="P93" s="45"/>
      <c r="Q93" s="45"/>
      <c r="R93" s="47"/>
      <c r="S93" s="47"/>
      <c r="T93" s="47"/>
      <c r="U93" s="47"/>
      <c r="V93" s="49"/>
      <c r="Y93" s="45"/>
      <c r="Z93" s="45"/>
      <c r="AA93" s="45"/>
      <c r="AB93" s="45"/>
      <c r="AC93" s="45"/>
      <c r="AD93" s="45"/>
      <c r="AE93" s="45"/>
      <c r="AF93" s="47"/>
      <c r="AG93" s="47"/>
      <c r="AH93" s="47"/>
      <c r="AI93" s="47"/>
      <c r="AJ93" s="47"/>
      <c r="AK93" s="45"/>
      <c r="AL93" s="45"/>
      <c r="AM93" s="45"/>
      <c r="AN93" s="45"/>
      <c r="AO93" s="45"/>
      <c r="AP93" s="47"/>
      <c r="AQ93" s="47"/>
      <c r="AR93" s="47"/>
      <c r="AS93" s="47"/>
      <c r="AT93" s="47"/>
    </row>
    <row r="94" spans="1:46" ht="15" customHeight="1" x14ac:dyDescent="0.25">
      <c r="C94" s="45"/>
      <c r="D94" s="45"/>
      <c r="E94" s="45"/>
      <c r="F94" s="45"/>
      <c r="G94" s="45"/>
      <c r="H94" s="47"/>
      <c r="I94" s="47"/>
      <c r="J94" s="47"/>
      <c r="K94" s="47"/>
      <c r="L94" s="47"/>
      <c r="N94" s="45"/>
      <c r="O94" s="45"/>
      <c r="P94" s="45"/>
      <c r="Q94" s="45"/>
      <c r="R94" s="47"/>
      <c r="S94" s="47"/>
      <c r="T94" s="47"/>
      <c r="U94" s="47"/>
      <c r="V94" s="49"/>
      <c r="Y94" s="45"/>
      <c r="Z94" s="45"/>
      <c r="AA94" s="45"/>
      <c r="AB94" s="45"/>
      <c r="AC94" s="45"/>
      <c r="AD94" s="45"/>
      <c r="AE94" s="45"/>
      <c r="AF94" s="47"/>
      <c r="AG94" s="47"/>
      <c r="AH94" s="47"/>
      <c r="AI94" s="47"/>
      <c r="AJ94" s="47"/>
      <c r="AK94" s="45"/>
      <c r="AL94" s="45"/>
      <c r="AM94" s="45"/>
      <c r="AN94" s="45"/>
      <c r="AO94" s="45"/>
      <c r="AP94" s="47"/>
      <c r="AQ94" s="47"/>
      <c r="AR94" s="47"/>
      <c r="AS94" s="47"/>
      <c r="AT94" s="47"/>
    </row>
    <row r="95" spans="1:46" ht="15" customHeight="1" x14ac:dyDescent="0.25">
      <c r="C95" s="45"/>
      <c r="D95" s="45"/>
      <c r="E95" s="45"/>
      <c r="F95" s="45"/>
      <c r="G95" s="45"/>
      <c r="H95" s="47"/>
      <c r="I95" s="47"/>
      <c r="J95" s="47"/>
      <c r="K95" s="47"/>
      <c r="L95" s="47"/>
      <c r="N95" s="45"/>
      <c r="O95" s="45"/>
      <c r="P95" s="45"/>
      <c r="Q95" s="45"/>
      <c r="R95" s="47"/>
      <c r="S95" s="47"/>
      <c r="T95" s="47"/>
      <c r="U95" s="47"/>
      <c r="V95" s="49"/>
      <c r="Y95" s="45"/>
      <c r="Z95" s="45"/>
      <c r="AA95" s="45"/>
      <c r="AB95" s="45"/>
      <c r="AC95" s="45"/>
      <c r="AD95" s="45"/>
      <c r="AE95" s="45"/>
      <c r="AF95" s="47"/>
      <c r="AG95" s="47"/>
      <c r="AH95" s="47"/>
      <c r="AI95" s="47"/>
      <c r="AJ95" s="47"/>
      <c r="AK95" s="45"/>
      <c r="AL95" s="45"/>
      <c r="AM95" s="45"/>
      <c r="AN95" s="45"/>
      <c r="AO95" s="45"/>
      <c r="AP95" s="47"/>
      <c r="AQ95" s="47"/>
      <c r="AR95" s="47"/>
      <c r="AS95" s="47"/>
      <c r="AT95" s="47"/>
    </row>
    <row r="96" spans="1:46" ht="15" customHeight="1" x14ac:dyDescent="0.25">
      <c r="C96" s="45"/>
      <c r="D96" s="45"/>
      <c r="E96" s="45"/>
      <c r="F96" s="45"/>
      <c r="G96" s="45"/>
      <c r="H96" s="47"/>
      <c r="I96" s="47"/>
      <c r="J96" s="47"/>
      <c r="K96" s="47"/>
      <c r="L96" s="47"/>
      <c r="N96" s="45"/>
      <c r="O96" s="45"/>
      <c r="P96" s="45"/>
      <c r="Q96" s="45"/>
      <c r="R96" s="47"/>
      <c r="S96" s="47"/>
      <c r="T96" s="47"/>
      <c r="U96" s="47"/>
      <c r="V96" s="49"/>
      <c r="Y96" s="45"/>
      <c r="Z96" s="45"/>
      <c r="AA96" s="45"/>
      <c r="AB96" s="45"/>
      <c r="AC96" s="45"/>
      <c r="AD96" s="45"/>
      <c r="AE96" s="45"/>
      <c r="AF96" s="47"/>
      <c r="AG96" s="47"/>
      <c r="AH96" s="47"/>
      <c r="AI96" s="47"/>
      <c r="AJ96" s="47"/>
      <c r="AK96" s="45"/>
      <c r="AL96" s="45"/>
      <c r="AM96" s="45"/>
      <c r="AN96" s="45"/>
      <c r="AO96" s="45"/>
      <c r="AP96" s="47"/>
      <c r="AQ96" s="47"/>
      <c r="AR96" s="47"/>
      <c r="AS96" s="47"/>
      <c r="AT96" s="47"/>
    </row>
    <row r="97" spans="3:46" ht="15" customHeight="1" x14ac:dyDescent="0.25">
      <c r="C97" s="45"/>
      <c r="D97" s="45"/>
      <c r="E97" s="45"/>
      <c r="F97" s="45"/>
      <c r="G97" s="45"/>
      <c r="H97" s="47"/>
      <c r="I97" s="47"/>
      <c r="J97" s="47"/>
      <c r="K97" s="47"/>
      <c r="L97" s="47"/>
      <c r="N97" s="45"/>
      <c r="O97" s="45"/>
      <c r="P97" s="45"/>
      <c r="Q97" s="45"/>
      <c r="R97" s="47"/>
      <c r="S97" s="47"/>
      <c r="T97" s="47"/>
      <c r="U97" s="47"/>
      <c r="V97" s="49"/>
      <c r="Y97" s="45"/>
      <c r="Z97" s="45"/>
      <c r="AA97" s="45"/>
      <c r="AB97" s="45"/>
      <c r="AC97" s="45"/>
      <c r="AD97" s="45"/>
      <c r="AE97" s="45"/>
      <c r="AF97" s="47"/>
      <c r="AG97" s="47"/>
      <c r="AH97" s="47"/>
      <c r="AI97" s="47"/>
      <c r="AJ97" s="47"/>
      <c r="AK97" s="45"/>
      <c r="AL97" s="45"/>
      <c r="AM97" s="45"/>
      <c r="AN97" s="45"/>
      <c r="AO97" s="45"/>
      <c r="AP97" s="47"/>
      <c r="AQ97" s="47"/>
      <c r="AR97" s="47"/>
      <c r="AS97" s="47"/>
      <c r="AT97" s="47"/>
    </row>
    <row r="98" spans="3:46" ht="15" customHeight="1" x14ac:dyDescent="0.25">
      <c r="C98" s="45"/>
      <c r="D98" s="45"/>
      <c r="E98" s="45"/>
      <c r="F98" s="45"/>
      <c r="G98" s="45"/>
      <c r="H98" s="47"/>
      <c r="I98" s="47"/>
      <c r="J98" s="47"/>
      <c r="K98" s="47"/>
      <c r="L98" s="47"/>
      <c r="N98" s="45"/>
      <c r="O98" s="45"/>
      <c r="P98" s="45"/>
      <c r="Q98" s="45"/>
      <c r="R98" s="47"/>
      <c r="S98" s="47"/>
      <c r="T98" s="47"/>
      <c r="U98" s="47"/>
      <c r="V98" s="49"/>
      <c r="Y98" s="45"/>
      <c r="Z98" s="45"/>
      <c r="AA98" s="45"/>
      <c r="AB98" s="45"/>
      <c r="AC98" s="45"/>
      <c r="AD98" s="45"/>
      <c r="AE98" s="45"/>
      <c r="AF98" s="47"/>
      <c r="AG98" s="47"/>
      <c r="AH98" s="47"/>
      <c r="AI98" s="47"/>
      <c r="AJ98" s="47"/>
      <c r="AK98" s="45"/>
      <c r="AL98" s="45"/>
      <c r="AM98" s="45"/>
      <c r="AN98" s="45"/>
      <c r="AO98" s="45"/>
      <c r="AP98" s="47"/>
      <c r="AQ98" s="47"/>
      <c r="AR98" s="47"/>
      <c r="AS98" s="47"/>
      <c r="AT98" s="47"/>
    </row>
    <row r="99" spans="3:46" ht="15" customHeight="1" x14ac:dyDescent="0.25">
      <c r="C99" s="45"/>
      <c r="D99" s="45"/>
      <c r="E99" s="45"/>
      <c r="F99" s="45"/>
      <c r="G99" s="45"/>
      <c r="H99" s="47"/>
      <c r="I99" s="47"/>
      <c r="J99" s="47"/>
      <c r="K99" s="47"/>
      <c r="L99" s="47"/>
      <c r="N99" s="45"/>
      <c r="O99" s="45"/>
      <c r="P99" s="45"/>
      <c r="Q99" s="45"/>
      <c r="R99" s="47"/>
      <c r="S99" s="47"/>
      <c r="T99" s="47"/>
      <c r="U99" s="47"/>
      <c r="V99" s="49"/>
      <c r="Y99" s="45"/>
      <c r="Z99" s="45"/>
      <c r="AA99" s="45"/>
      <c r="AB99" s="45"/>
      <c r="AC99" s="45"/>
      <c r="AD99" s="45"/>
      <c r="AE99" s="45"/>
      <c r="AF99" s="47"/>
      <c r="AG99" s="47"/>
      <c r="AH99" s="47"/>
      <c r="AI99" s="47"/>
      <c r="AJ99" s="47"/>
      <c r="AK99" s="45"/>
      <c r="AL99" s="45"/>
      <c r="AM99" s="45"/>
      <c r="AN99" s="45"/>
      <c r="AO99" s="45"/>
      <c r="AP99" s="47"/>
      <c r="AQ99" s="47"/>
      <c r="AR99" s="47"/>
      <c r="AS99" s="47"/>
      <c r="AT99" s="47"/>
    </row>
    <row r="100" spans="3:46" ht="15" customHeight="1" x14ac:dyDescent="0.25">
      <c r="C100" s="45"/>
      <c r="D100" s="45"/>
      <c r="E100" s="45"/>
      <c r="F100" s="45"/>
      <c r="G100" s="45"/>
      <c r="H100" s="47"/>
      <c r="I100" s="47"/>
      <c r="J100" s="47"/>
      <c r="K100" s="47"/>
      <c r="L100" s="47"/>
      <c r="N100" s="45"/>
      <c r="O100" s="45"/>
      <c r="P100" s="45"/>
      <c r="Q100" s="45"/>
      <c r="R100" s="47"/>
      <c r="S100" s="47"/>
      <c r="T100" s="47"/>
      <c r="U100" s="47"/>
      <c r="V100" s="49"/>
      <c r="Y100" s="45"/>
      <c r="Z100" s="45"/>
      <c r="AA100" s="45"/>
      <c r="AB100" s="45"/>
      <c r="AC100" s="45"/>
      <c r="AD100" s="45"/>
      <c r="AE100" s="45"/>
      <c r="AF100" s="47"/>
      <c r="AG100" s="47"/>
      <c r="AH100" s="47"/>
      <c r="AI100" s="47"/>
      <c r="AJ100" s="47"/>
      <c r="AK100" s="45"/>
      <c r="AL100" s="45"/>
      <c r="AM100" s="45"/>
      <c r="AN100" s="45"/>
      <c r="AO100" s="45"/>
      <c r="AP100" s="47"/>
      <c r="AQ100" s="47"/>
      <c r="AR100" s="47"/>
      <c r="AS100" s="47"/>
      <c r="AT100" s="47"/>
    </row>
    <row r="101" spans="3:46" ht="15" customHeight="1" x14ac:dyDescent="0.25">
      <c r="C101" s="45"/>
      <c r="D101" s="45"/>
      <c r="E101" s="45"/>
      <c r="F101" s="45"/>
      <c r="G101" s="45"/>
      <c r="H101" s="47"/>
      <c r="I101" s="47"/>
      <c r="J101" s="47"/>
      <c r="K101" s="47"/>
      <c r="L101" s="47"/>
      <c r="N101" s="45"/>
      <c r="O101" s="45"/>
      <c r="P101" s="45"/>
      <c r="Q101" s="45"/>
      <c r="R101" s="47"/>
      <c r="S101" s="47"/>
      <c r="T101" s="47"/>
      <c r="U101" s="47"/>
      <c r="V101" s="49"/>
      <c r="Y101" s="45"/>
      <c r="Z101" s="45"/>
      <c r="AA101" s="45"/>
      <c r="AB101" s="45"/>
      <c r="AC101" s="45"/>
      <c r="AD101" s="45"/>
      <c r="AE101" s="45"/>
      <c r="AF101" s="47"/>
      <c r="AG101" s="47"/>
      <c r="AH101" s="47"/>
      <c r="AI101" s="47"/>
      <c r="AJ101" s="47"/>
      <c r="AK101" s="45"/>
      <c r="AL101" s="45"/>
      <c r="AM101" s="45"/>
      <c r="AN101" s="45"/>
      <c r="AO101" s="45"/>
      <c r="AP101" s="47"/>
      <c r="AQ101" s="47"/>
      <c r="AR101" s="47"/>
      <c r="AS101" s="47"/>
      <c r="AT101" s="47"/>
    </row>
    <row r="102" spans="3:46" ht="15" customHeight="1" x14ac:dyDescent="0.25">
      <c r="C102" s="45"/>
      <c r="D102" s="45"/>
      <c r="E102" s="45"/>
      <c r="F102" s="45"/>
      <c r="G102" s="45"/>
      <c r="H102" s="47"/>
      <c r="I102" s="47"/>
      <c r="J102" s="47"/>
      <c r="K102" s="47"/>
      <c r="L102" s="47"/>
      <c r="N102" s="45"/>
      <c r="O102" s="45"/>
      <c r="P102" s="45"/>
      <c r="Q102" s="45"/>
      <c r="R102" s="47"/>
      <c r="S102" s="47"/>
      <c r="T102" s="47"/>
      <c r="U102" s="47"/>
      <c r="V102" s="49"/>
      <c r="Y102" s="45"/>
      <c r="Z102" s="45"/>
      <c r="AA102" s="45"/>
      <c r="AB102" s="45"/>
      <c r="AC102" s="45"/>
      <c r="AD102" s="45"/>
      <c r="AE102" s="45"/>
      <c r="AF102" s="47"/>
      <c r="AG102" s="47"/>
      <c r="AH102" s="47"/>
      <c r="AI102" s="47"/>
      <c r="AJ102" s="47"/>
      <c r="AK102" s="45"/>
      <c r="AL102" s="45"/>
      <c r="AM102" s="45"/>
      <c r="AN102" s="45"/>
      <c r="AO102" s="45"/>
      <c r="AP102" s="47"/>
      <c r="AQ102" s="47"/>
      <c r="AR102" s="47"/>
      <c r="AS102" s="47"/>
      <c r="AT102" s="47"/>
    </row>
    <row r="103" spans="3:46" ht="15" customHeight="1" x14ac:dyDescent="0.25"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N103" s="45"/>
      <c r="O103" s="45"/>
      <c r="P103" s="45"/>
      <c r="Q103" s="45"/>
      <c r="R103" s="45"/>
      <c r="S103" s="45"/>
      <c r="T103" s="45"/>
      <c r="U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</row>
    <row r="104" spans="3:46" ht="15" customHeight="1" x14ac:dyDescent="0.25"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N104" s="45"/>
      <c r="O104" s="45"/>
      <c r="P104" s="45"/>
      <c r="Q104" s="45"/>
      <c r="R104" s="45"/>
      <c r="S104" s="45"/>
      <c r="T104" s="45"/>
      <c r="U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</row>
    <row r="105" spans="3:46" ht="15" customHeight="1" x14ac:dyDescent="0.25"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N105" s="45"/>
      <c r="O105" s="45"/>
      <c r="P105" s="45"/>
      <c r="Q105" s="45"/>
      <c r="R105" s="45"/>
      <c r="S105" s="45"/>
      <c r="T105" s="45"/>
      <c r="U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</row>
    <row r="106" spans="3:46" ht="15" customHeight="1" x14ac:dyDescent="0.25"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N106" s="45"/>
      <c r="O106" s="45"/>
      <c r="P106" s="45"/>
      <c r="Q106" s="45"/>
      <c r="R106" s="45"/>
      <c r="S106" s="45"/>
      <c r="T106" s="45"/>
      <c r="U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</row>
    <row r="107" spans="3:46" ht="15" customHeight="1" x14ac:dyDescent="0.25"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N107" s="45"/>
      <c r="O107" s="45"/>
      <c r="P107" s="45"/>
      <c r="Q107" s="45"/>
      <c r="R107" s="45"/>
      <c r="S107" s="45"/>
      <c r="T107" s="45"/>
      <c r="U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</row>
    <row r="108" spans="3:46" ht="15" customHeight="1" x14ac:dyDescent="0.25"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N108" s="45"/>
      <c r="O108" s="45"/>
      <c r="P108" s="45"/>
      <c r="Q108" s="45"/>
      <c r="R108" s="45"/>
      <c r="S108" s="45"/>
      <c r="T108" s="45"/>
      <c r="U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</row>
    <row r="109" spans="3:46" ht="15" customHeight="1" x14ac:dyDescent="0.25"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N109" s="45"/>
      <c r="O109" s="45"/>
      <c r="P109" s="45"/>
      <c r="Q109" s="45"/>
      <c r="R109" s="45"/>
      <c r="S109" s="45"/>
      <c r="T109" s="45"/>
      <c r="U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</row>
    <row r="110" spans="3:46" ht="15" customHeight="1" x14ac:dyDescent="0.25"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N110" s="45"/>
      <c r="O110" s="45"/>
      <c r="P110" s="45"/>
      <c r="Q110" s="45"/>
      <c r="R110" s="45"/>
      <c r="S110" s="45"/>
      <c r="T110" s="45"/>
      <c r="U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</row>
    <row r="111" spans="3:46" ht="15" customHeight="1" x14ac:dyDescent="0.25"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N111" s="45"/>
      <c r="O111" s="45"/>
      <c r="P111" s="45"/>
      <c r="Q111" s="45"/>
      <c r="R111" s="45"/>
      <c r="S111" s="45"/>
      <c r="T111" s="45"/>
      <c r="U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</row>
    <row r="112" spans="3:46" ht="15" customHeight="1" x14ac:dyDescent="0.25"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N112" s="45"/>
      <c r="O112" s="45"/>
      <c r="P112" s="45"/>
      <c r="Q112" s="45"/>
      <c r="R112" s="45"/>
      <c r="S112" s="45"/>
      <c r="T112" s="45"/>
      <c r="U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</row>
    <row r="113" spans="3:46" ht="15" customHeight="1" x14ac:dyDescent="0.25"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N113" s="45"/>
      <c r="O113" s="45"/>
      <c r="P113" s="45"/>
      <c r="Q113" s="45"/>
      <c r="R113" s="45"/>
      <c r="S113" s="45"/>
      <c r="T113" s="45"/>
      <c r="U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</row>
    <row r="114" spans="3:46" ht="15" customHeight="1" x14ac:dyDescent="0.25"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N114" s="45"/>
      <c r="O114" s="45"/>
      <c r="P114" s="45"/>
      <c r="Q114" s="45"/>
      <c r="R114" s="45"/>
      <c r="S114" s="45"/>
      <c r="T114" s="45"/>
      <c r="U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</row>
    <row r="115" spans="3:46" ht="15" customHeight="1" x14ac:dyDescent="0.25"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N115" s="45"/>
      <c r="O115" s="45"/>
      <c r="P115" s="45"/>
      <c r="Q115" s="45"/>
      <c r="R115" s="45"/>
      <c r="S115" s="45"/>
      <c r="T115" s="45"/>
      <c r="U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</row>
    <row r="116" spans="3:46" ht="15" customHeight="1" x14ac:dyDescent="0.25"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N116" s="45"/>
      <c r="O116" s="45"/>
      <c r="P116" s="45"/>
      <c r="Q116" s="45"/>
      <c r="R116" s="45"/>
      <c r="S116" s="45"/>
      <c r="T116" s="45"/>
      <c r="U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</row>
    <row r="117" spans="3:46" ht="15" customHeight="1" x14ac:dyDescent="0.25"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N117" s="45"/>
      <c r="O117" s="45"/>
      <c r="P117" s="45"/>
      <c r="Q117" s="45"/>
      <c r="R117" s="45"/>
      <c r="S117" s="45"/>
      <c r="T117" s="45"/>
      <c r="U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</row>
    <row r="118" spans="3:46" ht="15" customHeight="1" x14ac:dyDescent="0.25"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N118" s="45"/>
      <c r="O118" s="45"/>
      <c r="P118" s="45"/>
      <c r="Q118" s="45"/>
      <c r="R118" s="45"/>
      <c r="S118" s="45"/>
      <c r="T118" s="45"/>
      <c r="U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</row>
    <row r="119" spans="3:46" ht="15" customHeight="1" x14ac:dyDescent="0.25"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N119" s="45"/>
      <c r="O119" s="45"/>
      <c r="P119" s="45"/>
      <c r="Q119" s="45"/>
      <c r="R119" s="45"/>
      <c r="S119" s="45"/>
      <c r="T119" s="45"/>
      <c r="U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</row>
    <row r="120" spans="3:46" ht="15" customHeight="1" x14ac:dyDescent="0.25"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N120" s="45"/>
      <c r="O120" s="45"/>
      <c r="P120" s="45"/>
      <c r="Q120" s="45"/>
      <c r="R120" s="45"/>
      <c r="S120" s="45"/>
      <c r="T120" s="45"/>
      <c r="U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</row>
    <row r="121" spans="3:46" ht="15" customHeight="1" x14ac:dyDescent="0.25"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N121" s="45"/>
      <c r="O121" s="45"/>
      <c r="P121" s="45"/>
      <c r="Q121" s="45"/>
      <c r="R121" s="45"/>
      <c r="S121" s="45"/>
      <c r="T121" s="45"/>
      <c r="U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5"/>
      <c r="AN121" s="45"/>
      <c r="AO121" s="45"/>
      <c r="AP121" s="45"/>
      <c r="AQ121" s="45"/>
      <c r="AR121" s="45"/>
      <c r="AS121" s="45"/>
      <c r="AT121" s="45"/>
    </row>
    <row r="122" spans="3:46" ht="15" customHeight="1" x14ac:dyDescent="0.25"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N122" s="45"/>
      <c r="O122" s="45"/>
      <c r="P122" s="45"/>
      <c r="Q122" s="45"/>
      <c r="R122" s="45"/>
      <c r="S122" s="45"/>
      <c r="T122" s="45"/>
      <c r="U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</row>
    <row r="123" spans="3:46" ht="15" customHeight="1" x14ac:dyDescent="0.25"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N123" s="45"/>
      <c r="O123" s="45"/>
      <c r="P123" s="45"/>
      <c r="Q123" s="45"/>
      <c r="R123" s="45"/>
      <c r="S123" s="45"/>
      <c r="T123" s="45"/>
      <c r="U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</row>
    <row r="124" spans="3:46" ht="15" customHeight="1" x14ac:dyDescent="0.25"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N124" s="45"/>
      <c r="O124" s="45"/>
      <c r="P124" s="45"/>
      <c r="Q124" s="45"/>
      <c r="R124" s="45"/>
      <c r="S124" s="45"/>
      <c r="T124" s="45"/>
      <c r="U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</row>
    <row r="125" spans="3:46" ht="15" customHeight="1" x14ac:dyDescent="0.25"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N125" s="45"/>
      <c r="O125" s="45"/>
      <c r="P125" s="45"/>
      <c r="Q125" s="45"/>
      <c r="R125" s="45"/>
      <c r="S125" s="45"/>
      <c r="T125" s="45"/>
      <c r="U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</row>
    <row r="126" spans="3:46" ht="15" customHeight="1" x14ac:dyDescent="0.25"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N126" s="45"/>
      <c r="O126" s="45"/>
      <c r="P126" s="45"/>
      <c r="Q126" s="45"/>
      <c r="R126" s="45"/>
      <c r="S126" s="45"/>
      <c r="T126" s="45"/>
      <c r="U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</row>
    <row r="127" spans="3:46" ht="15" customHeight="1" x14ac:dyDescent="0.25"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N127" s="45"/>
      <c r="O127" s="45"/>
      <c r="P127" s="45"/>
      <c r="Q127" s="45"/>
      <c r="R127" s="45"/>
      <c r="S127" s="45"/>
      <c r="T127" s="45"/>
      <c r="U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</row>
    <row r="128" spans="3:46" ht="15" customHeight="1" x14ac:dyDescent="0.25"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N128" s="45"/>
      <c r="O128" s="45"/>
      <c r="P128" s="45"/>
      <c r="Q128" s="45"/>
      <c r="R128" s="45"/>
      <c r="S128" s="45"/>
      <c r="T128" s="45"/>
      <c r="U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</row>
    <row r="129" spans="3:46" ht="15" customHeight="1" x14ac:dyDescent="0.25"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N129" s="45"/>
      <c r="O129" s="45"/>
      <c r="P129" s="45"/>
      <c r="Q129" s="45"/>
      <c r="R129" s="45"/>
      <c r="S129" s="45"/>
      <c r="T129" s="45"/>
      <c r="U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</row>
    <row r="130" spans="3:46" ht="15" customHeight="1" x14ac:dyDescent="0.25"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N130" s="45"/>
      <c r="O130" s="45"/>
      <c r="P130" s="45"/>
      <c r="Q130" s="45"/>
      <c r="R130" s="45"/>
      <c r="S130" s="45"/>
      <c r="T130" s="45"/>
      <c r="U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</row>
    <row r="131" spans="3:46" ht="15" customHeight="1" x14ac:dyDescent="0.25"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N131" s="45"/>
      <c r="O131" s="45"/>
      <c r="P131" s="45"/>
      <c r="Q131" s="45"/>
      <c r="R131" s="45"/>
      <c r="S131" s="45"/>
      <c r="T131" s="45"/>
      <c r="U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</row>
    <row r="132" spans="3:46" ht="15" customHeight="1" x14ac:dyDescent="0.25"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N132" s="45"/>
      <c r="O132" s="45"/>
      <c r="P132" s="45"/>
      <c r="Q132" s="45"/>
      <c r="R132" s="45"/>
      <c r="S132" s="45"/>
      <c r="T132" s="45"/>
      <c r="U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</row>
    <row r="133" spans="3:46" ht="15" customHeight="1" x14ac:dyDescent="0.25"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N133" s="45"/>
      <c r="O133" s="45"/>
      <c r="P133" s="45"/>
      <c r="Q133" s="45"/>
      <c r="R133" s="45"/>
      <c r="S133" s="45"/>
      <c r="T133" s="45"/>
      <c r="U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</row>
    <row r="134" spans="3:46" ht="15" customHeight="1" x14ac:dyDescent="0.25"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N134" s="45"/>
      <c r="O134" s="45"/>
      <c r="P134" s="45"/>
      <c r="Q134" s="45"/>
      <c r="R134" s="45"/>
      <c r="S134" s="45"/>
      <c r="T134" s="45"/>
      <c r="U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</row>
    <row r="135" spans="3:46" ht="15" customHeight="1" x14ac:dyDescent="0.25"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N135" s="45"/>
      <c r="O135" s="45"/>
      <c r="P135" s="45"/>
      <c r="Q135" s="45"/>
      <c r="R135" s="45"/>
      <c r="S135" s="45"/>
      <c r="T135" s="45"/>
      <c r="U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</row>
    <row r="136" spans="3:46" ht="15" customHeight="1" x14ac:dyDescent="0.25"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N136" s="45"/>
      <c r="O136" s="45"/>
      <c r="P136" s="45"/>
      <c r="Q136" s="45"/>
      <c r="R136" s="45"/>
      <c r="S136" s="45"/>
      <c r="T136" s="45"/>
      <c r="U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</row>
    <row r="137" spans="3:46" ht="15" customHeight="1" x14ac:dyDescent="0.25"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N137" s="45"/>
      <c r="O137" s="45"/>
      <c r="P137" s="45"/>
      <c r="Q137" s="45"/>
      <c r="R137" s="45"/>
      <c r="S137" s="45"/>
      <c r="T137" s="45"/>
      <c r="U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</row>
    <row r="138" spans="3:46" ht="15" customHeight="1" x14ac:dyDescent="0.25"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N138" s="45"/>
      <c r="O138" s="45"/>
      <c r="P138" s="45"/>
      <c r="Q138" s="45"/>
      <c r="R138" s="45"/>
      <c r="S138" s="45"/>
      <c r="T138" s="45"/>
      <c r="U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</row>
    <row r="139" spans="3:46" ht="15" customHeight="1" x14ac:dyDescent="0.25"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N139" s="45"/>
      <c r="O139" s="45"/>
      <c r="P139" s="45"/>
      <c r="Q139" s="45"/>
      <c r="R139" s="45"/>
      <c r="S139" s="45"/>
      <c r="T139" s="45"/>
      <c r="U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</row>
    <row r="140" spans="3:46" ht="15" customHeight="1" x14ac:dyDescent="0.25"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N140" s="45"/>
      <c r="O140" s="45"/>
      <c r="P140" s="45"/>
      <c r="Q140" s="45"/>
      <c r="R140" s="45"/>
      <c r="S140" s="45"/>
      <c r="T140" s="45"/>
      <c r="U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N140" s="45"/>
      <c r="AO140" s="45"/>
      <c r="AP140" s="45"/>
      <c r="AQ140" s="45"/>
      <c r="AR140" s="45"/>
      <c r="AS140" s="45"/>
      <c r="AT140" s="45"/>
    </row>
    <row r="141" spans="3:46" ht="15" customHeight="1" x14ac:dyDescent="0.25"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N141" s="45"/>
      <c r="O141" s="45"/>
      <c r="P141" s="45"/>
      <c r="Q141" s="45"/>
      <c r="R141" s="45"/>
      <c r="S141" s="45"/>
      <c r="T141" s="45"/>
      <c r="U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</row>
    <row r="142" spans="3:46" ht="15" customHeight="1" x14ac:dyDescent="0.25"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N142" s="45"/>
      <c r="O142" s="45"/>
      <c r="P142" s="45"/>
      <c r="Q142" s="45"/>
      <c r="R142" s="45"/>
      <c r="S142" s="45"/>
      <c r="T142" s="45"/>
      <c r="U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</row>
    <row r="143" spans="3:46" ht="15" customHeight="1" x14ac:dyDescent="0.25"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N143" s="45"/>
      <c r="O143" s="45"/>
      <c r="P143" s="45"/>
      <c r="Q143" s="45"/>
      <c r="R143" s="45"/>
      <c r="S143" s="45"/>
      <c r="T143" s="45"/>
      <c r="U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</row>
    <row r="144" spans="3:46" ht="15" customHeight="1" x14ac:dyDescent="0.25"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N144" s="45"/>
      <c r="O144" s="45"/>
      <c r="P144" s="45"/>
      <c r="Q144" s="45"/>
      <c r="R144" s="45"/>
      <c r="S144" s="45"/>
      <c r="T144" s="45"/>
      <c r="U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</row>
    <row r="145" spans="3:46" ht="15" customHeight="1" x14ac:dyDescent="0.25"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N145" s="45"/>
      <c r="O145" s="45"/>
      <c r="P145" s="45"/>
      <c r="Q145" s="45"/>
      <c r="R145" s="45"/>
      <c r="S145" s="45"/>
      <c r="T145" s="45"/>
      <c r="U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</row>
    <row r="146" spans="3:46" ht="15" customHeight="1" x14ac:dyDescent="0.25"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N146" s="45"/>
      <c r="O146" s="45"/>
      <c r="P146" s="45"/>
      <c r="Q146" s="45"/>
      <c r="R146" s="45"/>
      <c r="S146" s="45"/>
      <c r="T146" s="45"/>
      <c r="U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  <c r="AN146" s="45"/>
      <c r="AO146" s="45"/>
      <c r="AP146" s="45"/>
      <c r="AQ146" s="45"/>
      <c r="AR146" s="45"/>
      <c r="AS146" s="45"/>
      <c r="AT146" s="45"/>
    </row>
    <row r="147" spans="3:46" ht="15" customHeight="1" x14ac:dyDescent="0.25"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N147" s="45"/>
      <c r="O147" s="45"/>
      <c r="P147" s="45"/>
      <c r="Q147" s="45"/>
      <c r="R147" s="45"/>
      <c r="S147" s="45"/>
      <c r="T147" s="45"/>
      <c r="U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</row>
    <row r="148" spans="3:46" ht="15" customHeight="1" x14ac:dyDescent="0.25"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N148" s="45"/>
      <c r="O148" s="45"/>
      <c r="P148" s="45"/>
      <c r="Q148" s="45"/>
      <c r="R148" s="45"/>
      <c r="S148" s="45"/>
      <c r="T148" s="45"/>
      <c r="U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  <c r="AN148" s="45"/>
      <c r="AO148" s="45"/>
      <c r="AP148" s="45"/>
      <c r="AQ148" s="45"/>
      <c r="AR148" s="45"/>
      <c r="AS148" s="45"/>
      <c r="AT148" s="45"/>
    </row>
    <row r="149" spans="3:46" ht="15" customHeight="1" x14ac:dyDescent="0.25"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N149" s="45"/>
      <c r="O149" s="45"/>
      <c r="P149" s="45"/>
      <c r="Q149" s="45"/>
      <c r="R149" s="45"/>
      <c r="S149" s="45"/>
      <c r="T149" s="45"/>
      <c r="U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</row>
    <row r="150" spans="3:46" ht="15" customHeight="1" x14ac:dyDescent="0.25"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N150" s="45"/>
      <c r="O150" s="45"/>
      <c r="P150" s="45"/>
      <c r="Q150" s="45"/>
      <c r="R150" s="45"/>
      <c r="S150" s="45"/>
      <c r="T150" s="45"/>
      <c r="U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5"/>
      <c r="AN150" s="45"/>
      <c r="AO150" s="45"/>
      <c r="AP150" s="45"/>
      <c r="AQ150" s="45"/>
      <c r="AR150" s="45"/>
      <c r="AS150" s="45"/>
      <c r="AT150" s="45"/>
    </row>
    <row r="151" spans="3:46" ht="15" customHeight="1" x14ac:dyDescent="0.25"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N151" s="45"/>
      <c r="O151" s="45"/>
      <c r="P151" s="45"/>
      <c r="Q151" s="45"/>
      <c r="R151" s="45"/>
      <c r="S151" s="45"/>
      <c r="T151" s="45"/>
      <c r="U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</row>
    <row r="152" spans="3:46" ht="15" customHeight="1" x14ac:dyDescent="0.25"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N152" s="45"/>
      <c r="O152" s="45"/>
      <c r="P152" s="45"/>
      <c r="Q152" s="45"/>
      <c r="R152" s="45"/>
      <c r="S152" s="45"/>
      <c r="T152" s="45"/>
      <c r="U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</row>
    <row r="153" spans="3:46" ht="15" customHeight="1" x14ac:dyDescent="0.25"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N153" s="45"/>
      <c r="O153" s="45"/>
      <c r="P153" s="45"/>
      <c r="Q153" s="45"/>
      <c r="R153" s="45"/>
      <c r="S153" s="45"/>
      <c r="T153" s="45"/>
      <c r="U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</row>
    <row r="154" spans="3:46" ht="15" customHeight="1" x14ac:dyDescent="0.25"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N154" s="45"/>
      <c r="O154" s="45"/>
      <c r="P154" s="45"/>
      <c r="Q154" s="45"/>
      <c r="R154" s="45"/>
      <c r="S154" s="45"/>
      <c r="T154" s="45"/>
      <c r="U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  <c r="AN154" s="45"/>
      <c r="AO154" s="45"/>
      <c r="AP154" s="45"/>
      <c r="AQ154" s="45"/>
      <c r="AR154" s="45"/>
      <c r="AS154" s="45"/>
      <c r="AT154" s="45"/>
    </row>
    <row r="155" spans="3:46" ht="15" customHeight="1" x14ac:dyDescent="0.25"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N155" s="45"/>
      <c r="O155" s="45"/>
      <c r="P155" s="45"/>
      <c r="Q155" s="45"/>
      <c r="R155" s="45"/>
      <c r="S155" s="45"/>
      <c r="T155" s="45"/>
      <c r="U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</row>
    <row r="156" spans="3:46" ht="15" customHeight="1" x14ac:dyDescent="0.25"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N156" s="45"/>
      <c r="O156" s="45"/>
      <c r="P156" s="45"/>
      <c r="Q156" s="45"/>
      <c r="R156" s="45"/>
      <c r="S156" s="45"/>
      <c r="T156" s="45"/>
      <c r="U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45"/>
      <c r="AN156" s="45"/>
      <c r="AO156" s="45"/>
      <c r="AP156" s="45"/>
      <c r="AQ156" s="45"/>
      <c r="AR156" s="45"/>
      <c r="AS156" s="45"/>
      <c r="AT156" s="45"/>
    </row>
    <row r="157" spans="3:46" ht="15" customHeight="1" x14ac:dyDescent="0.25"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N157" s="45"/>
      <c r="O157" s="45"/>
      <c r="P157" s="45"/>
      <c r="Q157" s="45"/>
      <c r="R157" s="45"/>
      <c r="S157" s="45"/>
      <c r="T157" s="45"/>
      <c r="U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</row>
    <row r="158" spans="3:46" ht="15" customHeight="1" x14ac:dyDescent="0.25"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N158" s="45"/>
      <c r="O158" s="45"/>
      <c r="P158" s="45"/>
      <c r="Q158" s="45"/>
      <c r="R158" s="45"/>
      <c r="S158" s="45"/>
      <c r="T158" s="45"/>
      <c r="U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  <c r="AN158" s="45"/>
      <c r="AO158" s="45"/>
      <c r="AP158" s="45"/>
      <c r="AQ158" s="45"/>
      <c r="AR158" s="45"/>
      <c r="AS158" s="45"/>
      <c r="AT158" s="45"/>
    </row>
    <row r="159" spans="3:46" ht="15" customHeight="1" x14ac:dyDescent="0.25"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N159" s="45"/>
      <c r="O159" s="45"/>
      <c r="P159" s="45"/>
      <c r="Q159" s="45"/>
      <c r="R159" s="45"/>
      <c r="S159" s="45"/>
      <c r="T159" s="45"/>
      <c r="U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</row>
    <row r="160" spans="3:46" ht="15" customHeight="1" x14ac:dyDescent="0.25"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N160" s="45"/>
      <c r="O160" s="45"/>
      <c r="P160" s="45"/>
      <c r="Q160" s="45"/>
      <c r="R160" s="45"/>
      <c r="S160" s="45"/>
      <c r="T160" s="45"/>
      <c r="U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  <c r="AN160" s="45"/>
      <c r="AO160" s="45"/>
      <c r="AP160" s="45"/>
      <c r="AQ160" s="45"/>
      <c r="AR160" s="45"/>
      <c r="AS160" s="45"/>
      <c r="AT160" s="45"/>
    </row>
    <row r="161" spans="3:46" ht="15" customHeight="1" x14ac:dyDescent="0.25"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N161" s="45"/>
      <c r="O161" s="45"/>
      <c r="P161" s="45"/>
      <c r="Q161" s="45"/>
      <c r="R161" s="45"/>
      <c r="S161" s="45"/>
      <c r="T161" s="45"/>
      <c r="U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</row>
    <row r="162" spans="3:46" ht="15" customHeight="1" x14ac:dyDescent="0.25"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N162" s="45"/>
      <c r="O162" s="45"/>
      <c r="P162" s="45"/>
      <c r="Q162" s="45"/>
      <c r="R162" s="45"/>
      <c r="S162" s="45"/>
      <c r="T162" s="45"/>
      <c r="U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</row>
    <row r="163" spans="3:46" ht="15" customHeight="1" x14ac:dyDescent="0.25"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N163" s="45"/>
      <c r="O163" s="45"/>
      <c r="P163" s="45"/>
      <c r="Q163" s="45"/>
      <c r="R163" s="45"/>
      <c r="S163" s="45"/>
      <c r="T163" s="45"/>
      <c r="U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</row>
    <row r="164" spans="3:46" ht="15" customHeight="1" x14ac:dyDescent="0.25"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N164" s="45"/>
      <c r="O164" s="45"/>
      <c r="P164" s="45"/>
      <c r="Q164" s="45"/>
      <c r="R164" s="45"/>
      <c r="S164" s="45"/>
      <c r="T164" s="45"/>
      <c r="U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</row>
    <row r="165" spans="3:46" ht="15" customHeight="1" x14ac:dyDescent="0.25"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N165" s="45"/>
      <c r="O165" s="45"/>
      <c r="P165" s="45"/>
      <c r="Q165" s="45"/>
      <c r="R165" s="45"/>
      <c r="S165" s="45"/>
      <c r="T165" s="45"/>
      <c r="U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</row>
    <row r="166" spans="3:46" ht="15" customHeight="1" x14ac:dyDescent="0.25"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N166" s="45"/>
      <c r="O166" s="45"/>
      <c r="P166" s="45"/>
      <c r="Q166" s="45"/>
      <c r="R166" s="45"/>
      <c r="S166" s="45"/>
      <c r="T166" s="45"/>
      <c r="U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</row>
    <row r="167" spans="3:46" ht="15" customHeight="1" x14ac:dyDescent="0.25"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N167" s="45"/>
      <c r="O167" s="45"/>
      <c r="P167" s="45"/>
      <c r="Q167" s="45"/>
      <c r="R167" s="45"/>
      <c r="S167" s="45"/>
      <c r="T167" s="45"/>
      <c r="U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</row>
    <row r="168" spans="3:46" ht="15" customHeight="1" x14ac:dyDescent="0.25"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N168" s="45"/>
      <c r="O168" s="45"/>
      <c r="P168" s="45"/>
      <c r="Q168" s="45"/>
      <c r="R168" s="45"/>
      <c r="S168" s="45"/>
      <c r="T168" s="45"/>
      <c r="U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45"/>
      <c r="AN168" s="45"/>
      <c r="AO168" s="45"/>
      <c r="AP168" s="45"/>
      <c r="AQ168" s="45"/>
      <c r="AR168" s="45"/>
      <c r="AS168" s="45"/>
      <c r="AT168" s="45"/>
    </row>
    <row r="169" spans="3:46" ht="15" customHeight="1" x14ac:dyDescent="0.25"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N169" s="45"/>
      <c r="O169" s="45"/>
      <c r="P169" s="45"/>
      <c r="Q169" s="45"/>
      <c r="R169" s="45"/>
      <c r="S169" s="45"/>
      <c r="T169" s="45"/>
      <c r="U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</row>
    <row r="170" spans="3:46" ht="15" customHeight="1" x14ac:dyDescent="0.25"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N170" s="45"/>
      <c r="O170" s="45"/>
      <c r="P170" s="45"/>
      <c r="Q170" s="45"/>
      <c r="R170" s="45"/>
      <c r="S170" s="45"/>
      <c r="T170" s="45"/>
      <c r="U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45"/>
      <c r="AN170" s="45"/>
      <c r="AO170" s="45"/>
      <c r="AP170" s="45"/>
      <c r="AQ170" s="45"/>
      <c r="AR170" s="45"/>
      <c r="AS170" s="45"/>
      <c r="AT170" s="45"/>
    </row>
    <row r="171" spans="3:46" ht="15" customHeight="1" x14ac:dyDescent="0.25"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N171" s="45"/>
      <c r="O171" s="45"/>
      <c r="P171" s="45"/>
      <c r="Q171" s="45"/>
      <c r="R171" s="45"/>
      <c r="S171" s="45"/>
      <c r="T171" s="45"/>
      <c r="U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  <c r="AM171" s="45"/>
      <c r="AN171" s="45"/>
      <c r="AO171" s="45"/>
      <c r="AP171" s="45"/>
      <c r="AQ171" s="45"/>
      <c r="AR171" s="45"/>
      <c r="AS171" s="45"/>
      <c r="AT171" s="45"/>
    </row>
    <row r="172" spans="3:46" ht="15" customHeight="1" x14ac:dyDescent="0.25"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N172" s="45"/>
      <c r="O172" s="45"/>
      <c r="P172" s="45"/>
      <c r="Q172" s="45"/>
      <c r="R172" s="45"/>
      <c r="S172" s="45"/>
      <c r="T172" s="45"/>
      <c r="U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</row>
    <row r="173" spans="3:46" ht="15" customHeight="1" x14ac:dyDescent="0.25"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N173" s="45"/>
      <c r="O173" s="45"/>
      <c r="P173" s="45"/>
      <c r="Q173" s="45"/>
      <c r="R173" s="45"/>
      <c r="S173" s="45"/>
      <c r="T173" s="45"/>
      <c r="U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45"/>
      <c r="AO173" s="45"/>
      <c r="AP173" s="45"/>
      <c r="AQ173" s="45"/>
      <c r="AR173" s="45"/>
      <c r="AS173" s="45"/>
      <c r="AT173" s="45"/>
    </row>
    <row r="174" spans="3:46" ht="15" customHeight="1" x14ac:dyDescent="0.25"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N174" s="45"/>
      <c r="O174" s="45"/>
      <c r="P174" s="45"/>
      <c r="Q174" s="45"/>
      <c r="R174" s="45"/>
      <c r="S174" s="45"/>
      <c r="T174" s="45"/>
      <c r="U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</row>
    <row r="175" spans="3:46" ht="15" customHeight="1" x14ac:dyDescent="0.25"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N175" s="45"/>
      <c r="O175" s="45"/>
      <c r="P175" s="45"/>
      <c r="Q175" s="45"/>
      <c r="R175" s="45"/>
      <c r="S175" s="45"/>
      <c r="T175" s="45"/>
      <c r="U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</row>
    <row r="176" spans="3:46" ht="15" customHeight="1" x14ac:dyDescent="0.25"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N176" s="45"/>
      <c r="O176" s="45"/>
      <c r="P176" s="45"/>
      <c r="Q176" s="45"/>
      <c r="R176" s="45"/>
      <c r="S176" s="45"/>
      <c r="T176" s="45"/>
      <c r="U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45"/>
      <c r="AN176" s="45"/>
      <c r="AO176" s="45"/>
      <c r="AP176" s="45"/>
      <c r="AQ176" s="45"/>
      <c r="AR176" s="45"/>
      <c r="AS176" s="45"/>
      <c r="AT176" s="45"/>
    </row>
    <row r="177" spans="3:46" ht="15" customHeight="1" x14ac:dyDescent="0.25"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N177" s="45"/>
      <c r="O177" s="45"/>
      <c r="P177" s="45"/>
      <c r="Q177" s="45"/>
      <c r="R177" s="45"/>
      <c r="S177" s="45"/>
      <c r="T177" s="45"/>
      <c r="U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  <c r="AN177" s="45"/>
      <c r="AO177" s="45"/>
      <c r="AP177" s="45"/>
      <c r="AQ177" s="45"/>
      <c r="AR177" s="45"/>
      <c r="AS177" s="45"/>
      <c r="AT177" s="45"/>
    </row>
    <row r="178" spans="3:46" ht="15" customHeight="1" x14ac:dyDescent="0.25"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N178" s="45"/>
      <c r="O178" s="45"/>
      <c r="P178" s="45"/>
      <c r="Q178" s="45"/>
      <c r="R178" s="45"/>
      <c r="S178" s="45"/>
      <c r="T178" s="45"/>
      <c r="U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45"/>
      <c r="AN178" s="45"/>
      <c r="AO178" s="45"/>
      <c r="AP178" s="45"/>
      <c r="AQ178" s="45"/>
      <c r="AR178" s="45"/>
      <c r="AS178" s="45"/>
      <c r="AT178" s="45"/>
    </row>
    <row r="179" spans="3:46" ht="15" customHeight="1" x14ac:dyDescent="0.25"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N179" s="45"/>
      <c r="O179" s="45"/>
      <c r="P179" s="45"/>
      <c r="Q179" s="45"/>
      <c r="R179" s="45"/>
      <c r="S179" s="45"/>
      <c r="T179" s="45"/>
      <c r="U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  <c r="AM179" s="45"/>
      <c r="AN179" s="45"/>
      <c r="AO179" s="45"/>
      <c r="AP179" s="45"/>
      <c r="AQ179" s="45"/>
      <c r="AR179" s="45"/>
      <c r="AS179" s="45"/>
      <c r="AT179" s="45"/>
    </row>
    <row r="180" spans="3:46" ht="15" customHeight="1" x14ac:dyDescent="0.25"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N180" s="45"/>
      <c r="O180" s="45"/>
      <c r="P180" s="45"/>
      <c r="Q180" s="45"/>
      <c r="R180" s="45"/>
      <c r="S180" s="45"/>
      <c r="T180" s="45"/>
      <c r="U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  <c r="AM180" s="45"/>
      <c r="AN180" s="45"/>
      <c r="AO180" s="45"/>
      <c r="AP180" s="45"/>
      <c r="AQ180" s="45"/>
      <c r="AR180" s="45"/>
      <c r="AS180" s="45"/>
      <c r="AT180" s="45"/>
    </row>
    <row r="181" spans="3:46" ht="15" customHeight="1" x14ac:dyDescent="0.25"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N181" s="45"/>
      <c r="O181" s="45"/>
      <c r="P181" s="45"/>
      <c r="Q181" s="45"/>
      <c r="R181" s="45"/>
      <c r="S181" s="45"/>
      <c r="T181" s="45"/>
      <c r="U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</row>
    <row r="182" spans="3:46" ht="15" customHeight="1" x14ac:dyDescent="0.25"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N182" s="45"/>
      <c r="O182" s="45"/>
      <c r="P182" s="45"/>
      <c r="Q182" s="45"/>
      <c r="R182" s="45"/>
      <c r="S182" s="45"/>
      <c r="T182" s="45"/>
      <c r="U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</row>
    <row r="183" spans="3:46" ht="15" customHeight="1" x14ac:dyDescent="0.25"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N183" s="45"/>
      <c r="O183" s="45"/>
      <c r="P183" s="45"/>
      <c r="Q183" s="45"/>
      <c r="R183" s="45"/>
      <c r="S183" s="45"/>
      <c r="T183" s="45"/>
      <c r="U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</row>
    <row r="184" spans="3:46" ht="15" customHeight="1" x14ac:dyDescent="0.25"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N184" s="45"/>
      <c r="O184" s="45"/>
      <c r="P184" s="45"/>
      <c r="Q184" s="45"/>
      <c r="R184" s="45"/>
      <c r="S184" s="45"/>
      <c r="T184" s="45"/>
      <c r="U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</row>
    <row r="185" spans="3:46" ht="15" customHeight="1" x14ac:dyDescent="0.25"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N185" s="45"/>
      <c r="O185" s="45"/>
      <c r="P185" s="45"/>
      <c r="Q185" s="45"/>
      <c r="R185" s="45"/>
      <c r="S185" s="45"/>
      <c r="T185" s="45"/>
      <c r="U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</row>
    <row r="186" spans="3:46" ht="15" customHeight="1" x14ac:dyDescent="0.25"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N186" s="45"/>
      <c r="O186" s="45"/>
      <c r="P186" s="45"/>
      <c r="Q186" s="45"/>
      <c r="R186" s="45"/>
      <c r="S186" s="45"/>
      <c r="T186" s="45"/>
      <c r="U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  <c r="AN186" s="45"/>
      <c r="AO186" s="45"/>
      <c r="AP186" s="45"/>
      <c r="AQ186" s="45"/>
      <c r="AR186" s="45"/>
      <c r="AS186" s="45"/>
      <c r="AT186" s="45"/>
    </row>
    <row r="187" spans="3:46" ht="15" customHeight="1" x14ac:dyDescent="0.25"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N187" s="45"/>
      <c r="O187" s="45"/>
      <c r="P187" s="45"/>
      <c r="Q187" s="45"/>
      <c r="R187" s="45"/>
      <c r="S187" s="45"/>
      <c r="T187" s="45"/>
      <c r="U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</row>
    <row r="188" spans="3:46" ht="15" customHeight="1" x14ac:dyDescent="0.25"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N188" s="45"/>
      <c r="O188" s="45"/>
      <c r="P188" s="45"/>
      <c r="Q188" s="45"/>
      <c r="R188" s="45"/>
      <c r="S188" s="45"/>
      <c r="T188" s="45"/>
      <c r="U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</row>
    <row r="189" spans="3:46" ht="15" customHeight="1" x14ac:dyDescent="0.25"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N189" s="45"/>
      <c r="O189" s="45"/>
      <c r="P189" s="45"/>
      <c r="Q189" s="45"/>
      <c r="R189" s="45"/>
      <c r="S189" s="45"/>
      <c r="T189" s="45"/>
      <c r="U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</row>
    <row r="190" spans="3:46" ht="15" customHeight="1" x14ac:dyDescent="0.25"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N190" s="45"/>
      <c r="O190" s="45"/>
      <c r="P190" s="45"/>
      <c r="Q190" s="45"/>
      <c r="R190" s="45"/>
      <c r="S190" s="45"/>
      <c r="T190" s="45"/>
      <c r="U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  <c r="AN190" s="45"/>
      <c r="AO190" s="45"/>
      <c r="AP190" s="45"/>
      <c r="AQ190" s="45"/>
      <c r="AR190" s="45"/>
      <c r="AS190" s="45"/>
      <c r="AT190" s="45"/>
    </row>
    <row r="191" spans="3:46" ht="15" customHeight="1" x14ac:dyDescent="0.25"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N191" s="45"/>
      <c r="O191" s="45"/>
      <c r="P191" s="45"/>
      <c r="Q191" s="45"/>
      <c r="R191" s="45"/>
      <c r="S191" s="45"/>
      <c r="T191" s="45"/>
      <c r="U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  <c r="AN191" s="45"/>
      <c r="AO191" s="45"/>
      <c r="AP191" s="45"/>
      <c r="AQ191" s="45"/>
      <c r="AR191" s="45"/>
      <c r="AS191" s="45"/>
      <c r="AT191" s="45"/>
    </row>
    <row r="192" spans="3:46" ht="15" customHeight="1" x14ac:dyDescent="0.25"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N192" s="45"/>
      <c r="O192" s="45"/>
      <c r="P192" s="45"/>
      <c r="Q192" s="45"/>
      <c r="R192" s="45"/>
      <c r="S192" s="45"/>
      <c r="T192" s="45"/>
      <c r="U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  <c r="AN192" s="45"/>
      <c r="AO192" s="45"/>
      <c r="AP192" s="45"/>
      <c r="AQ192" s="45"/>
      <c r="AR192" s="45"/>
      <c r="AS192" s="45"/>
      <c r="AT192" s="45"/>
    </row>
    <row r="193" spans="3:46" ht="15" customHeight="1" x14ac:dyDescent="0.25"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N193" s="45"/>
      <c r="O193" s="45"/>
      <c r="P193" s="45"/>
      <c r="Q193" s="45"/>
      <c r="R193" s="45"/>
      <c r="S193" s="45"/>
      <c r="T193" s="45"/>
      <c r="U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</row>
    <row r="194" spans="3:46" ht="15" customHeight="1" x14ac:dyDescent="0.25"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N194" s="45"/>
      <c r="O194" s="45"/>
      <c r="P194" s="45"/>
      <c r="Q194" s="45"/>
      <c r="R194" s="45"/>
      <c r="S194" s="45"/>
      <c r="T194" s="45"/>
      <c r="U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  <c r="AN194" s="45"/>
      <c r="AO194" s="45"/>
      <c r="AP194" s="45"/>
      <c r="AQ194" s="45"/>
      <c r="AR194" s="45"/>
      <c r="AS194" s="45"/>
      <c r="AT194" s="45"/>
    </row>
    <row r="195" spans="3:46" ht="15" customHeight="1" x14ac:dyDescent="0.25"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N195" s="45"/>
      <c r="O195" s="45"/>
      <c r="P195" s="45"/>
      <c r="Q195" s="45"/>
      <c r="R195" s="45"/>
      <c r="S195" s="45"/>
      <c r="T195" s="45"/>
      <c r="U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</row>
    <row r="196" spans="3:46" ht="15" customHeight="1" x14ac:dyDescent="0.25"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N196" s="45"/>
      <c r="O196" s="45"/>
      <c r="P196" s="45"/>
      <c r="Q196" s="45"/>
      <c r="R196" s="45"/>
      <c r="S196" s="45"/>
      <c r="T196" s="45"/>
      <c r="U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  <c r="AM196" s="45"/>
      <c r="AN196" s="45"/>
      <c r="AO196" s="45"/>
      <c r="AP196" s="45"/>
      <c r="AQ196" s="45"/>
      <c r="AR196" s="45"/>
      <c r="AS196" s="45"/>
      <c r="AT196" s="45"/>
    </row>
    <row r="197" spans="3:46" ht="15" customHeight="1" x14ac:dyDescent="0.25"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N197" s="45"/>
      <c r="O197" s="45"/>
      <c r="P197" s="45"/>
      <c r="Q197" s="45"/>
      <c r="R197" s="45"/>
      <c r="S197" s="45"/>
      <c r="T197" s="45"/>
      <c r="U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</row>
    <row r="198" spans="3:46" ht="15" customHeight="1" x14ac:dyDescent="0.25"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N198" s="45"/>
      <c r="O198" s="45"/>
      <c r="P198" s="45"/>
      <c r="Q198" s="45"/>
      <c r="R198" s="45"/>
      <c r="S198" s="45"/>
      <c r="T198" s="45"/>
      <c r="U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</row>
    <row r="199" spans="3:46" ht="15" customHeight="1" x14ac:dyDescent="0.25"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N199" s="45"/>
      <c r="O199" s="45"/>
      <c r="P199" s="45"/>
      <c r="Q199" s="45"/>
      <c r="R199" s="45"/>
      <c r="S199" s="45"/>
      <c r="T199" s="45"/>
      <c r="U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</row>
    <row r="200" spans="3:46" ht="15" customHeight="1" x14ac:dyDescent="0.25"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N200" s="45"/>
      <c r="O200" s="45"/>
      <c r="P200" s="45"/>
      <c r="Q200" s="45"/>
      <c r="R200" s="45"/>
      <c r="S200" s="45"/>
      <c r="T200" s="45"/>
      <c r="U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</row>
    <row r="201" spans="3:46" ht="15" customHeight="1" x14ac:dyDescent="0.25"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N201" s="45"/>
      <c r="O201" s="45"/>
      <c r="P201" s="45"/>
      <c r="Q201" s="45"/>
      <c r="R201" s="45"/>
      <c r="S201" s="45"/>
      <c r="T201" s="45"/>
      <c r="U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</row>
    <row r="202" spans="3:46" ht="15" customHeight="1" x14ac:dyDescent="0.25"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N202" s="45"/>
      <c r="O202" s="45"/>
      <c r="P202" s="45"/>
      <c r="Q202" s="45"/>
      <c r="R202" s="45"/>
      <c r="S202" s="45"/>
      <c r="T202" s="45"/>
      <c r="U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</row>
    <row r="203" spans="3:46" ht="15" customHeight="1" x14ac:dyDescent="0.25"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N203" s="45"/>
      <c r="O203" s="45"/>
      <c r="P203" s="45"/>
      <c r="Q203" s="45"/>
      <c r="R203" s="45"/>
      <c r="S203" s="45"/>
      <c r="T203" s="45"/>
      <c r="U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5"/>
      <c r="AN203" s="45"/>
      <c r="AO203" s="45"/>
      <c r="AP203" s="45"/>
      <c r="AQ203" s="45"/>
      <c r="AR203" s="45"/>
      <c r="AS203" s="45"/>
      <c r="AT203" s="45"/>
    </row>
    <row r="204" spans="3:46" ht="15" customHeight="1" x14ac:dyDescent="0.25"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N204" s="45"/>
      <c r="O204" s="45"/>
      <c r="P204" s="45"/>
      <c r="Q204" s="45"/>
      <c r="R204" s="45"/>
      <c r="S204" s="45"/>
      <c r="T204" s="45"/>
      <c r="U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5"/>
      <c r="AN204" s="45"/>
      <c r="AO204" s="45"/>
      <c r="AP204" s="45"/>
      <c r="AQ204" s="45"/>
      <c r="AR204" s="45"/>
      <c r="AS204" s="45"/>
      <c r="AT204" s="45"/>
    </row>
    <row r="205" spans="3:46" ht="15" customHeight="1" x14ac:dyDescent="0.25"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N205" s="45"/>
      <c r="O205" s="45"/>
      <c r="P205" s="45"/>
      <c r="Q205" s="45"/>
      <c r="R205" s="45"/>
      <c r="S205" s="45"/>
      <c r="T205" s="45"/>
      <c r="U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  <c r="AN205" s="45"/>
      <c r="AO205" s="45"/>
      <c r="AP205" s="45"/>
      <c r="AQ205" s="45"/>
      <c r="AR205" s="45"/>
      <c r="AS205" s="45"/>
      <c r="AT205" s="45"/>
    </row>
    <row r="206" spans="3:46" ht="15" customHeight="1" x14ac:dyDescent="0.25"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N206" s="45"/>
      <c r="O206" s="45"/>
      <c r="P206" s="45"/>
      <c r="Q206" s="45"/>
      <c r="R206" s="45"/>
      <c r="S206" s="45"/>
      <c r="T206" s="45"/>
      <c r="U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45"/>
      <c r="AN206" s="45"/>
      <c r="AO206" s="45"/>
      <c r="AP206" s="45"/>
      <c r="AQ206" s="45"/>
      <c r="AR206" s="45"/>
      <c r="AS206" s="45"/>
      <c r="AT206" s="45"/>
    </row>
    <row r="207" spans="3:46" ht="15" customHeight="1" x14ac:dyDescent="0.25"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N207" s="45"/>
      <c r="O207" s="45"/>
      <c r="P207" s="45"/>
      <c r="Q207" s="45"/>
      <c r="R207" s="45"/>
      <c r="S207" s="45"/>
      <c r="T207" s="45"/>
      <c r="U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45"/>
      <c r="AN207" s="45"/>
      <c r="AO207" s="45"/>
      <c r="AP207" s="45"/>
      <c r="AQ207" s="45"/>
      <c r="AR207" s="45"/>
      <c r="AS207" s="45"/>
      <c r="AT207" s="45"/>
    </row>
    <row r="208" spans="3:46" ht="15" customHeight="1" x14ac:dyDescent="0.25"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N208" s="45"/>
      <c r="O208" s="45"/>
      <c r="P208" s="45"/>
      <c r="Q208" s="45"/>
      <c r="R208" s="45"/>
      <c r="S208" s="45"/>
      <c r="T208" s="45"/>
      <c r="U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5"/>
      <c r="AN208" s="45"/>
      <c r="AO208" s="45"/>
      <c r="AP208" s="45"/>
      <c r="AQ208" s="45"/>
      <c r="AR208" s="45"/>
      <c r="AS208" s="45"/>
      <c r="AT208" s="45"/>
    </row>
    <row r="209" spans="3:46" ht="15" customHeight="1" x14ac:dyDescent="0.25"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N209" s="45"/>
      <c r="O209" s="45"/>
      <c r="P209" s="45"/>
      <c r="Q209" s="45"/>
      <c r="R209" s="45"/>
      <c r="S209" s="45"/>
      <c r="T209" s="45"/>
      <c r="U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5"/>
      <c r="AN209" s="45"/>
      <c r="AO209" s="45"/>
      <c r="AP209" s="45"/>
      <c r="AQ209" s="45"/>
      <c r="AR209" s="45"/>
      <c r="AS209" s="45"/>
      <c r="AT209" s="45"/>
    </row>
    <row r="210" spans="3:46" ht="15" customHeight="1" x14ac:dyDescent="0.25"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N210" s="45"/>
      <c r="O210" s="45"/>
      <c r="P210" s="45"/>
      <c r="Q210" s="45"/>
      <c r="R210" s="45"/>
      <c r="S210" s="45"/>
      <c r="T210" s="45"/>
      <c r="U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  <c r="AN210" s="45"/>
      <c r="AO210" s="45"/>
      <c r="AP210" s="45"/>
      <c r="AQ210" s="45"/>
      <c r="AR210" s="45"/>
      <c r="AS210" s="45"/>
      <c r="AT210" s="45"/>
    </row>
    <row r="211" spans="3:46" ht="15" customHeight="1" x14ac:dyDescent="0.25"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N211" s="45"/>
      <c r="O211" s="45"/>
      <c r="P211" s="45"/>
      <c r="Q211" s="45"/>
      <c r="R211" s="45"/>
      <c r="S211" s="45"/>
      <c r="T211" s="45"/>
      <c r="U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45"/>
      <c r="AN211" s="45"/>
      <c r="AO211" s="45"/>
      <c r="AP211" s="45"/>
      <c r="AQ211" s="45"/>
      <c r="AR211" s="45"/>
      <c r="AS211" s="45"/>
      <c r="AT211" s="45"/>
    </row>
    <row r="212" spans="3:46" ht="15" customHeight="1" x14ac:dyDescent="0.25"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N212" s="45"/>
      <c r="O212" s="45"/>
      <c r="P212" s="45"/>
      <c r="Q212" s="45"/>
      <c r="R212" s="45"/>
      <c r="S212" s="45"/>
      <c r="T212" s="45"/>
      <c r="U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</row>
    <row r="213" spans="3:46" ht="15" customHeight="1" x14ac:dyDescent="0.25"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N213" s="45"/>
      <c r="O213" s="45"/>
      <c r="P213" s="45"/>
      <c r="Q213" s="45"/>
      <c r="R213" s="45"/>
      <c r="S213" s="45"/>
      <c r="T213" s="45"/>
      <c r="U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  <c r="AM213" s="45"/>
      <c r="AN213" s="45"/>
      <c r="AO213" s="45"/>
      <c r="AP213" s="45"/>
      <c r="AQ213" s="45"/>
      <c r="AR213" s="45"/>
      <c r="AS213" s="45"/>
      <c r="AT213" s="45"/>
    </row>
    <row r="214" spans="3:46" ht="15" customHeight="1" x14ac:dyDescent="0.25"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N214" s="45"/>
      <c r="O214" s="45"/>
      <c r="P214" s="45"/>
      <c r="Q214" s="45"/>
      <c r="R214" s="45"/>
      <c r="S214" s="45"/>
      <c r="T214" s="45"/>
      <c r="U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</row>
    <row r="215" spans="3:46" ht="15" customHeight="1" x14ac:dyDescent="0.25"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N215" s="45"/>
      <c r="O215" s="45"/>
      <c r="P215" s="45"/>
      <c r="Q215" s="45"/>
      <c r="R215" s="45"/>
      <c r="S215" s="45"/>
      <c r="T215" s="45"/>
      <c r="U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  <c r="AM215" s="45"/>
      <c r="AN215" s="45"/>
      <c r="AO215" s="45"/>
      <c r="AP215" s="45"/>
      <c r="AQ215" s="45"/>
      <c r="AR215" s="45"/>
      <c r="AS215" s="45"/>
      <c r="AT215" s="45"/>
    </row>
    <row r="216" spans="3:46" ht="15" customHeight="1" x14ac:dyDescent="0.25"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N216" s="45"/>
      <c r="O216" s="45"/>
      <c r="P216" s="45"/>
      <c r="Q216" s="45"/>
      <c r="R216" s="45"/>
      <c r="S216" s="45"/>
      <c r="T216" s="45"/>
      <c r="U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  <c r="AM216" s="45"/>
      <c r="AN216" s="45"/>
      <c r="AO216" s="45"/>
      <c r="AP216" s="45"/>
      <c r="AQ216" s="45"/>
      <c r="AR216" s="45"/>
      <c r="AS216" s="45"/>
      <c r="AT216" s="45"/>
    </row>
    <row r="217" spans="3:46" ht="15" customHeight="1" x14ac:dyDescent="0.25"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N217" s="45"/>
      <c r="O217" s="45"/>
      <c r="P217" s="45"/>
      <c r="Q217" s="45"/>
      <c r="R217" s="45"/>
      <c r="S217" s="45"/>
      <c r="T217" s="45"/>
      <c r="U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  <c r="AM217" s="45"/>
      <c r="AN217" s="45"/>
      <c r="AO217" s="45"/>
      <c r="AP217" s="45"/>
      <c r="AQ217" s="45"/>
      <c r="AR217" s="45"/>
      <c r="AS217" s="45"/>
      <c r="AT217" s="45"/>
    </row>
    <row r="218" spans="3:46" ht="15" customHeight="1" x14ac:dyDescent="0.25"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N218" s="45"/>
      <c r="O218" s="45"/>
      <c r="P218" s="45"/>
      <c r="Q218" s="45"/>
      <c r="R218" s="45"/>
      <c r="S218" s="45"/>
      <c r="T218" s="45"/>
      <c r="U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  <c r="AM218" s="45"/>
      <c r="AN218" s="45"/>
      <c r="AO218" s="45"/>
      <c r="AP218" s="45"/>
      <c r="AQ218" s="45"/>
      <c r="AR218" s="45"/>
      <c r="AS218" s="45"/>
      <c r="AT218" s="45"/>
    </row>
    <row r="219" spans="3:46" ht="15" customHeight="1" x14ac:dyDescent="0.25"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N219" s="45"/>
      <c r="O219" s="45"/>
      <c r="P219" s="45"/>
      <c r="Q219" s="45"/>
      <c r="R219" s="45"/>
      <c r="S219" s="45"/>
      <c r="T219" s="45"/>
      <c r="U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45"/>
      <c r="AN219" s="45"/>
      <c r="AO219" s="45"/>
      <c r="AP219" s="45"/>
      <c r="AQ219" s="45"/>
      <c r="AR219" s="45"/>
      <c r="AS219" s="45"/>
      <c r="AT219" s="45"/>
    </row>
    <row r="220" spans="3:46" ht="15" customHeight="1" x14ac:dyDescent="0.25"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N220" s="45"/>
      <c r="O220" s="45"/>
      <c r="P220" s="45"/>
      <c r="Q220" s="45"/>
      <c r="R220" s="45"/>
      <c r="S220" s="45"/>
      <c r="T220" s="45"/>
      <c r="U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  <c r="AL220" s="45"/>
      <c r="AM220" s="45"/>
      <c r="AN220" s="45"/>
      <c r="AO220" s="45"/>
      <c r="AP220" s="45"/>
      <c r="AQ220" s="45"/>
      <c r="AR220" s="45"/>
      <c r="AS220" s="45"/>
      <c r="AT220" s="45"/>
    </row>
    <row r="221" spans="3:46" ht="15" customHeight="1" x14ac:dyDescent="0.25"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N221" s="45"/>
      <c r="O221" s="45"/>
      <c r="P221" s="45"/>
      <c r="Q221" s="45"/>
      <c r="R221" s="45"/>
      <c r="S221" s="45"/>
      <c r="T221" s="45"/>
      <c r="U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45"/>
      <c r="AN221" s="45"/>
      <c r="AO221" s="45"/>
      <c r="AP221" s="45"/>
      <c r="AQ221" s="45"/>
      <c r="AR221" s="45"/>
      <c r="AS221" s="45"/>
      <c r="AT221" s="45"/>
    </row>
    <row r="222" spans="3:46" ht="15" customHeight="1" x14ac:dyDescent="0.25"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N222" s="45"/>
      <c r="O222" s="45"/>
      <c r="P222" s="45"/>
      <c r="Q222" s="45"/>
      <c r="R222" s="45"/>
      <c r="S222" s="45"/>
      <c r="T222" s="45"/>
      <c r="U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  <c r="AL222" s="45"/>
      <c r="AM222" s="45"/>
      <c r="AN222" s="45"/>
      <c r="AO222" s="45"/>
      <c r="AP222" s="45"/>
      <c r="AQ222" s="45"/>
      <c r="AR222" s="45"/>
      <c r="AS222" s="45"/>
      <c r="AT222" s="45"/>
    </row>
    <row r="223" spans="3:46" ht="15" customHeight="1" x14ac:dyDescent="0.25"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N223" s="45"/>
      <c r="O223" s="45"/>
      <c r="P223" s="45"/>
      <c r="Q223" s="45"/>
      <c r="R223" s="45"/>
      <c r="S223" s="45"/>
      <c r="T223" s="45"/>
      <c r="U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  <c r="AM223" s="45"/>
      <c r="AN223" s="45"/>
      <c r="AO223" s="45"/>
      <c r="AP223" s="45"/>
      <c r="AQ223" s="45"/>
      <c r="AR223" s="45"/>
      <c r="AS223" s="45"/>
      <c r="AT223" s="45"/>
    </row>
    <row r="224" spans="3:46" ht="15" customHeight="1" x14ac:dyDescent="0.25"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N224" s="45"/>
      <c r="O224" s="45"/>
      <c r="P224" s="45"/>
      <c r="Q224" s="45"/>
      <c r="R224" s="45"/>
      <c r="S224" s="45"/>
      <c r="T224" s="45"/>
      <c r="U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  <c r="AM224" s="45"/>
      <c r="AN224" s="45"/>
      <c r="AO224" s="45"/>
      <c r="AP224" s="45"/>
      <c r="AQ224" s="45"/>
      <c r="AR224" s="45"/>
      <c r="AS224" s="45"/>
      <c r="AT224" s="45"/>
    </row>
    <row r="225" spans="3:46" ht="15" customHeight="1" x14ac:dyDescent="0.25"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N225" s="45"/>
      <c r="O225" s="45"/>
      <c r="P225" s="45"/>
      <c r="Q225" s="45"/>
      <c r="R225" s="45"/>
      <c r="S225" s="45"/>
      <c r="T225" s="45"/>
      <c r="U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  <c r="AL225" s="45"/>
      <c r="AM225" s="45"/>
      <c r="AN225" s="45"/>
      <c r="AO225" s="45"/>
      <c r="AP225" s="45"/>
      <c r="AQ225" s="45"/>
      <c r="AR225" s="45"/>
      <c r="AS225" s="45"/>
      <c r="AT225" s="45"/>
    </row>
    <row r="226" spans="3:46" ht="15" customHeight="1" x14ac:dyDescent="0.25"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N226" s="45"/>
      <c r="O226" s="45"/>
      <c r="P226" s="45"/>
      <c r="Q226" s="45"/>
      <c r="R226" s="45"/>
      <c r="S226" s="45"/>
      <c r="T226" s="45"/>
      <c r="U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45"/>
      <c r="AN226" s="45"/>
      <c r="AO226" s="45"/>
      <c r="AP226" s="45"/>
      <c r="AQ226" s="45"/>
      <c r="AR226" s="45"/>
      <c r="AS226" s="45"/>
      <c r="AT226" s="45"/>
    </row>
    <row r="227" spans="3:46" ht="15" customHeight="1" x14ac:dyDescent="0.25"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N227" s="45"/>
      <c r="O227" s="45"/>
      <c r="P227" s="45"/>
      <c r="Q227" s="45"/>
      <c r="R227" s="45"/>
      <c r="S227" s="45"/>
      <c r="T227" s="45"/>
      <c r="U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  <c r="AM227" s="45"/>
      <c r="AN227" s="45"/>
      <c r="AO227" s="45"/>
      <c r="AP227" s="45"/>
      <c r="AQ227" s="45"/>
      <c r="AR227" s="45"/>
      <c r="AS227" s="45"/>
      <c r="AT227" s="45"/>
    </row>
    <row r="228" spans="3:46" ht="15" customHeight="1" x14ac:dyDescent="0.25"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N228" s="45"/>
      <c r="O228" s="45"/>
      <c r="P228" s="45"/>
      <c r="Q228" s="45"/>
      <c r="R228" s="45"/>
      <c r="S228" s="45"/>
      <c r="T228" s="45"/>
      <c r="U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45"/>
      <c r="AN228" s="45"/>
      <c r="AO228" s="45"/>
      <c r="AP228" s="45"/>
      <c r="AQ228" s="45"/>
      <c r="AR228" s="45"/>
      <c r="AS228" s="45"/>
      <c r="AT228" s="45"/>
    </row>
    <row r="229" spans="3:46" ht="15" customHeight="1" x14ac:dyDescent="0.25"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N229" s="45"/>
      <c r="O229" s="45"/>
      <c r="P229" s="45"/>
      <c r="Q229" s="45"/>
      <c r="R229" s="45"/>
      <c r="S229" s="45"/>
      <c r="T229" s="45"/>
      <c r="U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  <c r="AM229" s="45"/>
      <c r="AN229" s="45"/>
      <c r="AO229" s="45"/>
      <c r="AP229" s="45"/>
      <c r="AQ229" s="45"/>
      <c r="AR229" s="45"/>
      <c r="AS229" s="45"/>
      <c r="AT229" s="45"/>
    </row>
    <row r="230" spans="3:46" ht="15" customHeight="1" x14ac:dyDescent="0.25"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N230" s="45"/>
      <c r="O230" s="45"/>
      <c r="P230" s="45"/>
      <c r="Q230" s="45"/>
      <c r="R230" s="45"/>
      <c r="S230" s="45"/>
      <c r="T230" s="45"/>
      <c r="U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5"/>
      <c r="AM230" s="45"/>
      <c r="AN230" s="45"/>
      <c r="AO230" s="45"/>
      <c r="AP230" s="45"/>
      <c r="AQ230" s="45"/>
      <c r="AR230" s="45"/>
      <c r="AS230" s="45"/>
      <c r="AT230" s="45"/>
    </row>
    <row r="231" spans="3:46" ht="15" customHeight="1" x14ac:dyDescent="0.25"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N231" s="45"/>
      <c r="O231" s="45"/>
      <c r="P231" s="45"/>
      <c r="Q231" s="45"/>
      <c r="R231" s="45"/>
      <c r="S231" s="45"/>
      <c r="T231" s="45"/>
      <c r="U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  <c r="AM231" s="45"/>
      <c r="AN231" s="45"/>
      <c r="AO231" s="45"/>
      <c r="AP231" s="45"/>
      <c r="AQ231" s="45"/>
      <c r="AR231" s="45"/>
      <c r="AS231" s="45"/>
      <c r="AT231" s="45"/>
    </row>
    <row r="232" spans="3:46" ht="15" customHeight="1" x14ac:dyDescent="0.25"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N232" s="45"/>
      <c r="O232" s="45"/>
      <c r="P232" s="45"/>
      <c r="Q232" s="45"/>
      <c r="R232" s="45"/>
      <c r="S232" s="45"/>
      <c r="T232" s="45"/>
      <c r="U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45"/>
      <c r="AN232" s="45"/>
      <c r="AO232" s="45"/>
      <c r="AP232" s="45"/>
      <c r="AQ232" s="45"/>
      <c r="AR232" s="45"/>
      <c r="AS232" s="45"/>
      <c r="AT232" s="45"/>
    </row>
    <row r="233" spans="3:46" ht="15" customHeight="1" x14ac:dyDescent="0.25"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N233" s="45"/>
      <c r="O233" s="45"/>
      <c r="P233" s="45"/>
      <c r="Q233" s="45"/>
      <c r="R233" s="45"/>
      <c r="S233" s="45"/>
      <c r="T233" s="45"/>
      <c r="U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45"/>
      <c r="AN233" s="45"/>
      <c r="AO233" s="45"/>
      <c r="AP233" s="45"/>
      <c r="AQ233" s="45"/>
      <c r="AR233" s="45"/>
      <c r="AS233" s="45"/>
      <c r="AT233" s="45"/>
    </row>
    <row r="234" spans="3:46" ht="15" customHeight="1" x14ac:dyDescent="0.25"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N234" s="45"/>
      <c r="O234" s="45"/>
      <c r="P234" s="45"/>
      <c r="Q234" s="45"/>
      <c r="R234" s="45"/>
      <c r="S234" s="45"/>
      <c r="T234" s="45"/>
      <c r="U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  <c r="AM234" s="45"/>
      <c r="AN234" s="45"/>
      <c r="AO234" s="45"/>
      <c r="AP234" s="45"/>
      <c r="AQ234" s="45"/>
      <c r="AR234" s="45"/>
      <c r="AS234" s="45"/>
      <c r="AT234" s="45"/>
    </row>
    <row r="235" spans="3:46" ht="15" customHeight="1" x14ac:dyDescent="0.25"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N235" s="45"/>
      <c r="O235" s="45"/>
      <c r="P235" s="45"/>
      <c r="Q235" s="45"/>
      <c r="R235" s="45"/>
      <c r="S235" s="45"/>
      <c r="T235" s="45"/>
      <c r="U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  <c r="AM235" s="45"/>
      <c r="AN235" s="45"/>
      <c r="AO235" s="45"/>
      <c r="AP235" s="45"/>
      <c r="AQ235" s="45"/>
      <c r="AR235" s="45"/>
      <c r="AS235" s="45"/>
      <c r="AT235" s="45"/>
    </row>
    <row r="236" spans="3:46" ht="15" customHeight="1" x14ac:dyDescent="0.25"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N236" s="45"/>
      <c r="O236" s="45"/>
      <c r="P236" s="45"/>
      <c r="Q236" s="45"/>
      <c r="R236" s="45"/>
      <c r="S236" s="45"/>
      <c r="T236" s="45"/>
      <c r="U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  <c r="AL236" s="45"/>
      <c r="AM236" s="45"/>
      <c r="AN236" s="45"/>
      <c r="AO236" s="45"/>
      <c r="AP236" s="45"/>
      <c r="AQ236" s="45"/>
      <c r="AR236" s="45"/>
      <c r="AS236" s="45"/>
      <c r="AT236" s="45"/>
    </row>
    <row r="237" spans="3:46" ht="15" customHeight="1" x14ac:dyDescent="0.25"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N237" s="45"/>
      <c r="O237" s="45"/>
      <c r="P237" s="45"/>
      <c r="Q237" s="45"/>
      <c r="R237" s="45"/>
      <c r="S237" s="45"/>
      <c r="T237" s="45"/>
      <c r="U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  <c r="AL237" s="45"/>
      <c r="AM237" s="45"/>
      <c r="AN237" s="45"/>
      <c r="AO237" s="45"/>
      <c r="AP237" s="45"/>
      <c r="AQ237" s="45"/>
      <c r="AR237" s="45"/>
      <c r="AS237" s="45"/>
      <c r="AT237" s="45"/>
    </row>
    <row r="238" spans="3:46" ht="15" customHeight="1" x14ac:dyDescent="0.25"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N238" s="45"/>
      <c r="O238" s="45"/>
      <c r="P238" s="45"/>
      <c r="Q238" s="45"/>
      <c r="R238" s="45"/>
      <c r="S238" s="45"/>
      <c r="T238" s="45"/>
      <c r="U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  <c r="AL238" s="45"/>
      <c r="AM238" s="45"/>
      <c r="AN238" s="45"/>
      <c r="AO238" s="45"/>
      <c r="AP238" s="45"/>
      <c r="AQ238" s="45"/>
      <c r="AR238" s="45"/>
      <c r="AS238" s="45"/>
      <c r="AT238" s="45"/>
    </row>
    <row r="239" spans="3:46" ht="15" customHeight="1" x14ac:dyDescent="0.25"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N239" s="45"/>
      <c r="O239" s="45"/>
      <c r="P239" s="45"/>
      <c r="Q239" s="45"/>
      <c r="R239" s="45"/>
      <c r="S239" s="45"/>
      <c r="T239" s="45"/>
      <c r="U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45"/>
      <c r="AN239" s="45"/>
      <c r="AO239" s="45"/>
      <c r="AP239" s="45"/>
      <c r="AQ239" s="45"/>
      <c r="AR239" s="45"/>
      <c r="AS239" s="45"/>
      <c r="AT239" s="45"/>
    </row>
    <row r="240" spans="3:46" ht="15" customHeight="1" x14ac:dyDescent="0.25"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N240" s="45"/>
      <c r="O240" s="45"/>
      <c r="P240" s="45"/>
      <c r="Q240" s="45"/>
      <c r="R240" s="45"/>
      <c r="S240" s="45"/>
      <c r="T240" s="45"/>
      <c r="U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45"/>
      <c r="AM240" s="45"/>
      <c r="AN240" s="45"/>
      <c r="AO240" s="45"/>
      <c r="AP240" s="45"/>
      <c r="AQ240" s="45"/>
      <c r="AR240" s="45"/>
      <c r="AS240" s="45"/>
      <c r="AT240" s="45"/>
    </row>
    <row r="241" spans="3:46" ht="15" customHeight="1" x14ac:dyDescent="0.25"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N241" s="45"/>
      <c r="O241" s="45"/>
      <c r="P241" s="45"/>
      <c r="Q241" s="45"/>
      <c r="R241" s="45"/>
      <c r="S241" s="45"/>
      <c r="T241" s="45"/>
      <c r="U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  <c r="AM241" s="45"/>
      <c r="AN241" s="45"/>
      <c r="AO241" s="45"/>
      <c r="AP241" s="45"/>
      <c r="AQ241" s="45"/>
      <c r="AR241" s="45"/>
      <c r="AS241" s="45"/>
      <c r="AT241" s="45"/>
    </row>
    <row r="242" spans="3:46" ht="15" customHeight="1" x14ac:dyDescent="0.25"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N242" s="45"/>
      <c r="O242" s="45"/>
      <c r="P242" s="45"/>
      <c r="Q242" s="45"/>
      <c r="R242" s="45"/>
      <c r="S242" s="45"/>
      <c r="T242" s="45"/>
      <c r="U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  <c r="AL242" s="45"/>
      <c r="AM242" s="45"/>
      <c r="AN242" s="45"/>
      <c r="AO242" s="45"/>
      <c r="AP242" s="45"/>
      <c r="AQ242" s="45"/>
      <c r="AR242" s="45"/>
      <c r="AS242" s="45"/>
      <c r="AT242" s="45"/>
    </row>
    <row r="243" spans="3:46" ht="15" customHeight="1" x14ac:dyDescent="0.25"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N243" s="45"/>
      <c r="O243" s="45"/>
      <c r="P243" s="45"/>
      <c r="Q243" s="45"/>
      <c r="R243" s="45"/>
      <c r="S243" s="45"/>
      <c r="T243" s="45"/>
      <c r="U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  <c r="AM243" s="45"/>
      <c r="AN243" s="45"/>
      <c r="AO243" s="45"/>
      <c r="AP243" s="45"/>
      <c r="AQ243" s="45"/>
      <c r="AR243" s="45"/>
      <c r="AS243" s="45"/>
      <c r="AT243" s="45"/>
    </row>
    <row r="244" spans="3:46" ht="15" customHeight="1" x14ac:dyDescent="0.25"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N244" s="45"/>
      <c r="O244" s="45"/>
      <c r="P244" s="45"/>
      <c r="Q244" s="45"/>
      <c r="R244" s="45"/>
      <c r="S244" s="45"/>
      <c r="T244" s="45"/>
      <c r="U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  <c r="AM244" s="45"/>
      <c r="AN244" s="45"/>
      <c r="AO244" s="45"/>
      <c r="AP244" s="45"/>
      <c r="AQ244" s="45"/>
      <c r="AR244" s="45"/>
      <c r="AS244" s="45"/>
      <c r="AT244" s="45"/>
    </row>
    <row r="245" spans="3:46" ht="15" customHeight="1" x14ac:dyDescent="0.25"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N245" s="45"/>
      <c r="O245" s="45"/>
      <c r="P245" s="45"/>
      <c r="Q245" s="45"/>
      <c r="R245" s="45"/>
      <c r="S245" s="45"/>
      <c r="T245" s="45"/>
      <c r="U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45"/>
      <c r="AN245" s="45"/>
      <c r="AO245" s="45"/>
      <c r="AP245" s="45"/>
      <c r="AQ245" s="45"/>
      <c r="AR245" s="45"/>
      <c r="AS245" s="45"/>
      <c r="AT245" s="45"/>
    </row>
    <row r="246" spans="3:46" ht="15" customHeight="1" x14ac:dyDescent="0.25"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N246" s="45"/>
      <c r="O246" s="45"/>
      <c r="P246" s="45"/>
      <c r="Q246" s="45"/>
      <c r="R246" s="45"/>
      <c r="S246" s="45"/>
      <c r="T246" s="45"/>
      <c r="U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  <c r="AM246" s="45"/>
      <c r="AN246" s="45"/>
      <c r="AO246" s="45"/>
      <c r="AP246" s="45"/>
      <c r="AQ246" s="45"/>
      <c r="AR246" s="45"/>
      <c r="AS246" s="45"/>
      <c r="AT246" s="45"/>
    </row>
    <row r="247" spans="3:46" ht="15" customHeight="1" x14ac:dyDescent="0.25"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N247" s="45"/>
      <c r="O247" s="45"/>
      <c r="P247" s="45"/>
      <c r="Q247" s="45"/>
      <c r="R247" s="45"/>
      <c r="S247" s="45"/>
      <c r="T247" s="45"/>
      <c r="U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  <c r="AM247" s="45"/>
      <c r="AN247" s="45"/>
      <c r="AO247" s="45"/>
      <c r="AP247" s="45"/>
      <c r="AQ247" s="45"/>
      <c r="AR247" s="45"/>
      <c r="AS247" s="45"/>
      <c r="AT247" s="45"/>
    </row>
    <row r="248" spans="3:46" ht="15" customHeight="1" x14ac:dyDescent="0.25"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N248" s="45"/>
      <c r="O248" s="45"/>
      <c r="P248" s="45"/>
      <c r="Q248" s="45"/>
      <c r="R248" s="45"/>
      <c r="S248" s="45"/>
      <c r="T248" s="45"/>
      <c r="U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  <c r="AL248" s="45"/>
      <c r="AM248" s="45"/>
      <c r="AN248" s="45"/>
      <c r="AO248" s="45"/>
      <c r="AP248" s="45"/>
      <c r="AQ248" s="45"/>
      <c r="AR248" s="45"/>
      <c r="AS248" s="45"/>
      <c r="AT248" s="45"/>
    </row>
    <row r="249" spans="3:46" ht="15" customHeight="1" x14ac:dyDescent="0.25"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N249" s="45"/>
      <c r="O249" s="45"/>
      <c r="P249" s="45"/>
      <c r="Q249" s="45"/>
      <c r="R249" s="45"/>
      <c r="S249" s="45"/>
      <c r="T249" s="45"/>
      <c r="U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45"/>
      <c r="AM249" s="45"/>
      <c r="AN249" s="45"/>
      <c r="AO249" s="45"/>
      <c r="AP249" s="45"/>
      <c r="AQ249" s="45"/>
      <c r="AR249" s="45"/>
      <c r="AS249" s="45"/>
      <c r="AT249" s="45"/>
    </row>
    <row r="250" spans="3:46" ht="15" customHeight="1" x14ac:dyDescent="0.25"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N250" s="45"/>
      <c r="O250" s="45"/>
      <c r="P250" s="45"/>
      <c r="Q250" s="45"/>
      <c r="R250" s="45"/>
      <c r="S250" s="45"/>
      <c r="T250" s="45"/>
      <c r="U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45"/>
      <c r="AN250" s="45"/>
      <c r="AO250" s="45"/>
      <c r="AP250" s="45"/>
      <c r="AQ250" s="45"/>
      <c r="AR250" s="45"/>
      <c r="AS250" s="45"/>
      <c r="AT250" s="45"/>
    </row>
    <row r="251" spans="3:46" ht="15" customHeight="1" x14ac:dyDescent="0.25"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N251" s="45"/>
      <c r="O251" s="45"/>
      <c r="P251" s="45"/>
      <c r="Q251" s="45"/>
      <c r="R251" s="45"/>
      <c r="S251" s="45"/>
      <c r="T251" s="45"/>
      <c r="U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  <c r="AL251" s="45"/>
      <c r="AM251" s="45"/>
      <c r="AN251" s="45"/>
      <c r="AO251" s="45"/>
      <c r="AP251" s="45"/>
      <c r="AQ251" s="45"/>
      <c r="AR251" s="45"/>
      <c r="AS251" s="45"/>
      <c r="AT251" s="45"/>
    </row>
    <row r="252" spans="3:46" ht="15" customHeight="1" x14ac:dyDescent="0.25"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N252" s="45"/>
      <c r="O252" s="45"/>
      <c r="P252" s="45"/>
      <c r="Q252" s="45"/>
      <c r="R252" s="45"/>
      <c r="S252" s="45"/>
      <c r="T252" s="45"/>
      <c r="U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45"/>
      <c r="AN252" s="45"/>
      <c r="AO252" s="45"/>
      <c r="AP252" s="45"/>
      <c r="AQ252" s="45"/>
      <c r="AR252" s="45"/>
      <c r="AS252" s="45"/>
      <c r="AT252" s="45"/>
    </row>
    <row r="253" spans="3:46" ht="15" customHeight="1" x14ac:dyDescent="0.25"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N253" s="45"/>
      <c r="O253" s="45"/>
      <c r="P253" s="45"/>
      <c r="Q253" s="45"/>
      <c r="R253" s="45"/>
      <c r="S253" s="45"/>
      <c r="T253" s="45"/>
      <c r="U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5"/>
      <c r="AM253" s="45"/>
      <c r="AN253" s="45"/>
      <c r="AO253" s="45"/>
      <c r="AP253" s="45"/>
      <c r="AQ253" s="45"/>
      <c r="AR253" s="45"/>
      <c r="AS253" s="45"/>
      <c r="AT253" s="45"/>
    </row>
    <row r="254" spans="3:46" ht="15" customHeight="1" x14ac:dyDescent="0.25"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N254" s="45"/>
      <c r="O254" s="45"/>
      <c r="P254" s="45"/>
      <c r="Q254" s="45"/>
      <c r="R254" s="45"/>
      <c r="S254" s="45"/>
      <c r="T254" s="45"/>
      <c r="U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  <c r="AL254" s="45"/>
      <c r="AM254" s="45"/>
      <c r="AN254" s="45"/>
      <c r="AO254" s="45"/>
      <c r="AP254" s="45"/>
      <c r="AQ254" s="45"/>
      <c r="AR254" s="45"/>
      <c r="AS254" s="45"/>
      <c r="AT254" s="45"/>
    </row>
    <row r="255" spans="3:46" ht="15" customHeight="1" x14ac:dyDescent="0.25"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N255" s="45"/>
      <c r="O255" s="45"/>
      <c r="P255" s="45"/>
      <c r="Q255" s="45"/>
      <c r="R255" s="45"/>
      <c r="S255" s="45"/>
      <c r="T255" s="45"/>
      <c r="U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  <c r="AL255" s="45"/>
      <c r="AM255" s="45"/>
      <c r="AN255" s="45"/>
      <c r="AO255" s="45"/>
      <c r="AP255" s="45"/>
      <c r="AQ255" s="45"/>
      <c r="AR255" s="45"/>
      <c r="AS255" s="45"/>
      <c r="AT255" s="45"/>
    </row>
    <row r="256" spans="3:46" ht="15" customHeight="1" x14ac:dyDescent="0.25"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N256" s="45"/>
      <c r="O256" s="45"/>
      <c r="P256" s="45"/>
      <c r="Q256" s="45"/>
      <c r="R256" s="45"/>
      <c r="S256" s="45"/>
      <c r="T256" s="45"/>
      <c r="U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5"/>
      <c r="AM256" s="45"/>
      <c r="AN256" s="45"/>
      <c r="AO256" s="45"/>
      <c r="AP256" s="45"/>
      <c r="AQ256" s="45"/>
      <c r="AR256" s="45"/>
      <c r="AS256" s="45"/>
      <c r="AT256" s="45"/>
    </row>
    <row r="257" spans="3:46" ht="15" customHeight="1" x14ac:dyDescent="0.25"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N257" s="45"/>
      <c r="O257" s="45"/>
      <c r="P257" s="45"/>
      <c r="Q257" s="45"/>
      <c r="R257" s="45"/>
      <c r="S257" s="45"/>
      <c r="T257" s="45"/>
      <c r="U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  <c r="AL257" s="45"/>
      <c r="AM257" s="45"/>
      <c r="AN257" s="45"/>
      <c r="AO257" s="45"/>
      <c r="AP257" s="45"/>
      <c r="AQ257" s="45"/>
      <c r="AR257" s="45"/>
      <c r="AS257" s="45"/>
      <c r="AT257" s="45"/>
    </row>
    <row r="258" spans="3:46" ht="15" customHeight="1" x14ac:dyDescent="0.25"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N258" s="45"/>
      <c r="O258" s="45"/>
      <c r="P258" s="45"/>
      <c r="Q258" s="45"/>
      <c r="R258" s="45"/>
      <c r="S258" s="45"/>
      <c r="T258" s="45"/>
      <c r="U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AI258" s="45"/>
      <c r="AJ258" s="45"/>
      <c r="AK258" s="45"/>
      <c r="AL258" s="45"/>
      <c r="AM258" s="45"/>
      <c r="AN258" s="45"/>
      <c r="AO258" s="45"/>
      <c r="AP258" s="45"/>
      <c r="AQ258" s="45"/>
      <c r="AR258" s="45"/>
      <c r="AS258" s="45"/>
      <c r="AT258" s="45"/>
    </row>
    <row r="259" spans="3:46" ht="15" customHeight="1" x14ac:dyDescent="0.25"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N259" s="45"/>
      <c r="O259" s="45"/>
      <c r="P259" s="45"/>
      <c r="Q259" s="45"/>
      <c r="R259" s="45"/>
      <c r="S259" s="45"/>
      <c r="T259" s="45"/>
      <c r="U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  <c r="AL259" s="45"/>
      <c r="AM259" s="45"/>
      <c r="AN259" s="45"/>
      <c r="AO259" s="45"/>
      <c r="AP259" s="45"/>
      <c r="AQ259" s="45"/>
      <c r="AR259" s="45"/>
      <c r="AS259" s="45"/>
      <c r="AT259" s="45"/>
    </row>
    <row r="260" spans="3:46" ht="15" customHeight="1" x14ac:dyDescent="0.25"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N260" s="45"/>
      <c r="O260" s="45"/>
      <c r="P260" s="45"/>
      <c r="Q260" s="45"/>
      <c r="R260" s="45"/>
      <c r="S260" s="45"/>
      <c r="T260" s="45"/>
      <c r="U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5"/>
      <c r="AI260" s="45"/>
      <c r="AJ260" s="45"/>
      <c r="AK260" s="45"/>
      <c r="AL260" s="45"/>
      <c r="AM260" s="45"/>
      <c r="AN260" s="45"/>
      <c r="AO260" s="45"/>
      <c r="AP260" s="45"/>
      <c r="AQ260" s="45"/>
      <c r="AR260" s="45"/>
      <c r="AS260" s="45"/>
      <c r="AT260" s="45"/>
    </row>
    <row r="261" spans="3:46" ht="15" customHeight="1" x14ac:dyDescent="0.25"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N261" s="45"/>
      <c r="O261" s="45"/>
      <c r="P261" s="45"/>
      <c r="Q261" s="45"/>
      <c r="R261" s="45"/>
      <c r="S261" s="45"/>
      <c r="T261" s="45"/>
      <c r="U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  <c r="AL261" s="45"/>
      <c r="AM261" s="45"/>
      <c r="AN261" s="45"/>
      <c r="AO261" s="45"/>
      <c r="AP261" s="45"/>
      <c r="AQ261" s="45"/>
      <c r="AR261" s="45"/>
      <c r="AS261" s="45"/>
      <c r="AT261" s="45"/>
    </row>
    <row r="262" spans="3:46" ht="15" customHeight="1" x14ac:dyDescent="0.25"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N262" s="45"/>
      <c r="O262" s="45"/>
      <c r="P262" s="45"/>
      <c r="Q262" s="45"/>
      <c r="R262" s="45"/>
      <c r="S262" s="45"/>
      <c r="T262" s="45"/>
      <c r="U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  <c r="AL262" s="45"/>
      <c r="AM262" s="45"/>
      <c r="AN262" s="45"/>
      <c r="AO262" s="45"/>
      <c r="AP262" s="45"/>
      <c r="AQ262" s="45"/>
      <c r="AR262" s="45"/>
      <c r="AS262" s="45"/>
      <c r="AT262" s="45"/>
    </row>
    <row r="263" spans="3:46" ht="15" customHeight="1" x14ac:dyDescent="0.25"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N263" s="45"/>
      <c r="O263" s="45"/>
      <c r="P263" s="45"/>
      <c r="Q263" s="45"/>
      <c r="R263" s="45"/>
      <c r="S263" s="45"/>
      <c r="T263" s="45"/>
      <c r="U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  <c r="AL263" s="45"/>
      <c r="AM263" s="45"/>
      <c r="AN263" s="45"/>
      <c r="AO263" s="45"/>
      <c r="AP263" s="45"/>
      <c r="AQ263" s="45"/>
      <c r="AR263" s="45"/>
      <c r="AS263" s="45"/>
      <c r="AT263" s="45"/>
    </row>
    <row r="264" spans="3:46" ht="15" customHeight="1" x14ac:dyDescent="0.25"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N264" s="45"/>
      <c r="O264" s="45"/>
      <c r="P264" s="45"/>
      <c r="Q264" s="45"/>
      <c r="R264" s="45"/>
      <c r="S264" s="45"/>
      <c r="T264" s="45"/>
      <c r="U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  <c r="AL264" s="45"/>
      <c r="AM264" s="45"/>
      <c r="AN264" s="45"/>
      <c r="AO264" s="45"/>
      <c r="AP264" s="45"/>
      <c r="AQ264" s="45"/>
      <c r="AR264" s="45"/>
      <c r="AS264" s="45"/>
      <c r="AT264" s="45"/>
    </row>
    <row r="265" spans="3:46" ht="15" customHeight="1" x14ac:dyDescent="0.25"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N265" s="45"/>
      <c r="O265" s="45"/>
      <c r="P265" s="45"/>
      <c r="Q265" s="45"/>
      <c r="R265" s="45"/>
      <c r="S265" s="45"/>
      <c r="T265" s="45"/>
      <c r="U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  <c r="AL265" s="45"/>
      <c r="AM265" s="45"/>
      <c r="AN265" s="45"/>
      <c r="AO265" s="45"/>
      <c r="AP265" s="45"/>
      <c r="AQ265" s="45"/>
      <c r="AR265" s="45"/>
      <c r="AS265" s="45"/>
      <c r="AT265" s="45"/>
    </row>
    <row r="266" spans="3:46" ht="15" customHeight="1" x14ac:dyDescent="0.25"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N266" s="45"/>
      <c r="O266" s="45"/>
      <c r="P266" s="45"/>
      <c r="Q266" s="45"/>
      <c r="R266" s="45"/>
      <c r="S266" s="45"/>
      <c r="T266" s="45"/>
      <c r="U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  <c r="AL266" s="45"/>
      <c r="AM266" s="45"/>
      <c r="AN266" s="45"/>
      <c r="AO266" s="45"/>
      <c r="AP266" s="45"/>
      <c r="AQ266" s="45"/>
      <c r="AR266" s="45"/>
      <c r="AS266" s="45"/>
      <c r="AT266" s="45"/>
    </row>
    <row r="267" spans="3:46" ht="15" customHeight="1" x14ac:dyDescent="0.25"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N267" s="45"/>
      <c r="O267" s="45"/>
      <c r="P267" s="45"/>
      <c r="Q267" s="45"/>
      <c r="R267" s="45"/>
      <c r="S267" s="45"/>
      <c r="T267" s="45"/>
      <c r="U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  <c r="AM267" s="45"/>
      <c r="AN267" s="45"/>
      <c r="AO267" s="45"/>
      <c r="AP267" s="45"/>
      <c r="AQ267" s="45"/>
      <c r="AR267" s="45"/>
      <c r="AS267" s="45"/>
      <c r="AT267" s="45"/>
    </row>
    <row r="268" spans="3:46" ht="15" customHeight="1" x14ac:dyDescent="0.25"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N268" s="45"/>
      <c r="O268" s="45"/>
      <c r="P268" s="45"/>
      <c r="Q268" s="45"/>
      <c r="R268" s="45"/>
      <c r="S268" s="45"/>
      <c r="T268" s="45"/>
      <c r="U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  <c r="AL268" s="45"/>
      <c r="AM268" s="45"/>
      <c r="AN268" s="45"/>
      <c r="AO268" s="45"/>
      <c r="AP268" s="45"/>
      <c r="AQ268" s="45"/>
      <c r="AR268" s="45"/>
      <c r="AS268" s="45"/>
      <c r="AT268" s="45"/>
    </row>
    <row r="269" spans="3:46" ht="15" customHeight="1" x14ac:dyDescent="0.25"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N269" s="45"/>
      <c r="O269" s="45"/>
      <c r="P269" s="45"/>
      <c r="Q269" s="45"/>
      <c r="R269" s="45"/>
      <c r="S269" s="45"/>
      <c r="T269" s="45"/>
      <c r="U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  <c r="AL269" s="45"/>
      <c r="AM269" s="45"/>
      <c r="AN269" s="45"/>
      <c r="AO269" s="45"/>
      <c r="AP269" s="45"/>
      <c r="AQ269" s="45"/>
      <c r="AR269" s="45"/>
      <c r="AS269" s="45"/>
      <c r="AT269" s="45"/>
    </row>
    <row r="270" spans="3:46" ht="15" customHeight="1" x14ac:dyDescent="0.25"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N270" s="45"/>
      <c r="O270" s="45"/>
      <c r="P270" s="45"/>
      <c r="Q270" s="45"/>
      <c r="R270" s="45"/>
      <c r="S270" s="45"/>
      <c r="T270" s="45"/>
      <c r="U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  <c r="AL270" s="45"/>
      <c r="AM270" s="45"/>
      <c r="AN270" s="45"/>
      <c r="AO270" s="45"/>
      <c r="AP270" s="45"/>
      <c r="AQ270" s="45"/>
      <c r="AR270" s="45"/>
      <c r="AS270" s="45"/>
      <c r="AT270" s="45"/>
    </row>
    <row r="271" spans="3:46" ht="15" customHeight="1" x14ac:dyDescent="0.25"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N271" s="45"/>
      <c r="O271" s="45"/>
      <c r="P271" s="45"/>
      <c r="Q271" s="45"/>
      <c r="R271" s="45"/>
      <c r="S271" s="45"/>
      <c r="T271" s="45"/>
      <c r="U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45"/>
      <c r="AI271" s="45"/>
      <c r="AJ271" s="45"/>
      <c r="AK271" s="45"/>
      <c r="AL271" s="45"/>
      <c r="AM271" s="45"/>
      <c r="AN271" s="45"/>
      <c r="AO271" s="45"/>
      <c r="AP271" s="45"/>
      <c r="AQ271" s="45"/>
      <c r="AR271" s="45"/>
      <c r="AS271" s="45"/>
      <c r="AT271" s="45"/>
    </row>
    <row r="272" spans="3:46" ht="15" customHeight="1" x14ac:dyDescent="0.25"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N272" s="45"/>
      <c r="O272" s="45"/>
      <c r="P272" s="45"/>
      <c r="Q272" s="45"/>
      <c r="R272" s="45"/>
      <c r="S272" s="45"/>
      <c r="T272" s="45"/>
      <c r="U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45"/>
      <c r="AI272" s="45"/>
      <c r="AJ272" s="45"/>
      <c r="AK272" s="45"/>
      <c r="AL272" s="45"/>
      <c r="AM272" s="45"/>
      <c r="AN272" s="45"/>
      <c r="AO272" s="45"/>
      <c r="AP272" s="45"/>
      <c r="AQ272" s="45"/>
      <c r="AR272" s="45"/>
      <c r="AS272" s="45"/>
      <c r="AT272" s="45"/>
    </row>
    <row r="273" spans="3:46" ht="15" customHeight="1" x14ac:dyDescent="0.25"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N273" s="45"/>
      <c r="O273" s="45"/>
      <c r="P273" s="45"/>
      <c r="Q273" s="45"/>
      <c r="R273" s="45"/>
      <c r="S273" s="45"/>
      <c r="T273" s="45"/>
      <c r="U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  <c r="AL273" s="45"/>
      <c r="AM273" s="45"/>
      <c r="AN273" s="45"/>
      <c r="AO273" s="45"/>
      <c r="AP273" s="45"/>
      <c r="AQ273" s="45"/>
      <c r="AR273" s="45"/>
      <c r="AS273" s="45"/>
      <c r="AT273" s="45"/>
    </row>
    <row r="274" spans="3:46" ht="15" customHeight="1" x14ac:dyDescent="0.25"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N274" s="45"/>
      <c r="O274" s="45"/>
      <c r="P274" s="45"/>
      <c r="Q274" s="45"/>
      <c r="R274" s="45"/>
      <c r="S274" s="45"/>
      <c r="T274" s="45"/>
      <c r="U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  <c r="AL274" s="45"/>
      <c r="AM274" s="45"/>
      <c r="AN274" s="45"/>
      <c r="AO274" s="45"/>
      <c r="AP274" s="45"/>
      <c r="AQ274" s="45"/>
      <c r="AR274" s="45"/>
      <c r="AS274" s="45"/>
      <c r="AT274" s="45"/>
    </row>
    <row r="275" spans="3:46" ht="15" customHeight="1" x14ac:dyDescent="0.25"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N275" s="45"/>
      <c r="O275" s="45"/>
      <c r="P275" s="45"/>
      <c r="Q275" s="45"/>
      <c r="R275" s="45"/>
      <c r="S275" s="45"/>
      <c r="T275" s="45"/>
      <c r="U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  <c r="AL275" s="45"/>
      <c r="AM275" s="45"/>
      <c r="AN275" s="45"/>
      <c r="AO275" s="45"/>
      <c r="AP275" s="45"/>
      <c r="AQ275" s="45"/>
      <c r="AR275" s="45"/>
      <c r="AS275" s="45"/>
      <c r="AT275" s="45"/>
    </row>
    <row r="276" spans="3:46" ht="15" customHeight="1" x14ac:dyDescent="0.25"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N276" s="45"/>
      <c r="O276" s="45"/>
      <c r="P276" s="45"/>
      <c r="Q276" s="45"/>
      <c r="R276" s="45"/>
      <c r="S276" s="45"/>
      <c r="T276" s="45"/>
      <c r="U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45"/>
      <c r="AK276" s="45"/>
      <c r="AL276" s="45"/>
      <c r="AM276" s="45"/>
      <c r="AN276" s="45"/>
      <c r="AO276" s="45"/>
      <c r="AP276" s="45"/>
      <c r="AQ276" s="45"/>
      <c r="AR276" s="45"/>
      <c r="AS276" s="45"/>
      <c r="AT276" s="45"/>
    </row>
    <row r="277" spans="3:46" ht="15" customHeight="1" x14ac:dyDescent="0.25"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N277" s="45"/>
      <c r="O277" s="45"/>
      <c r="P277" s="45"/>
      <c r="Q277" s="45"/>
      <c r="R277" s="45"/>
      <c r="S277" s="45"/>
      <c r="T277" s="45"/>
      <c r="U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  <c r="AL277" s="45"/>
      <c r="AM277" s="45"/>
      <c r="AN277" s="45"/>
      <c r="AO277" s="45"/>
      <c r="AP277" s="45"/>
      <c r="AQ277" s="45"/>
      <c r="AR277" s="45"/>
      <c r="AS277" s="45"/>
      <c r="AT277" s="45"/>
    </row>
    <row r="278" spans="3:46" ht="15" customHeight="1" x14ac:dyDescent="0.25"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N278" s="45"/>
      <c r="O278" s="45"/>
      <c r="P278" s="45"/>
      <c r="Q278" s="45"/>
      <c r="R278" s="45"/>
      <c r="S278" s="45"/>
      <c r="T278" s="45"/>
      <c r="U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  <c r="AL278" s="45"/>
      <c r="AM278" s="45"/>
      <c r="AN278" s="45"/>
      <c r="AO278" s="45"/>
      <c r="AP278" s="45"/>
      <c r="AQ278" s="45"/>
      <c r="AR278" s="45"/>
      <c r="AS278" s="45"/>
      <c r="AT278" s="45"/>
    </row>
    <row r="279" spans="3:46" ht="15" customHeight="1" x14ac:dyDescent="0.25"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N279" s="45"/>
      <c r="O279" s="45"/>
      <c r="P279" s="45"/>
      <c r="Q279" s="45"/>
      <c r="R279" s="45"/>
      <c r="S279" s="45"/>
      <c r="T279" s="45"/>
      <c r="U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  <c r="AL279" s="45"/>
      <c r="AM279" s="45"/>
      <c r="AN279" s="45"/>
      <c r="AO279" s="45"/>
      <c r="AP279" s="45"/>
      <c r="AQ279" s="45"/>
      <c r="AR279" s="45"/>
      <c r="AS279" s="45"/>
      <c r="AT279" s="45"/>
    </row>
    <row r="280" spans="3:46" ht="15" customHeight="1" x14ac:dyDescent="0.25"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N280" s="45"/>
      <c r="O280" s="45"/>
      <c r="P280" s="45"/>
      <c r="Q280" s="45"/>
      <c r="R280" s="45"/>
      <c r="S280" s="45"/>
      <c r="T280" s="45"/>
      <c r="U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  <c r="AL280" s="45"/>
      <c r="AM280" s="45"/>
      <c r="AN280" s="45"/>
      <c r="AO280" s="45"/>
      <c r="AP280" s="45"/>
      <c r="AQ280" s="45"/>
      <c r="AR280" s="45"/>
      <c r="AS280" s="45"/>
      <c r="AT280" s="45"/>
    </row>
    <row r="281" spans="3:46" ht="15" customHeight="1" x14ac:dyDescent="0.25"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N281" s="45"/>
      <c r="O281" s="45"/>
      <c r="P281" s="45"/>
      <c r="Q281" s="45"/>
      <c r="R281" s="45"/>
      <c r="S281" s="45"/>
      <c r="T281" s="45"/>
      <c r="U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  <c r="AL281" s="45"/>
      <c r="AM281" s="45"/>
      <c r="AN281" s="45"/>
      <c r="AO281" s="45"/>
      <c r="AP281" s="45"/>
      <c r="AQ281" s="45"/>
      <c r="AR281" s="45"/>
      <c r="AS281" s="45"/>
      <c r="AT281" s="45"/>
    </row>
    <row r="282" spans="3:46" ht="15" customHeight="1" x14ac:dyDescent="0.25"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N282" s="45"/>
      <c r="O282" s="45"/>
      <c r="P282" s="45"/>
      <c r="Q282" s="45"/>
      <c r="R282" s="45"/>
      <c r="S282" s="45"/>
      <c r="T282" s="45"/>
      <c r="U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  <c r="AL282" s="45"/>
      <c r="AM282" s="45"/>
      <c r="AN282" s="45"/>
      <c r="AO282" s="45"/>
      <c r="AP282" s="45"/>
      <c r="AQ282" s="45"/>
      <c r="AR282" s="45"/>
      <c r="AS282" s="45"/>
      <c r="AT282" s="45"/>
    </row>
    <row r="283" spans="3:46" ht="15" customHeight="1" x14ac:dyDescent="0.25"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N283" s="45"/>
      <c r="O283" s="45"/>
      <c r="P283" s="45"/>
      <c r="Q283" s="45"/>
      <c r="R283" s="45"/>
      <c r="S283" s="45"/>
      <c r="T283" s="45"/>
      <c r="U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  <c r="AL283" s="45"/>
      <c r="AM283" s="45"/>
      <c r="AN283" s="45"/>
      <c r="AO283" s="45"/>
      <c r="AP283" s="45"/>
      <c r="AQ283" s="45"/>
      <c r="AR283" s="45"/>
      <c r="AS283" s="45"/>
      <c r="AT283" s="45"/>
    </row>
    <row r="284" spans="3:46" ht="15" customHeight="1" x14ac:dyDescent="0.25"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N284" s="45"/>
      <c r="O284" s="45"/>
      <c r="P284" s="45"/>
      <c r="Q284" s="45"/>
      <c r="R284" s="45"/>
      <c r="S284" s="45"/>
      <c r="T284" s="45"/>
      <c r="U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  <c r="AL284" s="45"/>
      <c r="AM284" s="45"/>
      <c r="AN284" s="45"/>
      <c r="AO284" s="45"/>
      <c r="AP284" s="45"/>
      <c r="AQ284" s="45"/>
      <c r="AR284" s="45"/>
      <c r="AS284" s="45"/>
      <c r="AT284" s="45"/>
    </row>
    <row r="285" spans="3:46" ht="15" customHeight="1" x14ac:dyDescent="0.25"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N285" s="45"/>
      <c r="O285" s="45"/>
      <c r="P285" s="45"/>
      <c r="Q285" s="45"/>
      <c r="R285" s="45"/>
      <c r="S285" s="45"/>
      <c r="T285" s="45"/>
      <c r="U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  <c r="AJ285" s="45"/>
      <c r="AK285" s="45"/>
      <c r="AL285" s="45"/>
      <c r="AM285" s="45"/>
      <c r="AN285" s="45"/>
      <c r="AO285" s="45"/>
      <c r="AP285" s="45"/>
      <c r="AQ285" s="45"/>
      <c r="AR285" s="45"/>
      <c r="AS285" s="45"/>
      <c r="AT285" s="45"/>
    </row>
    <row r="286" spans="3:46" ht="15" customHeight="1" x14ac:dyDescent="0.25"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N286" s="45"/>
      <c r="O286" s="45"/>
      <c r="P286" s="45"/>
      <c r="Q286" s="45"/>
      <c r="R286" s="45"/>
      <c r="S286" s="45"/>
      <c r="T286" s="45"/>
      <c r="U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  <c r="AL286" s="45"/>
      <c r="AM286" s="45"/>
      <c r="AN286" s="45"/>
      <c r="AO286" s="45"/>
      <c r="AP286" s="45"/>
      <c r="AQ286" s="45"/>
      <c r="AR286" s="45"/>
      <c r="AS286" s="45"/>
      <c r="AT286" s="45"/>
    </row>
    <row r="287" spans="3:46" ht="15" customHeight="1" x14ac:dyDescent="0.25"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N287" s="45"/>
      <c r="O287" s="45"/>
      <c r="P287" s="45"/>
      <c r="Q287" s="45"/>
      <c r="R287" s="45"/>
      <c r="S287" s="45"/>
      <c r="T287" s="45"/>
      <c r="U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  <c r="AL287" s="45"/>
      <c r="AM287" s="45"/>
      <c r="AN287" s="45"/>
      <c r="AO287" s="45"/>
      <c r="AP287" s="45"/>
      <c r="AQ287" s="45"/>
      <c r="AR287" s="45"/>
      <c r="AS287" s="45"/>
      <c r="AT287" s="45"/>
    </row>
    <row r="288" spans="3:46" ht="15" customHeight="1" x14ac:dyDescent="0.25"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N288" s="45"/>
      <c r="O288" s="45"/>
      <c r="P288" s="45"/>
      <c r="Q288" s="45"/>
      <c r="R288" s="45"/>
      <c r="S288" s="45"/>
      <c r="T288" s="45"/>
      <c r="U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45"/>
      <c r="AI288" s="45"/>
      <c r="AJ288" s="45"/>
      <c r="AK288" s="45"/>
      <c r="AL288" s="45"/>
      <c r="AM288" s="45"/>
      <c r="AN288" s="45"/>
      <c r="AO288" s="45"/>
      <c r="AP288" s="45"/>
      <c r="AQ288" s="45"/>
      <c r="AR288" s="45"/>
      <c r="AS288" s="45"/>
      <c r="AT288" s="45"/>
    </row>
    <row r="289" spans="3:46" ht="15" customHeight="1" x14ac:dyDescent="0.25"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N289" s="45"/>
      <c r="O289" s="45"/>
      <c r="P289" s="45"/>
      <c r="Q289" s="45"/>
      <c r="R289" s="45"/>
      <c r="S289" s="45"/>
      <c r="T289" s="45"/>
      <c r="U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  <c r="AL289" s="45"/>
      <c r="AM289" s="45"/>
      <c r="AN289" s="45"/>
      <c r="AO289" s="45"/>
      <c r="AP289" s="45"/>
      <c r="AQ289" s="45"/>
      <c r="AR289" s="45"/>
      <c r="AS289" s="45"/>
      <c r="AT289" s="45"/>
    </row>
    <row r="290" spans="3:46" ht="15" customHeight="1" x14ac:dyDescent="0.25"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N290" s="45"/>
      <c r="O290" s="45"/>
      <c r="P290" s="45"/>
      <c r="Q290" s="45"/>
      <c r="R290" s="45"/>
      <c r="S290" s="45"/>
      <c r="T290" s="45"/>
      <c r="U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  <c r="AJ290" s="45"/>
      <c r="AK290" s="45"/>
      <c r="AL290" s="45"/>
      <c r="AM290" s="45"/>
      <c r="AN290" s="45"/>
      <c r="AO290" s="45"/>
      <c r="AP290" s="45"/>
      <c r="AQ290" s="45"/>
      <c r="AR290" s="45"/>
      <c r="AS290" s="45"/>
      <c r="AT290" s="45"/>
    </row>
    <row r="291" spans="3:46" ht="15" customHeight="1" x14ac:dyDescent="0.25"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N291" s="45"/>
      <c r="O291" s="45"/>
      <c r="P291" s="45"/>
      <c r="Q291" s="45"/>
      <c r="R291" s="45"/>
      <c r="S291" s="45"/>
      <c r="T291" s="45"/>
      <c r="U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5"/>
      <c r="AM291" s="45"/>
      <c r="AN291" s="45"/>
      <c r="AO291" s="45"/>
      <c r="AP291" s="45"/>
      <c r="AQ291" s="45"/>
      <c r="AR291" s="45"/>
      <c r="AS291" s="45"/>
      <c r="AT291" s="45"/>
    </row>
    <row r="292" spans="3:46" ht="15" customHeight="1" x14ac:dyDescent="0.25"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N292" s="45"/>
      <c r="O292" s="45"/>
      <c r="P292" s="45"/>
      <c r="Q292" s="45"/>
      <c r="R292" s="45"/>
      <c r="S292" s="45"/>
      <c r="T292" s="45"/>
      <c r="U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45"/>
      <c r="AK292" s="45"/>
      <c r="AL292" s="45"/>
      <c r="AM292" s="45"/>
      <c r="AN292" s="45"/>
      <c r="AO292" s="45"/>
      <c r="AP292" s="45"/>
      <c r="AQ292" s="45"/>
      <c r="AR292" s="45"/>
      <c r="AS292" s="45"/>
      <c r="AT292" s="45"/>
    </row>
    <row r="293" spans="3:46" ht="15" customHeight="1" x14ac:dyDescent="0.25"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N293" s="45"/>
      <c r="O293" s="45"/>
      <c r="P293" s="45"/>
      <c r="Q293" s="45"/>
      <c r="R293" s="45"/>
      <c r="S293" s="45"/>
      <c r="T293" s="45"/>
      <c r="U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  <c r="AL293" s="45"/>
      <c r="AM293" s="45"/>
      <c r="AN293" s="45"/>
      <c r="AO293" s="45"/>
      <c r="AP293" s="45"/>
      <c r="AQ293" s="45"/>
      <c r="AR293" s="45"/>
      <c r="AS293" s="45"/>
      <c r="AT293" s="45"/>
    </row>
    <row r="294" spans="3:46" ht="15" customHeight="1" x14ac:dyDescent="0.25"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N294" s="45"/>
      <c r="O294" s="45"/>
      <c r="P294" s="45"/>
      <c r="Q294" s="45"/>
      <c r="R294" s="45"/>
      <c r="S294" s="45"/>
      <c r="T294" s="45"/>
      <c r="U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5"/>
      <c r="AM294" s="45"/>
      <c r="AN294" s="45"/>
      <c r="AO294" s="45"/>
      <c r="AP294" s="45"/>
      <c r="AQ294" s="45"/>
      <c r="AR294" s="45"/>
      <c r="AS294" s="45"/>
      <c r="AT294" s="45"/>
    </row>
    <row r="295" spans="3:46" ht="15" customHeight="1" x14ac:dyDescent="0.25"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N295" s="45"/>
      <c r="O295" s="45"/>
      <c r="P295" s="45"/>
      <c r="Q295" s="45"/>
      <c r="R295" s="45"/>
      <c r="S295" s="45"/>
      <c r="T295" s="45"/>
      <c r="U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  <c r="AJ295" s="45"/>
      <c r="AK295" s="45"/>
      <c r="AL295" s="45"/>
      <c r="AM295" s="45"/>
      <c r="AN295" s="45"/>
      <c r="AO295" s="45"/>
      <c r="AP295" s="45"/>
      <c r="AQ295" s="45"/>
      <c r="AR295" s="45"/>
      <c r="AS295" s="45"/>
      <c r="AT295" s="45"/>
    </row>
    <row r="296" spans="3:46" ht="15" customHeight="1" x14ac:dyDescent="0.25"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N296" s="45"/>
      <c r="O296" s="45"/>
      <c r="P296" s="45"/>
      <c r="Q296" s="45"/>
      <c r="R296" s="45"/>
      <c r="S296" s="45"/>
      <c r="T296" s="45"/>
      <c r="U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  <c r="AL296" s="45"/>
      <c r="AM296" s="45"/>
      <c r="AN296" s="45"/>
      <c r="AO296" s="45"/>
      <c r="AP296" s="45"/>
      <c r="AQ296" s="45"/>
      <c r="AR296" s="45"/>
      <c r="AS296" s="45"/>
      <c r="AT296" s="45"/>
    </row>
    <row r="297" spans="3:46" ht="15" customHeight="1" x14ac:dyDescent="0.25"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N297" s="45"/>
      <c r="O297" s="45"/>
      <c r="P297" s="45"/>
      <c r="Q297" s="45"/>
      <c r="R297" s="45"/>
      <c r="S297" s="45"/>
      <c r="T297" s="45"/>
      <c r="U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  <c r="AL297" s="45"/>
      <c r="AM297" s="45"/>
      <c r="AN297" s="45"/>
      <c r="AO297" s="45"/>
      <c r="AP297" s="45"/>
      <c r="AQ297" s="45"/>
      <c r="AR297" s="45"/>
      <c r="AS297" s="45"/>
      <c r="AT297" s="45"/>
    </row>
    <row r="298" spans="3:46" ht="15" customHeight="1" x14ac:dyDescent="0.25"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N298" s="45"/>
      <c r="O298" s="45"/>
      <c r="P298" s="45"/>
      <c r="Q298" s="45"/>
      <c r="R298" s="45"/>
      <c r="S298" s="45"/>
      <c r="T298" s="45"/>
      <c r="U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  <c r="AL298" s="45"/>
      <c r="AM298" s="45"/>
      <c r="AN298" s="45"/>
      <c r="AO298" s="45"/>
      <c r="AP298" s="45"/>
      <c r="AQ298" s="45"/>
      <c r="AR298" s="45"/>
      <c r="AS298" s="45"/>
      <c r="AT298" s="45"/>
    </row>
    <row r="299" spans="3:46" ht="15" customHeight="1" x14ac:dyDescent="0.25"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N299" s="45"/>
      <c r="O299" s="45"/>
      <c r="P299" s="45"/>
      <c r="Q299" s="45"/>
      <c r="R299" s="45"/>
      <c r="S299" s="45"/>
      <c r="T299" s="45"/>
      <c r="U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45"/>
      <c r="AI299" s="45"/>
      <c r="AJ299" s="45"/>
      <c r="AK299" s="45"/>
      <c r="AL299" s="45"/>
      <c r="AM299" s="45"/>
      <c r="AN299" s="45"/>
      <c r="AO299" s="45"/>
      <c r="AP299" s="45"/>
      <c r="AQ299" s="45"/>
      <c r="AR299" s="45"/>
      <c r="AS299" s="45"/>
      <c r="AT299" s="45"/>
    </row>
    <row r="300" spans="3:46" ht="15" customHeight="1" x14ac:dyDescent="0.25"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N300" s="45"/>
      <c r="O300" s="45"/>
      <c r="P300" s="45"/>
      <c r="Q300" s="45"/>
      <c r="R300" s="45"/>
      <c r="S300" s="45"/>
      <c r="T300" s="45"/>
      <c r="U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  <c r="AL300" s="45"/>
      <c r="AM300" s="45"/>
      <c r="AN300" s="45"/>
      <c r="AO300" s="45"/>
      <c r="AP300" s="45"/>
      <c r="AQ300" s="45"/>
      <c r="AR300" s="45"/>
      <c r="AS300" s="45"/>
      <c r="AT300" s="45"/>
    </row>
    <row r="301" spans="3:46" ht="15" customHeight="1" x14ac:dyDescent="0.25"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N301" s="45"/>
      <c r="O301" s="45"/>
      <c r="P301" s="45"/>
      <c r="Q301" s="45"/>
      <c r="R301" s="45"/>
      <c r="S301" s="45"/>
      <c r="T301" s="45"/>
      <c r="U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  <c r="AM301" s="45"/>
      <c r="AN301" s="45"/>
      <c r="AO301" s="45"/>
      <c r="AP301" s="45"/>
      <c r="AQ301" s="45"/>
      <c r="AR301" s="45"/>
      <c r="AS301" s="45"/>
      <c r="AT301" s="45"/>
    </row>
    <row r="302" spans="3:46" ht="15" customHeight="1" x14ac:dyDescent="0.25"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N302" s="45"/>
      <c r="O302" s="45"/>
      <c r="P302" s="45"/>
      <c r="Q302" s="45"/>
      <c r="R302" s="45"/>
      <c r="S302" s="45"/>
      <c r="T302" s="45"/>
      <c r="U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  <c r="AL302" s="45"/>
      <c r="AM302" s="45"/>
      <c r="AN302" s="45"/>
      <c r="AO302" s="45"/>
      <c r="AP302" s="45"/>
      <c r="AQ302" s="45"/>
      <c r="AR302" s="45"/>
      <c r="AS302" s="45"/>
      <c r="AT302" s="45"/>
    </row>
    <row r="303" spans="3:46" ht="15" customHeight="1" x14ac:dyDescent="0.25"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N303" s="45"/>
      <c r="O303" s="45"/>
      <c r="P303" s="45"/>
      <c r="Q303" s="45"/>
      <c r="R303" s="45"/>
      <c r="S303" s="45"/>
      <c r="T303" s="45"/>
      <c r="U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  <c r="AL303" s="45"/>
      <c r="AM303" s="45"/>
      <c r="AN303" s="45"/>
      <c r="AO303" s="45"/>
      <c r="AP303" s="45"/>
      <c r="AQ303" s="45"/>
      <c r="AR303" s="45"/>
      <c r="AS303" s="45"/>
      <c r="AT303" s="45"/>
    </row>
    <row r="304" spans="3:46" ht="15" customHeight="1" x14ac:dyDescent="0.25"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N304" s="45"/>
      <c r="O304" s="45"/>
      <c r="P304" s="45"/>
      <c r="Q304" s="45"/>
      <c r="R304" s="45"/>
      <c r="S304" s="45"/>
      <c r="T304" s="45"/>
      <c r="U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45"/>
      <c r="AM304" s="45"/>
      <c r="AN304" s="45"/>
      <c r="AO304" s="45"/>
      <c r="AP304" s="45"/>
      <c r="AQ304" s="45"/>
      <c r="AR304" s="45"/>
      <c r="AS304" s="45"/>
      <c r="AT304" s="45"/>
    </row>
    <row r="305" spans="3:46" ht="15" customHeight="1" x14ac:dyDescent="0.25"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N305" s="45"/>
      <c r="O305" s="45"/>
      <c r="P305" s="45"/>
      <c r="Q305" s="45"/>
      <c r="R305" s="45"/>
      <c r="S305" s="45"/>
      <c r="T305" s="45"/>
      <c r="U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  <c r="AM305" s="45"/>
      <c r="AN305" s="45"/>
      <c r="AO305" s="45"/>
      <c r="AP305" s="45"/>
      <c r="AQ305" s="45"/>
      <c r="AR305" s="45"/>
      <c r="AS305" s="45"/>
      <c r="AT305" s="45"/>
    </row>
    <row r="306" spans="3:46" ht="15" customHeight="1" x14ac:dyDescent="0.25"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N306" s="45"/>
      <c r="O306" s="45"/>
      <c r="P306" s="45"/>
      <c r="Q306" s="45"/>
      <c r="R306" s="45"/>
      <c r="S306" s="45"/>
      <c r="T306" s="45"/>
      <c r="U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  <c r="AL306" s="45"/>
      <c r="AM306" s="45"/>
      <c r="AN306" s="45"/>
      <c r="AO306" s="45"/>
      <c r="AP306" s="45"/>
      <c r="AQ306" s="45"/>
      <c r="AR306" s="45"/>
      <c r="AS306" s="45"/>
      <c r="AT306" s="45"/>
    </row>
    <row r="307" spans="3:46" ht="15" customHeight="1" x14ac:dyDescent="0.25"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N307" s="45"/>
      <c r="O307" s="45"/>
      <c r="P307" s="45"/>
      <c r="Q307" s="45"/>
      <c r="R307" s="45"/>
      <c r="S307" s="45"/>
      <c r="T307" s="45"/>
      <c r="U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  <c r="AL307" s="45"/>
      <c r="AM307" s="45"/>
      <c r="AN307" s="45"/>
      <c r="AO307" s="45"/>
      <c r="AP307" s="45"/>
      <c r="AQ307" s="45"/>
      <c r="AR307" s="45"/>
      <c r="AS307" s="45"/>
      <c r="AT307" s="45"/>
    </row>
    <row r="308" spans="3:46" ht="15" customHeight="1" x14ac:dyDescent="0.25"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N308" s="45"/>
      <c r="O308" s="45"/>
      <c r="P308" s="45"/>
      <c r="Q308" s="45"/>
      <c r="R308" s="45"/>
      <c r="S308" s="45"/>
      <c r="T308" s="45"/>
      <c r="U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  <c r="AL308" s="45"/>
      <c r="AM308" s="45"/>
      <c r="AN308" s="45"/>
      <c r="AO308" s="45"/>
      <c r="AP308" s="45"/>
      <c r="AQ308" s="45"/>
      <c r="AR308" s="45"/>
      <c r="AS308" s="45"/>
      <c r="AT308" s="45"/>
    </row>
    <row r="309" spans="3:46" ht="15" customHeight="1" x14ac:dyDescent="0.25"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N309" s="45"/>
      <c r="O309" s="45"/>
      <c r="P309" s="45"/>
      <c r="Q309" s="45"/>
      <c r="R309" s="45"/>
      <c r="S309" s="45"/>
      <c r="T309" s="45"/>
      <c r="U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  <c r="AK309" s="45"/>
      <c r="AL309" s="45"/>
      <c r="AM309" s="45"/>
      <c r="AN309" s="45"/>
      <c r="AO309" s="45"/>
      <c r="AP309" s="45"/>
      <c r="AQ309" s="45"/>
      <c r="AR309" s="45"/>
      <c r="AS309" s="45"/>
      <c r="AT309" s="45"/>
    </row>
    <row r="310" spans="3:46" ht="15" customHeight="1" x14ac:dyDescent="0.25"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N310" s="45"/>
      <c r="O310" s="45"/>
      <c r="P310" s="45"/>
      <c r="Q310" s="45"/>
      <c r="R310" s="45"/>
      <c r="S310" s="45"/>
      <c r="T310" s="45"/>
      <c r="U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45"/>
      <c r="AK310" s="45"/>
      <c r="AL310" s="45"/>
      <c r="AM310" s="45"/>
      <c r="AN310" s="45"/>
      <c r="AO310" s="45"/>
      <c r="AP310" s="45"/>
      <c r="AQ310" s="45"/>
      <c r="AR310" s="45"/>
      <c r="AS310" s="45"/>
      <c r="AT310" s="45"/>
    </row>
    <row r="311" spans="3:46" ht="15" customHeight="1" x14ac:dyDescent="0.25"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N311" s="45"/>
      <c r="O311" s="45"/>
      <c r="P311" s="45"/>
      <c r="Q311" s="45"/>
      <c r="R311" s="45"/>
      <c r="S311" s="45"/>
      <c r="T311" s="45"/>
      <c r="U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  <c r="AJ311" s="45"/>
      <c r="AK311" s="45"/>
      <c r="AL311" s="45"/>
      <c r="AM311" s="45"/>
      <c r="AN311" s="45"/>
      <c r="AO311" s="45"/>
      <c r="AP311" s="45"/>
      <c r="AQ311" s="45"/>
      <c r="AR311" s="45"/>
      <c r="AS311" s="45"/>
      <c r="AT311" s="45"/>
    </row>
    <row r="312" spans="3:46" ht="15" customHeight="1" x14ac:dyDescent="0.25"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N312" s="45"/>
      <c r="O312" s="45"/>
      <c r="P312" s="45"/>
      <c r="Q312" s="45"/>
      <c r="R312" s="45"/>
      <c r="S312" s="45"/>
      <c r="T312" s="45"/>
      <c r="U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45"/>
      <c r="AK312" s="45"/>
      <c r="AL312" s="45"/>
      <c r="AM312" s="45"/>
      <c r="AN312" s="45"/>
      <c r="AO312" s="45"/>
      <c r="AP312" s="45"/>
      <c r="AQ312" s="45"/>
      <c r="AR312" s="45"/>
      <c r="AS312" s="45"/>
      <c r="AT312" s="45"/>
    </row>
    <row r="313" spans="3:46" ht="15" customHeight="1" x14ac:dyDescent="0.25"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N313" s="45"/>
      <c r="O313" s="45"/>
      <c r="P313" s="45"/>
      <c r="Q313" s="45"/>
      <c r="R313" s="45"/>
      <c r="S313" s="45"/>
      <c r="T313" s="45"/>
      <c r="U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45"/>
      <c r="AK313" s="45"/>
      <c r="AL313" s="45"/>
      <c r="AM313" s="45"/>
      <c r="AN313" s="45"/>
      <c r="AO313" s="45"/>
      <c r="AP313" s="45"/>
      <c r="AQ313" s="45"/>
      <c r="AR313" s="45"/>
      <c r="AS313" s="45"/>
      <c r="AT313" s="45"/>
    </row>
    <row r="314" spans="3:46" ht="15" customHeight="1" x14ac:dyDescent="0.25"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N314" s="45"/>
      <c r="O314" s="45"/>
      <c r="P314" s="45"/>
      <c r="Q314" s="45"/>
      <c r="R314" s="45"/>
      <c r="S314" s="45"/>
      <c r="T314" s="45"/>
      <c r="U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45"/>
      <c r="AI314" s="45"/>
      <c r="AJ314" s="45"/>
      <c r="AK314" s="45"/>
      <c r="AL314" s="45"/>
      <c r="AM314" s="45"/>
      <c r="AN314" s="45"/>
      <c r="AO314" s="45"/>
      <c r="AP314" s="45"/>
      <c r="AQ314" s="45"/>
      <c r="AR314" s="45"/>
      <c r="AS314" s="45"/>
      <c r="AT314" s="45"/>
    </row>
    <row r="315" spans="3:46" ht="15" customHeight="1" x14ac:dyDescent="0.25"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N315" s="45"/>
      <c r="O315" s="45"/>
      <c r="P315" s="45"/>
      <c r="Q315" s="45"/>
      <c r="R315" s="45"/>
      <c r="S315" s="45"/>
      <c r="T315" s="45"/>
      <c r="U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  <c r="AK315" s="45"/>
      <c r="AL315" s="45"/>
      <c r="AM315" s="45"/>
      <c r="AN315" s="45"/>
      <c r="AO315" s="45"/>
      <c r="AP315" s="45"/>
      <c r="AQ315" s="45"/>
      <c r="AR315" s="45"/>
      <c r="AS315" s="45"/>
      <c r="AT315" s="45"/>
    </row>
    <row r="316" spans="3:46" ht="15" customHeight="1" x14ac:dyDescent="0.25"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N316" s="45"/>
      <c r="O316" s="45"/>
      <c r="P316" s="45"/>
      <c r="Q316" s="45"/>
      <c r="R316" s="45"/>
      <c r="S316" s="45"/>
      <c r="T316" s="45"/>
      <c r="U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  <c r="AJ316" s="45"/>
      <c r="AK316" s="45"/>
      <c r="AL316" s="45"/>
      <c r="AM316" s="45"/>
      <c r="AN316" s="45"/>
      <c r="AO316" s="45"/>
      <c r="AP316" s="45"/>
      <c r="AQ316" s="45"/>
      <c r="AR316" s="45"/>
      <c r="AS316" s="45"/>
      <c r="AT316" s="45"/>
    </row>
    <row r="317" spans="3:46" ht="15" customHeight="1" x14ac:dyDescent="0.25"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N317" s="45"/>
      <c r="O317" s="45"/>
      <c r="P317" s="45"/>
      <c r="Q317" s="45"/>
      <c r="R317" s="45"/>
      <c r="S317" s="45"/>
      <c r="T317" s="45"/>
      <c r="U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45"/>
      <c r="AK317" s="45"/>
      <c r="AL317" s="45"/>
      <c r="AM317" s="45"/>
      <c r="AN317" s="45"/>
      <c r="AO317" s="45"/>
      <c r="AP317" s="45"/>
      <c r="AQ317" s="45"/>
      <c r="AR317" s="45"/>
      <c r="AS317" s="45"/>
      <c r="AT317" s="45"/>
    </row>
    <row r="318" spans="3:46" ht="15" customHeight="1" x14ac:dyDescent="0.25"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N318" s="45"/>
      <c r="O318" s="45"/>
      <c r="P318" s="45"/>
      <c r="Q318" s="45"/>
      <c r="R318" s="45"/>
      <c r="S318" s="45"/>
      <c r="T318" s="45"/>
      <c r="U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  <c r="AK318" s="45"/>
      <c r="AL318" s="45"/>
      <c r="AM318" s="45"/>
      <c r="AN318" s="45"/>
      <c r="AO318" s="45"/>
      <c r="AP318" s="45"/>
      <c r="AQ318" s="45"/>
      <c r="AR318" s="45"/>
      <c r="AS318" s="45"/>
      <c r="AT318" s="45"/>
    </row>
    <row r="319" spans="3:46" ht="15" customHeight="1" x14ac:dyDescent="0.25"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N319" s="45"/>
      <c r="O319" s="45"/>
      <c r="P319" s="45"/>
      <c r="Q319" s="45"/>
      <c r="R319" s="45"/>
      <c r="S319" s="45"/>
      <c r="T319" s="45"/>
      <c r="U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  <c r="AK319" s="45"/>
      <c r="AL319" s="45"/>
      <c r="AM319" s="45"/>
      <c r="AN319" s="45"/>
      <c r="AO319" s="45"/>
      <c r="AP319" s="45"/>
      <c r="AQ319" s="45"/>
      <c r="AR319" s="45"/>
      <c r="AS319" s="45"/>
      <c r="AT319" s="45"/>
    </row>
    <row r="320" spans="3:46" ht="15" customHeight="1" x14ac:dyDescent="0.25"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N320" s="45"/>
      <c r="O320" s="45"/>
      <c r="P320" s="45"/>
      <c r="Q320" s="45"/>
      <c r="R320" s="45"/>
      <c r="S320" s="45"/>
      <c r="T320" s="45"/>
      <c r="U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45"/>
      <c r="AI320" s="45"/>
      <c r="AJ320" s="45"/>
      <c r="AK320" s="45"/>
      <c r="AL320" s="45"/>
      <c r="AM320" s="45"/>
      <c r="AN320" s="45"/>
      <c r="AO320" s="45"/>
      <c r="AP320" s="45"/>
      <c r="AQ320" s="45"/>
      <c r="AR320" s="45"/>
      <c r="AS320" s="45"/>
      <c r="AT320" s="45"/>
    </row>
    <row r="321" spans="3:46" ht="15" customHeight="1" x14ac:dyDescent="0.25"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N321" s="45"/>
      <c r="O321" s="45"/>
      <c r="P321" s="45"/>
      <c r="Q321" s="45"/>
      <c r="R321" s="45"/>
      <c r="S321" s="45"/>
      <c r="T321" s="45"/>
      <c r="U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  <c r="AL321" s="45"/>
      <c r="AM321" s="45"/>
      <c r="AN321" s="45"/>
      <c r="AO321" s="45"/>
      <c r="AP321" s="45"/>
      <c r="AQ321" s="45"/>
      <c r="AR321" s="45"/>
      <c r="AS321" s="45"/>
      <c r="AT321" s="45"/>
    </row>
    <row r="322" spans="3:46" ht="15" customHeight="1" x14ac:dyDescent="0.25"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N322" s="45"/>
      <c r="O322" s="45"/>
      <c r="P322" s="45"/>
      <c r="Q322" s="45"/>
      <c r="R322" s="45"/>
      <c r="S322" s="45"/>
      <c r="T322" s="45"/>
      <c r="U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  <c r="AL322" s="45"/>
      <c r="AM322" s="45"/>
      <c r="AN322" s="45"/>
      <c r="AO322" s="45"/>
      <c r="AP322" s="45"/>
      <c r="AQ322" s="45"/>
      <c r="AR322" s="45"/>
      <c r="AS322" s="45"/>
      <c r="AT322" s="45"/>
    </row>
    <row r="323" spans="3:46" ht="15" customHeight="1" x14ac:dyDescent="0.25"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N323" s="45"/>
      <c r="O323" s="45"/>
      <c r="P323" s="45"/>
      <c r="Q323" s="45"/>
      <c r="R323" s="45"/>
      <c r="S323" s="45"/>
      <c r="T323" s="45"/>
      <c r="U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  <c r="AL323" s="45"/>
      <c r="AM323" s="45"/>
      <c r="AN323" s="45"/>
      <c r="AO323" s="45"/>
      <c r="AP323" s="45"/>
      <c r="AQ323" s="45"/>
      <c r="AR323" s="45"/>
      <c r="AS323" s="45"/>
      <c r="AT323" s="45"/>
    </row>
    <row r="324" spans="3:46" ht="15" customHeight="1" x14ac:dyDescent="0.25"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N324" s="45"/>
      <c r="O324" s="45"/>
      <c r="P324" s="45"/>
      <c r="Q324" s="45"/>
      <c r="R324" s="45"/>
      <c r="S324" s="45"/>
      <c r="T324" s="45"/>
      <c r="U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  <c r="AL324" s="45"/>
      <c r="AM324" s="45"/>
      <c r="AN324" s="45"/>
      <c r="AO324" s="45"/>
      <c r="AP324" s="45"/>
      <c r="AQ324" s="45"/>
      <c r="AR324" s="45"/>
      <c r="AS324" s="45"/>
      <c r="AT324" s="45"/>
    </row>
    <row r="325" spans="3:46" ht="15" customHeight="1" x14ac:dyDescent="0.25"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N325" s="45"/>
      <c r="O325" s="45"/>
      <c r="P325" s="45"/>
      <c r="Q325" s="45"/>
      <c r="R325" s="45"/>
      <c r="S325" s="45"/>
      <c r="T325" s="45"/>
      <c r="U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45"/>
      <c r="AI325" s="45"/>
      <c r="AJ325" s="45"/>
      <c r="AK325" s="45"/>
      <c r="AL325" s="45"/>
      <c r="AM325" s="45"/>
      <c r="AN325" s="45"/>
      <c r="AO325" s="45"/>
      <c r="AP325" s="45"/>
      <c r="AQ325" s="45"/>
      <c r="AR325" s="45"/>
      <c r="AS325" s="45"/>
      <c r="AT325" s="45"/>
    </row>
    <row r="326" spans="3:46" ht="15" customHeight="1" x14ac:dyDescent="0.25"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N326" s="45"/>
      <c r="O326" s="45"/>
      <c r="P326" s="45"/>
      <c r="Q326" s="45"/>
      <c r="R326" s="45"/>
      <c r="S326" s="45"/>
      <c r="T326" s="45"/>
      <c r="U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45"/>
      <c r="AI326" s="45"/>
      <c r="AJ326" s="45"/>
      <c r="AK326" s="45"/>
      <c r="AL326" s="45"/>
      <c r="AM326" s="45"/>
      <c r="AN326" s="45"/>
      <c r="AO326" s="45"/>
      <c r="AP326" s="45"/>
      <c r="AQ326" s="45"/>
      <c r="AR326" s="45"/>
      <c r="AS326" s="45"/>
      <c r="AT326" s="45"/>
    </row>
    <row r="327" spans="3:46" ht="15" customHeight="1" x14ac:dyDescent="0.25"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N327" s="45"/>
      <c r="O327" s="45"/>
      <c r="P327" s="45"/>
      <c r="Q327" s="45"/>
      <c r="R327" s="45"/>
      <c r="S327" s="45"/>
      <c r="T327" s="45"/>
      <c r="U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  <c r="AL327" s="45"/>
      <c r="AM327" s="45"/>
      <c r="AN327" s="45"/>
      <c r="AO327" s="45"/>
      <c r="AP327" s="45"/>
      <c r="AQ327" s="45"/>
      <c r="AR327" s="45"/>
      <c r="AS327" s="45"/>
      <c r="AT327" s="45"/>
    </row>
    <row r="328" spans="3:46" ht="15" customHeight="1" x14ac:dyDescent="0.25"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N328" s="45"/>
      <c r="O328" s="45"/>
      <c r="P328" s="45"/>
      <c r="Q328" s="45"/>
      <c r="R328" s="45"/>
      <c r="S328" s="45"/>
      <c r="T328" s="45"/>
      <c r="U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45"/>
      <c r="AI328" s="45"/>
      <c r="AJ328" s="45"/>
      <c r="AK328" s="45"/>
      <c r="AL328" s="45"/>
      <c r="AM328" s="45"/>
      <c r="AN328" s="45"/>
      <c r="AO328" s="45"/>
      <c r="AP328" s="45"/>
      <c r="AQ328" s="45"/>
      <c r="AR328" s="45"/>
      <c r="AS328" s="45"/>
      <c r="AT328" s="45"/>
    </row>
    <row r="329" spans="3:46" ht="15" customHeight="1" x14ac:dyDescent="0.25"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N329" s="45"/>
      <c r="O329" s="45"/>
      <c r="P329" s="45"/>
      <c r="Q329" s="45"/>
      <c r="R329" s="45"/>
      <c r="S329" s="45"/>
      <c r="T329" s="45"/>
      <c r="U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5"/>
      <c r="AM329" s="45"/>
      <c r="AN329" s="45"/>
      <c r="AO329" s="45"/>
      <c r="AP329" s="45"/>
      <c r="AQ329" s="45"/>
      <c r="AR329" s="45"/>
      <c r="AS329" s="45"/>
      <c r="AT329" s="45"/>
    </row>
    <row r="330" spans="3:46" ht="15" customHeight="1" x14ac:dyDescent="0.25"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N330" s="45"/>
      <c r="O330" s="45"/>
      <c r="P330" s="45"/>
      <c r="Q330" s="45"/>
      <c r="R330" s="45"/>
      <c r="S330" s="45"/>
      <c r="T330" s="45"/>
      <c r="U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45"/>
      <c r="AI330" s="45"/>
      <c r="AJ330" s="45"/>
      <c r="AK330" s="45"/>
      <c r="AL330" s="45"/>
      <c r="AM330" s="45"/>
      <c r="AN330" s="45"/>
      <c r="AO330" s="45"/>
      <c r="AP330" s="45"/>
      <c r="AQ330" s="45"/>
      <c r="AR330" s="45"/>
      <c r="AS330" s="45"/>
      <c r="AT330" s="45"/>
    </row>
    <row r="331" spans="3:46" ht="15" customHeight="1" x14ac:dyDescent="0.25"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N331" s="45"/>
      <c r="O331" s="45"/>
      <c r="P331" s="45"/>
      <c r="Q331" s="45"/>
      <c r="R331" s="45"/>
      <c r="S331" s="45"/>
      <c r="T331" s="45"/>
      <c r="U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45"/>
      <c r="AI331" s="45"/>
      <c r="AJ331" s="45"/>
      <c r="AK331" s="45"/>
      <c r="AL331" s="45"/>
      <c r="AM331" s="45"/>
      <c r="AN331" s="45"/>
      <c r="AO331" s="45"/>
      <c r="AP331" s="45"/>
      <c r="AQ331" s="45"/>
      <c r="AR331" s="45"/>
      <c r="AS331" s="45"/>
      <c r="AT331" s="45"/>
    </row>
    <row r="332" spans="3:46" ht="15" customHeight="1" x14ac:dyDescent="0.25"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N332" s="45"/>
      <c r="O332" s="45"/>
      <c r="P332" s="45"/>
      <c r="Q332" s="45"/>
      <c r="R332" s="45"/>
      <c r="S332" s="45"/>
      <c r="T332" s="45"/>
      <c r="U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5"/>
      <c r="AM332" s="45"/>
      <c r="AN332" s="45"/>
      <c r="AO332" s="45"/>
      <c r="AP332" s="45"/>
      <c r="AQ332" s="45"/>
      <c r="AR332" s="45"/>
      <c r="AS332" s="45"/>
      <c r="AT332" s="45"/>
    </row>
    <row r="333" spans="3:46" ht="15" customHeight="1" x14ac:dyDescent="0.25"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N333" s="45"/>
      <c r="O333" s="45"/>
      <c r="P333" s="45"/>
      <c r="Q333" s="45"/>
      <c r="R333" s="45"/>
      <c r="S333" s="45"/>
      <c r="T333" s="45"/>
      <c r="U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45"/>
      <c r="AI333" s="45"/>
      <c r="AJ333" s="45"/>
      <c r="AK333" s="45"/>
      <c r="AL333" s="45"/>
      <c r="AM333" s="45"/>
      <c r="AN333" s="45"/>
      <c r="AO333" s="45"/>
      <c r="AP333" s="45"/>
      <c r="AQ333" s="45"/>
      <c r="AR333" s="45"/>
      <c r="AS333" s="45"/>
      <c r="AT333" s="45"/>
    </row>
    <row r="334" spans="3:46" ht="15" customHeight="1" x14ac:dyDescent="0.25"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N334" s="45"/>
      <c r="O334" s="45"/>
      <c r="P334" s="45"/>
      <c r="Q334" s="45"/>
      <c r="R334" s="45"/>
      <c r="S334" s="45"/>
      <c r="T334" s="45"/>
      <c r="U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45"/>
      <c r="AI334" s="45"/>
      <c r="AJ334" s="45"/>
      <c r="AK334" s="45"/>
      <c r="AL334" s="45"/>
      <c r="AM334" s="45"/>
      <c r="AN334" s="45"/>
      <c r="AO334" s="45"/>
      <c r="AP334" s="45"/>
      <c r="AQ334" s="45"/>
      <c r="AR334" s="45"/>
      <c r="AS334" s="45"/>
      <c r="AT334" s="45"/>
    </row>
    <row r="335" spans="3:46" ht="15" customHeight="1" x14ac:dyDescent="0.25"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N335" s="45"/>
      <c r="O335" s="45"/>
      <c r="P335" s="45"/>
      <c r="Q335" s="45"/>
      <c r="R335" s="45"/>
      <c r="S335" s="45"/>
      <c r="T335" s="45"/>
      <c r="U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  <c r="AL335" s="45"/>
      <c r="AM335" s="45"/>
      <c r="AN335" s="45"/>
      <c r="AO335" s="45"/>
      <c r="AP335" s="45"/>
      <c r="AQ335" s="45"/>
      <c r="AR335" s="45"/>
      <c r="AS335" s="45"/>
      <c r="AT335" s="45"/>
    </row>
    <row r="336" spans="3:46" ht="15" customHeight="1" x14ac:dyDescent="0.25"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N336" s="45"/>
      <c r="O336" s="45"/>
      <c r="P336" s="45"/>
      <c r="Q336" s="45"/>
      <c r="R336" s="45"/>
      <c r="S336" s="45"/>
      <c r="T336" s="45"/>
      <c r="U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45"/>
      <c r="AI336" s="45"/>
      <c r="AJ336" s="45"/>
      <c r="AK336" s="45"/>
      <c r="AL336" s="45"/>
      <c r="AM336" s="45"/>
      <c r="AN336" s="45"/>
      <c r="AO336" s="45"/>
      <c r="AP336" s="45"/>
      <c r="AQ336" s="45"/>
      <c r="AR336" s="45"/>
      <c r="AS336" s="45"/>
      <c r="AT336" s="45"/>
    </row>
    <row r="337" spans="3:46" ht="15" customHeight="1" x14ac:dyDescent="0.25"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N337" s="45"/>
      <c r="O337" s="45"/>
      <c r="P337" s="45"/>
      <c r="Q337" s="45"/>
      <c r="R337" s="45"/>
      <c r="S337" s="45"/>
      <c r="T337" s="45"/>
      <c r="U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  <c r="AJ337" s="45"/>
      <c r="AK337" s="45"/>
      <c r="AL337" s="45"/>
      <c r="AM337" s="45"/>
      <c r="AN337" s="45"/>
      <c r="AO337" s="45"/>
      <c r="AP337" s="45"/>
      <c r="AQ337" s="45"/>
      <c r="AR337" s="45"/>
      <c r="AS337" s="45"/>
      <c r="AT337" s="45"/>
    </row>
    <row r="338" spans="3:46" ht="15" customHeight="1" x14ac:dyDescent="0.25"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N338" s="45"/>
      <c r="O338" s="45"/>
      <c r="P338" s="45"/>
      <c r="Q338" s="45"/>
      <c r="R338" s="45"/>
      <c r="S338" s="45"/>
      <c r="T338" s="45"/>
      <c r="U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45"/>
      <c r="AI338" s="45"/>
      <c r="AJ338" s="45"/>
      <c r="AK338" s="45"/>
      <c r="AL338" s="45"/>
      <c r="AM338" s="45"/>
      <c r="AN338" s="45"/>
      <c r="AO338" s="45"/>
      <c r="AP338" s="45"/>
      <c r="AQ338" s="45"/>
      <c r="AR338" s="45"/>
      <c r="AS338" s="45"/>
      <c r="AT338" s="45"/>
    </row>
    <row r="339" spans="3:46" ht="15" customHeight="1" x14ac:dyDescent="0.25"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N339" s="45"/>
      <c r="O339" s="45"/>
      <c r="P339" s="45"/>
      <c r="Q339" s="45"/>
      <c r="R339" s="45"/>
      <c r="S339" s="45"/>
      <c r="T339" s="45"/>
      <c r="U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  <c r="AL339" s="45"/>
      <c r="AM339" s="45"/>
      <c r="AN339" s="45"/>
      <c r="AO339" s="45"/>
      <c r="AP339" s="45"/>
      <c r="AQ339" s="45"/>
      <c r="AR339" s="45"/>
      <c r="AS339" s="45"/>
      <c r="AT339" s="45"/>
    </row>
    <row r="340" spans="3:46" ht="15" customHeight="1" x14ac:dyDescent="0.25"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N340" s="45"/>
      <c r="O340" s="45"/>
      <c r="P340" s="45"/>
      <c r="Q340" s="45"/>
      <c r="R340" s="45"/>
      <c r="S340" s="45"/>
      <c r="T340" s="45"/>
      <c r="U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  <c r="AJ340" s="45"/>
      <c r="AK340" s="45"/>
      <c r="AL340" s="45"/>
      <c r="AM340" s="45"/>
      <c r="AN340" s="45"/>
      <c r="AO340" s="45"/>
      <c r="AP340" s="45"/>
      <c r="AQ340" s="45"/>
      <c r="AR340" s="45"/>
      <c r="AS340" s="45"/>
      <c r="AT340" s="45"/>
    </row>
    <row r="341" spans="3:46" ht="15" customHeight="1" x14ac:dyDescent="0.25"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N341" s="45"/>
      <c r="O341" s="45"/>
      <c r="P341" s="45"/>
      <c r="Q341" s="45"/>
      <c r="R341" s="45"/>
      <c r="S341" s="45"/>
      <c r="T341" s="45"/>
      <c r="U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  <c r="AJ341" s="45"/>
      <c r="AK341" s="45"/>
      <c r="AL341" s="45"/>
      <c r="AM341" s="45"/>
      <c r="AN341" s="45"/>
      <c r="AO341" s="45"/>
      <c r="AP341" s="45"/>
      <c r="AQ341" s="45"/>
      <c r="AR341" s="45"/>
      <c r="AS341" s="45"/>
      <c r="AT341" s="45"/>
    </row>
    <row r="342" spans="3:46" ht="15" customHeight="1" x14ac:dyDescent="0.25"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N342" s="45"/>
      <c r="O342" s="45"/>
      <c r="P342" s="45"/>
      <c r="Q342" s="45"/>
      <c r="R342" s="45"/>
      <c r="S342" s="45"/>
      <c r="T342" s="45"/>
      <c r="U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5"/>
      <c r="AJ342" s="45"/>
      <c r="AK342" s="45"/>
      <c r="AL342" s="45"/>
      <c r="AM342" s="45"/>
      <c r="AN342" s="45"/>
      <c r="AO342" s="45"/>
      <c r="AP342" s="45"/>
      <c r="AQ342" s="45"/>
      <c r="AR342" s="45"/>
      <c r="AS342" s="45"/>
      <c r="AT342" s="45"/>
    </row>
    <row r="343" spans="3:46" ht="15" customHeight="1" x14ac:dyDescent="0.25"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N343" s="45"/>
      <c r="O343" s="45"/>
      <c r="P343" s="45"/>
      <c r="Q343" s="45"/>
      <c r="R343" s="45"/>
      <c r="S343" s="45"/>
      <c r="T343" s="45"/>
      <c r="U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  <c r="AL343" s="45"/>
      <c r="AM343" s="45"/>
      <c r="AN343" s="45"/>
      <c r="AO343" s="45"/>
      <c r="AP343" s="45"/>
      <c r="AQ343" s="45"/>
      <c r="AR343" s="45"/>
      <c r="AS343" s="45"/>
      <c r="AT343" s="45"/>
    </row>
    <row r="344" spans="3:46" ht="15" customHeight="1" x14ac:dyDescent="0.25"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N344" s="45"/>
      <c r="O344" s="45"/>
      <c r="P344" s="45"/>
      <c r="Q344" s="45"/>
      <c r="R344" s="45"/>
      <c r="S344" s="45"/>
      <c r="T344" s="45"/>
      <c r="U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  <c r="AL344" s="45"/>
      <c r="AM344" s="45"/>
      <c r="AN344" s="45"/>
      <c r="AO344" s="45"/>
      <c r="AP344" s="45"/>
      <c r="AQ344" s="45"/>
      <c r="AR344" s="45"/>
      <c r="AS344" s="45"/>
      <c r="AT344" s="45"/>
    </row>
    <row r="345" spans="3:46" ht="15" customHeight="1" x14ac:dyDescent="0.25"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N345" s="45"/>
      <c r="O345" s="45"/>
      <c r="P345" s="45"/>
      <c r="Q345" s="45"/>
      <c r="R345" s="45"/>
      <c r="S345" s="45"/>
      <c r="T345" s="45"/>
      <c r="U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  <c r="AL345" s="45"/>
      <c r="AM345" s="45"/>
      <c r="AN345" s="45"/>
      <c r="AO345" s="45"/>
      <c r="AP345" s="45"/>
      <c r="AQ345" s="45"/>
      <c r="AR345" s="45"/>
      <c r="AS345" s="45"/>
      <c r="AT345" s="45"/>
    </row>
    <row r="346" spans="3:46" ht="15" customHeight="1" x14ac:dyDescent="0.25"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N346" s="45"/>
      <c r="O346" s="45"/>
      <c r="P346" s="45"/>
      <c r="Q346" s="45"/>
      <c r="R346" s="45"/>
      <c r="S346" s="45"/>
      <c r="T346" s="45"/>
      <c r="U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  <c r="AL346" s="45"/>
      <c r="AM346" s="45"/>
      <c r="AN346" s="45"/>
      <c r="AO346" s="45"/>
      <c r="AP346" s="45"/>
      <c r="AQ346" s="45"/>
      <c r="AR346" s="45"/>
      <c r="AS346" s="45"/>
      <c r="AT346" s="45"/>
    </row>
    <row r="347" spans="3:46" ht="15" customHeight="1" x14ac:dyDescent="0.25"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N347" s="45"/>
      <c r="O347" s="45"/>
      <c r="P347" s="45"/>
      <c r="Q347" s="45"/>
      <c r="R347" s="45"/>
      <c r="S347" s="45"/>
      <c r="T347" s="45"/>
      <c r="U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  <c r="AL347" s="45"/>
      <c r="AM347" s="45"/>
      <c r="AN347" s="45"/>
      <c r="AO347" s="45"/>
      <c r="AP347" s="45"/>
      <c r="AQ347" s="45"/>
      <c r="AR347" s="45"/>
      <c r="AS347" s="45"/>
      <c r="AT347" s="45"/>
    </row>
    <row r="348" spans="3:46" ht="15" customHeight="1" x14ac:dyDescent="0.25"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N348" s="45"/>
      <c r="O348" s="45"/>
      <c r="P348" s="45"/>
      <c r="Q348" s="45"/>
      <c r="R348" s="45"/>
      <c r="S348" s="45"/>
      <c r="T348" s="45"/>
      <c r="U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  <c r="AL348" s="45"/>
      <c r="AM348" s="45"/>
      <c r="AN348" s="45"/>
      <c r="AO348" s="45"/>
      <c r="AP348" s="45"/>
      <c r="AQ348" s="45"/>
      <c r="AR348" s="45"/>
      <c r="AS348" s="45"/>
      <c r="AT348" s="45"/>
    </row>
    <row r="349" spans="3:46" ht="15" customHeight="1" x14ac:dyDescent="0.25"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N349" s="45"/>
      <c r="O349" s="45"/>
      <c r="P349" s="45"/>
      <c r="Q349" s="45"/>
      <c r="R349" s="45"/>
      <c r="S349" s="45"/>
      <c r="T349" s="45"/>
      <c r="U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  <c r="AL349" s="45"/>
      <c r="AM349" s="45"/>
      <c r="AN349" s="45"/>
      <c r="AO349" s="45"/>
      <c r="AP349" s="45"/>
      <c r="AQ349" s="45"/>
      <c r="AR349" s="45"/>
      <c r="AS349" s="45"/>
      <c r="AT349" s="45"/>
    </row>
    <row r="350" spans="3:46" ht="15" customHeight="1" x14ac:dyDescent="0.25"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N350" s="45"/>
      <c r="O350" s="45"/>
      <c r="P350" s="45"/>
      <c r="Q350" s="45"/>
      <c r="R350" s="45"/>
      <c r="S350" s="45"/>
      <c r="T350" s="45"/>
      <c r="U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  <c r="AL350" s="45"/>
      <c r="AM350" s="45"/>
      <c r="AN350" s="45"/>
      <c r="AO350" s="45"/>
      <c r="AP350" s="45"/>
      <c r="AQ350" s="45"/>
      <c r="AR350" s="45"/>
      <c r="AS350" s="45"/>
      <c r="AT350" s="45"/>
    </row>
    <row r="351" spans="3:46" ht="15" customHeight="1" x14ac:dyDescent="0.25"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N351" s="45"/>
      <c r="O351" s="45"/>
      <c r="P351" s="45"/>
      <c r="Q351" s="45"/>
      <c r="R351" s="45"/>
      <c r="S351" s="45"/>
      <c r="T351" s="45"/>
      <c r="U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  <c r="AL351" s="45"/>
      <c r="AM351" s="45"/>
      <c r="AN351" s="45"/>
      <c r="AO351" s="45"/>
      <c r="AP351" s="45"/>
      <c r="AQ351" s="45"/>
      <c r="AR351" s="45"/>
      <c r="AS351" s="45"/>
      <c r="AT351" s="45"/>
    </row>
    <row r="352" spans="3:46" ht="15" customHeight="1" x14ac:dyDescent="0.25"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N352" s="45"/>
      <c r="O352" s="45"/>
      <c r="P352" s="45"/>
      <c r="Q352" s="45"/>
      <c r="R352" s="45"/>
      <c r="S352" s="45"/>
      <c r="T352" s="45"/>
      <c r="U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  <c r="AL352" s="45"/>
      <c r="AM352" s="45"/>
      <c r="AN352" s="45"/>
      <c r="AO352" s="45"/>
      <c r="AP352" s="45"/>
      <c r="AQ352" s="45"/>
      <c r="AR352" s="45"/>
      <c r="AS352" s="45"/>
      <c r="AT352" s="45"/>
    </row>
    <row r="353" spans="3:46" ht="15" customHeight="1" x14ac:dyDescent="0.25"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N353" s="45"/>
      <c r="O353" s="45"/>
      <c r="P353" s="45"/>
      <c r="Q353" s="45"/>
      <c r="R353" s="45"/>
      <c r="S353" s="45"/>
      <c r="T353" s="45"/>
      <c r="U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  <c r="AL353" s="45"/>
      <c r="AM353" s="45"/>
      <c r="AN353" s="45"/>
      <c r="AO353" s="45"/>
      <c r="AP353" s="45"/>
      <c r="AQ353" s="45"/>
      <c r="AR353" s="45"/>
      <c r="AS353" s="45"/>
      <c r="AT353" s="45"/>
    </row>
    <row r="354" spans="3:46" ht="15" customHeight="1" x14ac:dyDescent="0.25"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N354" s="45"/>
      <c r="O354" s="45"/>
      <c r="P354" s="45"/>
      <c r="Q354" s="45"/>
      <c r="R354" s="45"/>
      <c r="S354" s="45"/>
      <c r="T354" s="45"/>
      <c r="U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  <c r="AL354" s="45"/>
      <c r="AM354" s="45"/>
      <c r="AN354" s="45"/>
      <c r="AO354" s="45"/>
      <c r="AP354" s="45"/>
      <c r="AQ354" s="45"/>
      <c r="AR354" s="45"/>
      <c r="AS354" s="45"/>
      <c r="AT354" s="45"/>
    </row>
    <row r="355" spans="3:46" ht="15" customHeight="1" x14ac:dyDescent="0.25"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N355" s="45"/>
      <c r="O355" s="45"/>
      <c r="P355" s="45"/>
      <c r="Q355" s="45"/>
      <c r="R355" s="45"/>
      <c r="S355" s="45"/>
      <c r="T355" s="45"/>
      <c r="U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  <c r="AL355" s="45"/>
      <c r="AM355" s="45"/>
      <c r="AN355" s="45"/>
      <c r="AO355" s="45"/>
      <c r="AP355" s="45"/>
      <c r="AQ355" s="45"/>
      <c r="AR355" s="45"/>
      <c r="AS355" s="45"/>
      <c r="AT355" s="45"/>
    </row>
  </sheetData>
  <mergeCells count="10">
    <mergeCell ref="H2:L2"/>
    <mergeCell ref="M2:Q2"/>
    <mergeCell ref="C2:G2"/>
    <mergeCell ref="A1:V1"/>
    <mergeCell ref="Y1:AT1"/>
    <mergeCell ref="AA2:AE2"/>
    <mergeCell ref="R2:V2"/>
    <mergeCell ref="AF2:AJ2"/>
    <mergeCell ref="AP2:AT2"/>
    <mergeCell ref="AK2:AO2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72026733"><![CDATA[{"402340-KR^STRING_ARRAY NAME= TRANSPOSE(TRANSPOSE(SA_SUBARRAY(FR_RBICS_REV_MATRIX_CURRENT(\"IND\"),1,9))[14:14]);FLOAT_ARRAY PCT=TRANSPOSE(TRANSPOSE(SA_SUBARRAY(FR_RBICS_REV_MATRIX_CURRENT(\"IND\"),1,9))[14:14]);SORT_INDIRECT(NAME,PCT,2)[0:4]":["34.319797","31.111851","29.453779","5.105027","0.009546"],"402340-KR^STRING_ARRAY NAME= TRANSPOSE(TRANSPOSE(SA_SUBARRAY(FR_RBICS_REV_MATRIX_CURRENT(\"IND\"),1,9))[13:13]);FLOAT_ARRAY PCT=TRANSPOSE(TRANSPOSE(SA_SUBARRAY(FR_RBICS_REV_MATRIX_CURRENT(\"IND\"),1,9))[14:14]);SORT_INDIRECT(NAME,PCT,2)[0:4]":["Customer Relationship Management Software","Logistics and Supply Chain Service Providers","Internet Department Stores","Marketing Specialists","Investment Company"],"600536-CN^STRING_ARRAY NAME= TRANSPOSE(TRANSPOSE(SA_SUBARRAY(FR_RBICS_REV_MATRIX_CURRENT(\"IND\"),1,9))[14:14]);FLOAT_ARRAY PCT=TRANSPOSE(TRANSPOSE(SA_SUBARRAY(FR_RBICS_REV_MATRIX_CURRENT(\"IND\"),1,9))[14:14]);SORT_INDIRECT(NAME,PCT,2)[0:4]":["66.292820","33.075277","0.631903",null,null],"600536-CN^STRING_ARRAY NAME= TRANSPOSE(TRANSPOSE(SA_SUBARRAY(FR_RBICS_REV_MATRIX_CURRENT(\"IND\"),1,9))[13:13]);FLOAT_ARRAY PCT=TRANSPOSE(TRANSPOSE(SA_SUBARRAY(FR_RBICS_REV_MATRIX_CURRENT(\"IND\"),1,9))[14:14]);SORT_INDIRECT(NAME,PCT,2)[0:4]":["Industry-Specific Software","Diversified IT Infrastructure Software","General or Multi-Industry Revenue",null,null],"402340-KR^FE_RATING(MEAN,TEXTONLY,0,NOW,,,'')":"Buy","402340-KR^FG_PRICE(0,,,USD)/FG_PRICE_MAVG(0,,,USD,200)":2.45230033808695,"402340-KR^FG_PRICE(0,,,USD)/FG_PRICE_MAVG(0,,,USD,100)":1.75494733801508,"402340-KR^FG_PRICE(0,,,USD)/FG_PRICE_MAVG(0,,,USD,50)":1.42361583446713,"402340-KR^RTP_PRICE_TARGET(USD)/FG_PRICE(0,,,USD)":1.02647219595862,"402340-KR^FG_PRICE(0,,,USD)/P_PRICE_HIGH(-1AY,0,USD,,,\"PRICE\",\"INTRA\")":0.973186134372673,"402340-KR^PERCENT_CHANGE(FE_VALUATION(FFEV_EBITDA,MEAN,NTMA,,0,,,''),MAX(FE_VALUATION(FFEV_EBITDA,MEAN,NTMA,,-1AY,0,,'')))":-26.2638560178334,"402340-KR^PERCENT_CHANGE(FE_VALUATION(PE,MEAN,NTMA,,0,,,''),MAX(FE_VALUATION(PE,MEAN,NTMA,,-1AY,0,,'')))":-15.2535758595934,"402340-KR^FE_VALUATION(FFEV_EBITDA,MEAN,NTMA,,0,,,'')":5.168069,"402340-KR^FE_VALUATION(FFEV_SALES,MEAN,NTMA,,0,,,'')":48.442513,"402340-KR^FE_VALUATION(P_SALESPS,MEAN,NTMA,,0,,,'')":49.160564,"402340-KR^FE_VALUATION(PE,MEAN,NTMA,,0,,,'')":5.5869603,"402340-KR^FE_ACTUAL(ACTUAL,SALES,ANN_ROLL,0,,,,'CURRENCY=USD')":1312.099,"402340-KR^FE_ACTUAL(ACTUAL,SALES,ANN_ROLL,-1,,,,'CURRENCY=USD')":1707.4724,"402340-KR^FE_VALUATION(EBITDA_MARGIN,MEAN,ANN_ROLL,0,NOW,,,'')":210.58188,"402340-KR^FE_VALUATION(ROIC,MEAN,NTMA,,0,,,'')":36.306705,"402340-KR^FE_VALUATION(ROE,MEAN,NTMA,,0,,,'')":41.47687,"402340-KR^FE_VALUATION(DIV_YLD,MEAN,NTMA,,NOW,,,'')":0.05547204,"402340-KR^FE_VALUATION(MCAP_FCF,MEAN,NTMA,,NOW,,,'')":0.034963045,"402340-KR^FE_VALUATION(NETDEBT_EBITDA,MEAN,NTMA,,NOW,,,'')":-0.41803536,"402340-KR^FF_NET_MGN(LTM_R,0)":624.74925984098,"402340-KR^FF_EBITDA_OPER_MGN(LTM_R,0)":null,"402340-KR^FF_GROSS_MGN(LTM_R,0)":null,"402340-KR^POW(FE_ESTIMATE(EPS,MEAN,STMA,,NOW,,,'CURRENCY=USD')/FE_ESTIMATE(EPS,MEAN,LTMA,,NOW,,,'CURRENCY=USD'),0.5)-1":0.314952774817408,"402340-KR^POW(FE_ESTIMATE(SALES,MEAN,STMA,,NOW,,,'CURRENCY=USD')/FE_ESTIMATE(SALES,MEAN,LTMA,,NOW,,,'CURRENCY=USD'),0.5)-1":0.0066641445884521,"402340-KR^FE_ACTUAL(ACTUAL,EPS,ANN_ROLL,0,,,,'CURRENCY=USD')":18.967724,"402340-KR^OS_SEC_FLT_PCT(0D,,MTD,SEC)":67.4351,"402340-KR^AVG(P_VOLUME_FRQ(-1AM,NOW,D,,6))*P_PRICE_AVG(-1AM,NOW,,USD)":281.949593250238,"402340-KR^FCS_EV_DAILY(MV,NOW,,,USD,M)":56375.0154235997,"402340-KR^P_DCOUNTRY":"SOUTH KOREA","402340-KR^FR_RBICS_NAME_CURR(\"IND\")":"Customer Relationship Management Software","600536-CN^FE_RATING(MEAN,TEXTONLY,0,NOW,,,'')":"Buy","600536-CN^FG_PRICE(0,,,USD)/FG_PRICE_MAVG(0,,,USD,200)":0.962758700934671,"600536-CN^FG_PRICE(0,,,USD)/FG_PRICE_MAVG(0,,,USD,100)":0.945811823310957,"600536-CN^FG_PRICE(0,,,USD)/FG_PRICE_MAVG(0,,,USD,50)":0.969355189021248,"600536-CN^RTP_PRICE_TARGET(USD)/FG_PRICE(0,,,USD)":1.38165341545685,"600536-CN^FG_PRICE(0,,,USD)/P_PRICE_HIGH(-1AY,0,USD,,,\"PRICE\",\"INTRA\")":0.809433343519752,"600536-CN^PERCENT_CHANGE(FE_VALUATION(FFEV_EBITDA,MEAN,NTMA,,0,,,''),MAX(FE_VALUATION(FFEV_EBITDA,MEAN,NTMA,,-1AY,0,,'')))":-24.0451566240483,"600536-CN^PERCENT_CHANGE(FE_VALUATION(PE,MEAN,NTMA,,0,,,''),MAX(FE_VALUATION(PE,MEAN,NTMA,,-1AY,0,,'')))":-52.9896865388816,"600536-CN^FE_VALUATION(FFEV_EBITDA,MEAN,NTMA,,0,,,'')":90.22724,"600536-CN^FE_VALUATION(FFEV_SALES,MEAN,NTMA,,0,,,'')":6.2686024,"600536-CN^FE_VALUATION(P_SALESPS,MEAN,NTMA,,0,,,'')":6.3803506,"600536-CN^FE_VALUATION(PE,MEAN,NTMA,,0,,,'')":167.7746,"600536-CN^FE_ACTUAL(ACTUAL,SALES,ANN_ROLL,0,,,,'CURRENCY=USD')":715.4508,"600536-CN^FE_ACTUAL(ACTUAL,SALES,ANN_ROLL,-1,,,,'CURRENCY=USD')":927.7838,"600536-CN^FE_VALUATION(EBITDA_MARGIN,MEAN,ANN_ROLL,0,NOW,,,'')":null,"600536-CN^FE_VALUATION(ROIC,MEAN,NTMA,,0,,,'')":null,"600536-CN^FE_VALUATION(ROE,MEAN,NTMA,,0,,,'')":10.294197,"600536-CN^FE_VALUATION(DIV_YLD,MEAN,NTMA,,NOW,,,'')":null,"600536-CN^FE_VALUATION(MCAP_FCF,MEAN,NTMA,,NOW,,,'')":null,"600536-CN^FE_VALUATION(NETDEBT_EBITDA,MEAN,NTMA,,NOW,,,'')":null,"600536-CN^FF_NET_MGN(LTM_R,0)":-3.2876096026105,"600536-CN^FF_EBITDA_OPER_MGN(LTM_R,0)":null,"600536-CN^FF_GROSS_MGN(LTM_R,0)":37.5023857548506,"600536-CN^POW(FE_ESTIMATE(EPS,MEAN,STMA,,NOW,,,'CURRENCY=USD')/FE_ESTIMATE(EPS,MEAN,LTMA,,NOW,,,'CURRENCY=USD'),0.5)-1":1.4078498707353,"600536-CN^POW(FE_ESTIMATE(SALES,MEAN,STMA,,NOW,,,'CURRENCY=USD')/FE_ESTIMATE(SALES,MEAN,LTMA,,NOW,,,'CURRENCY=USD'),0.5)-1":0.122180956887079,"600536-CN^FE_ACTUAL(ACTUAL,EPS,ANN_ROLL,0,,,,'CURRENCY=USD')":-0.067443416,"600536-CN^OS_SEC_FLT_PCT(0D,,MTD,SEC)":62.902,"600536-CN^AVG(P_VOLUME_FRQ(-1AM,NOW,D,,6))*P_PRICE_AVG(-1AM,NOW,,USD)":103.659392359892,"600536-CN^FCS_EV_DAILY(MV,NOW,,,USD,M)":5987.98488376689,"600536-CN^P_DCOUNTRY":"CHINA","600536-CN^FR_RBICS_NAME_CURR(\"IND\")":"Industry-Specific Software","600588-CN^FE_RATING(MEAN,TEXTONLY,0,NOW,,,'')":"Hold","600588-CN^FG_PRICE(0,,,USD)/FG_PRICE_MAVG(0,,,USD,200)":0.995197945907646,"600588-CN^FG_PRICE(0,,,USD)/FG_PRICE_MAVG(0,,,USD,100)":0.977205850250614,"600588-CN^FG_PRICE(0,,,USD)/FG_PRICE_MAVG(0,,,USD,50)":0.982507385676406,"600588-CN^RTP_PRICE_TARGET(USD)/FG_PRICE(0,,,USD)":1.0623740224309,"600588-CN^FG_PRICE(0,,,USD)/P_PRICE_HIGH(-1AY,0,USD,,,\"PRICE\",\"INTRA\")":0.730800369188098,"600588-CN^PERCENT_CHANGE(FE_VALUATION(FFEV_EBITDA,MEAN,NTMA,,0,,,''),MAX(FE_VALUATION(FFEV_EBITDA,MEAN,NTMA,,-1AY,0,,'')))":-38.845174237768,"600588-CN^PERCENT_CHANGE(FE_VALUATION(PE,MEAN,NTMA,,0,,,''),MAX(FE_VALUATION(PE,MEAN,NTMA,,-1AY,0,,'')))":-99.6212737628041,"600588-CN^FE_VALUATION(FFEV_EBITDA,MEAN,NTMA,,0,,,'')":42.028336,"600588-CN^FE_VALUATION(FFEV_SALES,MEAN,NTMA,,0,,,'')":4.900148,"600588-CN^FE_VALUATION(P_SALESPS,MEAN,NTMA,,0,,,'')":4.5385985,"600588-CN^FE_VALUATION(PE,MEAN,NTMA,,0,,,'')":1627.1652,"600588-CN^FE_ACTUAL(ACTUAL,SALES,ANN_ROLL,0,,,,'CURRENCY=USD')":1260.1362,"600588-CN^FE_ACTUAL(ACTUAL,SALES,ANN_ROLL,-1,,,,'CURRENCY=USD')":1355.3845,"600588-CN^FE_VALUATION(EBITDA_MARGIN,MEAN,ANN_ROLL,0,NOW,,,'')":-8.551085,"600588-CN^FE_VALUATION(ROIC,MEAN,NTMA,,0,,,'')":null,"600588-CN^FE_VALUATION(ROE,MEAN,NTMA,,0,,,'')":0.37831128,"600588-CN^FE_VALUATION(DIV_YLD,MEAN,NTMA,,NOW,,,'')":0.09389086,"600588-CN^FE_VALUATION(MCAP_FCF,MEAN,NTMA,,NOW,,,'')":-0.79244375,"600588-CN^FE_VALUATION(NETDEBT_EBITDA,MEAN,NTMA,,NOW,,,'')":0.9734966,"600588-CN^FF_NET_MGN(LTM_R,0)":-22.3645496218344,"600588-CN^FF_EBITDA_OPER_MGN(LTM_R,0)":null,"600588-CN^FF_GROSS_MGN(LTM_R,0)":47.6444237145371,"600588-CN^POW(FE_ESTIMATE(EPS,MEAN,STMA,,NOW,,,'CURRENCY=USD')/FE_ESTIMATE(EPS,MEAN,LTMA,,NOW,,,'CURRENCY=USD'),0.5)-1":null,"600588-CN^POW(FE_ESTIMATE(SALES,MEAN,STMA,,NOW,,,'CURRENCY=USD')/FE_ESTIMATE(SALES,MEAN,LTMA,,NOW,,,'CURRENCY=USD'),0.5)-1":0.0884946026508353,"600588-CN^FE_ACTUAL(ACTUAL,EPS,ANN_ROLL,0,,,,'CURRENCY=USD')":-0.0826048,"600588-CN^OS_SEC_FLT_PCT(0D,,MTD,SEC)":47.9218,"600588-CN^AVG(P_VOLUME_FRQ(-1AM,NOW,D,,6))*P_PRICE_AVG(-1AM,NOW,,USD)":185.037312528341,"600588-CN^FCS_EV_DAILY(MV,NOW,,,USD,M)":6899.22794652492,"600588-CN^P_DCOUNTRY":"CHINA","600588-CN^FR_RBICS_NAME_CURR(\"IND\")":"General Enterprise Management Software","WTC-AU^FE_RATING(MEAN,TEXTONLY,0,NOW,,,'')":"Buy","WTC-AU^FG_PRICE(0,,,USD)/FG_PRICE_MAVG(0,,,USD,200)":0.528439410397321,"WTC-AU^FG_PRICE(0,,,USD)/FG_PRICE_MAVG(0,,,USD,100)":0.67308853732463,"WTC-AU^FG_PRICE(0,,,USD)/FG_PRICE_MAVG(0,,,USD,50)":0.736929327068808,"WTC-AU^RTP_PRICE_TARGET(USD)/FG_PRICE(0,,,USD)":2.21416474461287,"WTC-AU^FG_PRICE(0,,,USD)/P_PRICE_HIGH(-1AY,0,USD,,,\"PRICE\",\"INTRA\")":0.378248067290129,"WTC-AU^PERCENT_CHANGE(FE_VALUATION(FFEV_EBITDA,MEAN,NTMA,,0,,,''),MAX(FE_VALUATION(FFEV_EBITDA,MEAN,NTMA,,-1AY,0,,'')))":-67.4679980194177,"WTC-AU^PERCENT_CHANGE(FE_VALUATION(PE,MEAN,NTMA,,0,,,''),MAX(FE_VALUATION(PE,MEAN,NTMA,,-1AY,0,,'')))":-59.0298669136972,"WTC-AU^FE_VALUATION(FFEV_EBITDA,MEAN,NTMA,,0,,,'')":14.573994,"WTC-AU^FE_VALUATION(FFEV_SALES,MEAN,NTMA,,0,,,'')":6.485777,"WTC-AU^FE_VALUATION(P_SALESPS,MEAN,NTMA,,0,,,'')":6.570038,"WTC-AU^FE_VALUATION(PE,MEAN,NTMA,,0,,,'')":33.768036,"WTC-AU^FE_ACTUAL(ACTUAL,SALES,ANN_ROLL,0,,,,'CURRENCY=USD')":778.7,"WTC-AU^FE_ACTUAL(ACTUAL,SALES,ANN_ROLL,-1,,,,'CURRENCY=USD')":679.98206,"WTC-AU^FE_VALUATION(EBITDA_MARGIN,MEAN,ANN_ROLL,0,NOW,,,'')":49.004753,"WTC-AU^FE_VALUATION(ROIC,MEAN,NTMA,,0,,,'')":7.1074185,"WTC-AU^FE_VALUATION(ROE,MEAN,NTMA,,0,,,'')":13.849455,"WTC-AU^FE_VALUATION(DIV_YLD,MEAN,NTMA,,NOW,,,'')":0.61087143,"WTC-AU^FE_VALUATION(MCAP_FCF,MEAN,NTMA,,NOW,,,'')":2.541442,"WTC-AU^FE_VALUATION(NETDEBT_EBITDA,MEAN,NTMA,,NOW,,,'')":2.436626,"WTC-AU^FF_NET_MGN(LTM_R,0)":null,"WTC-AU^FF_EBITDA_OPER_MGN(LTM_R,0)":null,"WTC-AU^FF_GROSS_MGN(LTM_R,0)":null,"WTC-AU^POW(FE_ESTIMATE(EPS,MEAN,STMA,,NOW,,,'CURRENCY=USD')/FE_ESTIMATE(EPS,MEAN,LTMA,,NOW,,,'CURRENCY=USD'),0.5)-1":0.306702108362882,"WTC-AU^POW(FE_ESTIMATE(SALES,MEAN,STMA,,NOW,,,'CURRENCY=USD')/FE_ESTIMATE(SALES,MEAN,LTMA,,NOW,,,'CURRENCY=USD'),0.5)-1":0.214485281919876,"WTC-AU^FE_ACTUAL(ACTUAL,EPS,ANN_ROLL,0,,,,'CURRENCY=USD')":0.723086,"WTC-AU^OS_SEC_FLT_PCT(0D,,MTD,SEC)":57.2564,"WTC-AU^AVG(P_VOLUME_FRQ(-1AM,NOW,D,,6))*P_PRICE_AVG(-1AM,NOW,,USD)":71.3892577149636,"WTC-AU^FCS_EV_DAILY(MV,NOW,,,USD,M)":10234.1238930509,"WTC-AU^P_DCOUNTRY":"AUSTRALIA","WTC-AU^FR_RBICS_NAME_CURR(\"IND\")":"Enterprise Resource Planning Software","PSN-US^FE_RATING(MEAN,TEXTONLY,0,NOW,,,'')":"Overweight","PSN-US^FG_PRICE(0,,,USD)/FG_PRICE_MAVG(0,,,USD,200)":0.871327349832745,"PSN-US^FG_PRICE(0,,,USD)/FG_PRICE_MAVG(0,,,USD,100)":0.867400025744443,"PSN-US^FG_PRICE(0,,,USD)/FG_PRICE_MAVG(0,,,USD,50)":0.973980023547762,"PSN-US^RTP_PRICE_TARGET(USD)/FG_PRICE(0,,,USD)":1.24931494821456,"PSN-US^FG_PRICE(0,,,USD)/P_PRICE_HIGH(-1AY,0,USD,,,\"PRICE\",\"INTRA\")":0.722793296089385,"PSN-US^PERCENT_CHANGE(FE_VALUATION(FFEV_EBITDA,MEAN,NTMA,,0,,,''),MAX(FE_VALUATION(FFEV_EBITDA,MEAN,NTMA,,-1AY,0,,'')))":-24.7920847563561,"PSN-US^PERCENT_CHANGE(FE_VALUATION(PE,MEAN,NTMA,,0,,,''),MAX(FE_VALUATION(PE,MEAN,NTMA,,-1AY,0,,'')))":-25.4755365739178,"PSN-US^FE_VALUATION(FFEV_EBITDA,MEAN,NTMA,,0,,,'')":12.325471,"PSN-US^FE_VALUATION(FFEV_SALES,MEAN,NTMA,,0,,,'')":1.202695,"PSN-US^FE_VALUATION(P_SALESPS,MEAN,NTMA,,0,,,'')":1.0113027,"PSN-US^FE_VALUATION(PE,MEAN,NTMA,,0,,,'')":19.211885,"PSN-US^FE_ACTUAL(ACTUAL,SALES,ANN_ROLL,0,,,,'CURRENCY=USD')":6364.245,"PSN-US^FE_ACTUAL(ACTUAL,SALES,ANN_ROLL,-1,,,,'CURRENCY=USD')":6750.576,"PSN-US^FE_VALUATION(EBITDA_MARGIN,MEAN,ANN_ROLL,0,NOW,,,'')":9.573894,"PSN-US^FE_VALUATION(ROIC,MEAN,NTMA,,0,,,'')":6.479396,"PSN-US^FE_VALUATION(ROE,MEAN,NTMA,,0,,,'')":12.483823,"PSN-US^FE_VALUATION(DIV_YLD,MEAN,NTMA,,NOW,,,'')":0.0,"PSN-US^FE_VALUATION(MCAP_FCF,MEAN,NTMA,,NOW,,,'')":6.1855626,"PSN-US^FE_VALUATION(NETDEBT_EBITDA,MEAN,NTMA,,NOW,,,'')":0.4243441,"PSN-US^FF_NET_MGN(LTM_R,0)":3.78896475544232,"PSN-US^FF_EBITDA_OPER_MGN(LTM_R,0)":8.29202835528802,"PSN-US^FF_GROSS_MGN(LTM_R,0)":22.4933829543017,"PSN-US^POW(FE_ESTIMATE(EPS,MEAN,STMA,,NOW,,,'CURRENCY=USD')/FE_ESTIMATE(EPS,MEAN,LTMA,,NOW,,,'CURRENCY=USD'),0.5)-1":0.0942533070546325,"PSN-US^POW(FE_ESTIMATE(SALES,MEAN,STMA,,NOW,,,'CURRENCY=USD')/FE_ESTIMATE(SALES,MEAN,LTMA,,NOW,,,'CURRENCY=USD'),0.5)-1":0.0647308110503799,"PSN-US^FE_ACTUAL(ACTUAL,EPS,ANN_ROLL,0,,,,'CURRENCY=USD')":3.17,"PSN-US^OS_SEC_FLT_PCT(0D,,MTD,SEC)":98.6373,"PSN-US^AVG(P_VOLUME_FRQ(-1AM,NOW,D,,6))*P_PRICE_AVG(-1AM,NOW,,USD)":83.8229120938961,"PSN-US^FCS_EV_DAILY(MV,NOW,,,USD,M)":6949.14625816,"PSN-US^P_DCOUNTRY":"UNITED STATES","PSN-US^FR_RBICS_NAME_CURR(\"IND\")":"Industry-Specific Software","TNE-AU^FE_RATING(MEAN,TEXTONLY,0,NOW,,,'')":"Overweight","TNE-AU^FG_PRICE(0,,,USD)/FG_PRICE_MAVG(0,,,USD,200)":0.693619673906044,"TNE-AU^FG_PRICE(0,,,USD)/FG_PRICE_MAVG(0,,,USD,100)":0.786841816988765,"TNE-AU^FG_PRICE(0,,,USD)/FG_PRICE_MAVG(0,,,USD,50)":0.902663889029591,"TNE-AU^RTP_PRICE_TARGET(USD)/FG_PRICE(0,,,USD)":1.45256009174724,"TNE-AU^FG_PRICE(0,,,USD)/P_PRICE_HIGH(-1AY,0,USD,,,\"PRICE\",\"INTRA\")":0.572610847318002,"TNE-AU^PERCENT_CHANGE(FE_VALUATION(FFEV_EBITDA,MEAN,NTMA,,0,,,''),MAX(FE_VALUATION(FFEV_EBITDA,MEAN,NTMA,,-1AY,0,,'')))":-53.8180611332459,"TNE-AU^PERCENT_CHANGE(FE_VALUATION(PE,MEAN,NTMA,,0,,,''),MAX(FE_VALUATION(PE,MEAN,NTMA,,-1AY,0,,'')))":-52.6149648460284,"TNE-AU^FE_VALUATION(FFEV_EBITDA,MEAN,NTMA,,0,,,'')":22.166758,"TNE-AU^FE_VALUATION(FFEV_SALES,MEAN,NTMA,,0,,,'')":9.812459,"TNE-AU^FE_VALUATION(P_SALESPS,MEAN,NTMA,,0,,,'')":10.099098,"TNE-AU^FE_VALUATION(PE,MEAN,NTMA,,0,,,'')":42.049973,"TNE-AU^FE_ACTUAL(ACTUAL,SALES,ANN_ROLL,0,,,,'CURRENCY=USD')":395.72516,"TNE-AU^FE_ACTUAL(ACTUAL,SALES,ANN_ROLL,-1,,,,'CURRENCY=USD')":330.28677,"TNE-AU^FE_VALUATION(EBITDA_MARGIN,MEAN,ANN_ROLL,0,NOW,,,'')":41.995132,"TNE-AU^FE_VALUATION(ROIC,MEAN,NTMA,,0,,,'')":32.395695,"TNE-AU^FE_VALUATION(ROE,MEAN,NTMA,,0,,,'')":34.5582,"TNE-AU^FE_VALUATION(DIV_YLD,MEAN,NTMA,,NOW,,,'')":1.5591692,"TNE-AU^FE_VALUATION(MCAP_FCF,MEAN,NTMA,,NOW,,,'')":2.4676094,"TNE-AU^FE_VALUATION(NETDEBT_EBITDA,MEAN,NTMA,,NOW,,,'')":-0.80580986,"TNE-AU^FF_NET_MGN(LTM_R,0)":null,"TNE-AU^FF_EBITDA_OPER_MGN(LTM_R,0)":null,"TNE-AU^FF_GROSS_MGN(LTM_R,0)":null,"TNE-AU^POW(FE_ESTIMATE(EPS,MEAN,STMA,,NOW,,,'CURRENCY=USD')/FE_ESTIMATE(EPS,MEAN,LTMA,,NOW,,,'CURRENCY=USD'),0.5)-1":0.215174966825765,"TNE-AU^POW(FE_ESTIMATE(SALES,MEAN,STMA,,NOW,,,'CURRENCY=USD')/FE_ESTIMATE(SALES,MEAN,LTMA,,NOW,,,'CURRENCY=USD'),0.5)-1":0.167532397837422,"TNE-AU^FE_ACTUAL(ACTUAL,EPS,ANN_ROLL,0,,,,'CURRENCY=USD')":0.2732973,"TNE-AU^OS_SEC_FLT_PCT(0D,,MTD,SEC)":90.8408,"TNE-AU^AVG(P_VOLUME_FRQ(-1AM,NOW,D,,6))*P_PRICE_AVG(-1AM,NOW,,USD)":25.2517327758209,"TNE-AU^FCS_EV_DAILY(MV,NOW,,,USD,M)":5247.91788387452,"TNE-AU^P_DCOUNTRY":"AUSTRALIA","TNE-AU^FR_RBICS_NAME_CURR(\"IND\")":"General Enterprise Management Software","MANH-US^FE_RATING(MEAN,TEXTONLY,0,NOW,,,'')":"Overweight","MANH-US^FG_PRICE(0,,,USD)/FG_PRICE_MAVG(0,,,USD,200)":0.706254149276228,"MANH-US^FG_PRICE(0,,,USD)/FG_PRICE_MAVG(0,,,USD,100)":0.768566633315044,"MANH-US^FG_PRICE(0,,,USD)/FG_PRICE_MAVG(0,,,USD,50)":0.823316877285962,"MANH-US^RTP_PRICE_TARGET(USD)/FG_PRICE(0,,,USD)":1.59355080614923,"MANH-US^FG_PRICE(0,,,USD)/P_PRICE_HIGH(-1AY,0,USD,,,\"PRICE\",\"INTRA\")":0.539398106949276,"MANH-US^PERCENT_CHANGE(FE_VALUATION(FFEV_EBITDA,MEAN,NTMA,,0,,,''),MAX(FE_VALUATION(FFEV_EBITDA,MEAN,NTMA,,-1AY,0,,'')))":-44.3794440783742,"MANH-US^PERCENT_CHANGE(FE_VALUATION(PE,MEAN,NTMA,,0,,,''),MAX(FE_VALUATION(PE,MEAN,NTMA,,-1AY,0,,'')))":-44.2691215626141,"MANH-US^FE_VALUATION(FFEV_EBITDA,MEAN,NTMA,,0,,,'')":19.3934,"MANH-US^FE_VALUATION(FFEV_SALES,MEAN,NTMA,,0,,,'')":6.7815366,"MANH-US^FE_VALUATION(P_SALESPS,MEAN,NTMA,,0,,,'')":6.8735247,"MANH-US^FE_VALUATION(PE,MEAN,NTMA,,0,,,'')":25.092293,"MANH-US^FE_ACTUAL(ACTUAL,SALES,ANN_ROLL,0,,,,'CURRENCY=USD')":1081.392,"MANH-US^FE_ACTUAL(ACTUAL,SALES,ANN_ROLL,-1,,,,'CURRENCY=USD')":1042.352,"MANH-US^FE_VALUATION(EBITDA_MARGIN,MEAN,ANN_ROLL,0,NOW,,,'')":36.5032,"MANH-US^FE_VALUATION(ROIC,MEAN,NTMA,,0,,,'')":null,"MANH-US^FE_VALUATION(ROE,MEAN,NTMA,,0,,,'')":89.426445,"MANH-US^FE_VALUATION(DIV_YLD,MEAN,NTMA,,NOW,,,'')":0.0,"MANH-US^FE_VALUATION(MCAP_FCF,MEAN,NTMA,,NOW,,,'')":4.7632623,"MANH-US^FE_VALUATION(NETDEBT_EBITDA,MEAN,NTMA,,NOW,,,'')":-1.3762695,"MANH-US^FF_NET_MGN(LTM_R,0)":20.3393404056993,"MANH-US^FF_EBITDA_OPER_MGN(LTM_R,0)":26.7298075073609,"MANH-US^FF_GROSS_MGN(LTM_R,0)":55.737050024413,"MANH-US^POW(FE_ESTIMATE(EPS,MEAN,STMA,,NOW,,,'CURRENCY=USD')/FE_ESTIMATE(EPS,MEAN,LTMA,,NOW,,,'CURRENCY=USD'),0.5)-1":0.0840524895040831,"MANH-US^POW(FE_ESTIMATE(SALES,MEAN,STMA,,NOW,,,'CURRENCY=USD')/FE_ESTIMATE(SALES,MEAN,LTMA,,NOW,,,'CURRENCY=USD'),0.5)-1":0.0765687158746533,"MANH-US^FE_ACTUAL(ACTUAL,EPS,ANN_ROLL,0,,,,'CURRENCY=USD')":5.06,"MANH-US^OS_SEC_FLT_PCT(0D,,MTD,SEC)":98.5669,"MANH-US^AVG(P_VOLUME_FRQ(-1AM,NOW,D,,6))*P_PRICE_AVG(-1AM,NOW,,USD)":154.301343950062,"MANH-US^FCS_EV_DAILY(MV,NOW,,,USD,M)":8166.95260815,"MANH-US^P_DCOUNTRY":"UNITED STATES","MANH-US^FR_RBICS_NAME_CURR(\"IND\")":"Enterprise Resource Planning Software","SGE-GB^FE_RATING(MEAN,TEXTONLY,0,NOW,,,'')":"Overweight","SGE-GB^FG_PRICE(0,,,USD)/FG_PRICE_MAVG(0,,,USD,200)":0.710183443662037,"SGE-GB^FG_PRICE(0,,,USD)/FG_PRICE_MAVG(0,,,USD,100)":0.759623811024594,"SGE-GB^FG_PRICE(0,,,USD)/FG_PRICE_MAVG(0,,,USD,50)":0.803351368330732,"SGE-GB^RTP_PRICE_TARGET(USD)/FG_PRICE(0,,,USD)":1.64731975141986,"SGE-GB^FG_PRICE(0,,,USD)/P_PRICE_HIGH(-1AY,0,USD,,,\"PRICE\",\"INTRA\")":0.59934084875023,"SGE-GB^PERCENT_CHANGE(FE_VALUATION(FFEV_EBITDA,MEAN,NTMA,,0,,,''),MAX(FE_VALUATION(FFEV_EBITDA,MEAN,NTMA,,-1AY,0,,'')))":-42.2664705810943,"SGE-GB^PERCENT_CHANGE(FE_VALUATION(PE,MEAN,NTMA,,0,,,''),MAX(FE_VALUATION(PE,MEAN,NTMA,,-1AY,0,,'')))":-46.8704667239621,"SGE-GB^FE_VALUATION(FFEV_EBITDA,MEAN,NTMA,,0,,,'')":11.6515875,"SGE-GB^FE_VALUATION(FFEV_SALES,MEAN,NTMA,,0,,,'')":3.1689575,"SGE-GB^FE_VALUATION(P_SALESPS,MEAN,NTMA,,0,,,'')":2.613084,"SGE-GB^FE_VALUATION(PE,MEAN,NTMA,,0,,,'')":15.010992,"SGE-GB^FE_ACTUAL(ACTUAL,SALES,ANN_ROLL,0,,,,'CURRENCY=USD')":3286.8784,"SGE-GB^FE_ACTUAL(ACTUAL,SALES,ANN_ROLL,-1,,,,'CURRENCY=USD')":2950.563,"SGE-GB^FE_VALUATION(EBITDA_MARGIN,MEAN,ANN_ROLL,0,NOW,,,'')":26.174746,"SGE-GB^FE_VALUATION(ROIC,MEAN,NTMA,,0,,,'')":20.889921,"SGE-GB^FE_VALUATION(ROE,MEAN,NTMA,,0,,,'')":54.160404,"SGE-GB^FE_VALUATION(DIV_YLD,MEAN,NTMA,,NOW,,,'')":2.9654176,"SGE-GB^FE_VALUATION(MCAP_FCF,MEAN,NTMA,,NOW,,,'')":7.536601,"SGE-GB^FE_VALUATION(NETDEBT_EBITDA,MEAN,NTMA,,NOW,,,'')":1.1941296,"SGE-GB^FF_NET_MGN(LTM_R,0)":null,"SGE-GB^FF_EBITDA_OPER_MGN(LTM_R,0)":null,"SGE-GB^FF_GROSS_MGN(LTM_R,0)":null,"SGE-GB^POW(FE_ESTIMATE(EPS,MEAN,STMA,,NOW,,,'CURRENCY=USD')/FE_ESTIMATE(EPS,MEAN,LTMA,,NOW,,,'CURRENCY=USD'),0.5)-1":0.153882706344107,"SGE-GB^POW(FE_ESTIMATE(SALES,MEAN,STMA,,NOW,,,'CURRENCY=USD')/FE_ESTIMATE(SALES,MEAN,LTMA,,NOW,,,'CURRENCY=USD'),0.5)-1":0.0990237941009284,"SGE-GB^FE_ACTUAL(ACTUAL,EPS,ANN_ROLL,0,,,,'CURRENCY=USD')":0.5561403,"SGE-GB^OS_SEC_FLT_PCT(0D,,MTD,SEC)":97.6583,"SGE-GB^AVG(P_VOLUME_FRQ(-1AM,NOW,D,,6))*P_PRICE_AVG(-1AM,NOW,,USD)":56.1053724697384,"SGE-GB^FCS_EV_DAILY(MV,NOW,,,USD,M)":10135.4418049423,"SGE-GB^P_DCOUNTRY":"UNITED KINGDOM","SGE-GB^FR_RBICS_NAME_CURR(\"IND\")":"Enterprise Resource Planning Software","HEXA.B-SE^FE_RATING(MEAN,TEXTONLY,0,NOW,,,'')":"Overweight","HEXA.B-SE^FG_PRICE(0,,,USD)/FG_PRICE_MAVG(0,,,USD,200)":0.977128115573759,"HEXA.B-SE^FG_PRICE(0,,,USD)/FG_PRICE_MAVG(0,,,USD,100)":0.938746386499979,"HEXA.B-SE^FG_PRICE(0,,,USD)/FG_PRICE_MAVG(0,,,USD,50)":0.967438676673371,"HEXA.B-SE^RTP_PRICE_TARGET(USD)/FG_PRICE(0,,,USD)":1.16485490758755,"HEXA.B-SE^FG_PRICE(0,,,USD)/P_PRICE_HIGH(-1AY,0,USD,,,\"PRICE\",\"INTRA\")":0.843354662068853,"HEXA.B-SE^PERCENT_CHANGE(FE_VALUATION(FFEV_EBITDA,MEAN,NTMA,,0,,,''),MAX(FE_VALUATION(FFEV_EBITDA,MEAN,NTMA,,-1AY,0,,'')))":-14.9285395403216,"HEXA.B-SE^PERCENT_CHANGE(FE_VALUATION(PE,MEAN,NTMA,,0,,,''),MAX(FE_VALUATION(PE,MEAN,NTMA,,-1AY,0,,'')))":-16.380849503438,"HEXA.B-SE^FE_VALUATION(FFEV_EBITDA,MEAN,NTMA,,0,,,'')":13.819202,"HEXA.B-SE^FE_VALUATION(FFEV_SALES,MEAN,NTMA,,0,,,'')":5.1659036,"HEXA.B-SE^FE_VALUATION(P_SALESPS,MEAN,NTMA,,0,,,'')":4.544544,"HEXA.B-SE^FE_VALUATION(PE,MEAN,NTMA,,0,,,'')":21.428583,"HEXA.B-SE^FE_ACTUAL(ACTUAL,SALES,ANN_ROLL,0,,,,'CURRENCY=USD')":6455.6353,"HEXA.B-SE^FE_ACTUAL(ACTUAL,SALES,ANN_ROLL,-1,,,,'CURRENCY=USD')":5614.7134,"HEXA.B-SE^FE_VALUATION(EBITDA_MARGIN,MEAN,ANN_ROLL,0,NOW,,,'')":35.948334,"HEXA.B-SE^FE_VALUATION(ROIC,MEAN,NTMA,,0,,,'')":7.3086524,"HEXA.B-SE^FE_VALUATION(ROE,MEAN,NTMA,,0,,,'')":10.817455,"HEXA.B-SE^FE_VALUATION(DIV_YLD,MEAN,NTMA,,NOW,,,'')":1.5305086,"HEXA.B-SE^FE_VALUATION(MCAP_FCF,MEAN,NTMA,,NOW,,,'')":5.499259,"HEXA.B-SE^FE_VALUATION(NETDEBT_EBITDA,MEAN,NTMA,,NOW,,,'')":0.82659304,"HEXA.B-SE^FF_NET_MGN(LTM_R,0)":11.3479884465933,"HEXA.B-SE^FF_EBITDA_OPER_MGN(LTM_R,0)":null,"HEXA.B-SE^FF_GROSS_MGN(LTM_R,0)":77.3103741642381,"HEXA.B-SE^POW(FE_ESTIMATE(EPS,MEAN,STMA,,NOW,,,'CURRENCY=USD')/FE_ESTIMATE(EPS,MEAN,LTMA,,NOW,,,'CURRENCY=USD'),0.5)-1":0.0872989469322591,"HEXA.B-SE^POW(FE_ESTIMATE(SALES,MEAN,STMA,,NOW,,,'CURRENCY=USD')/FE_ESTIMATE(SALES,MEAN,LTMA,,NOW,,,'CURRENCY=USD'),0.5)-1":0.0337474546522472,"HEXA.B-SE^FE_ACTUAL(ACTUAL,EPS,ANN_ROLL,0,,,,'CURRENCY=USD')":0.4841875,"HEXA.B-SE^OS_SEC_FLT_PCT(0D,,MTD,SEC)":79.279,"HEXA.B-SE^AVG(P_VOLUME_FRQ(-1AM,NOW,D,,6))*P_PRICE_AVG(-1AM,NOW,,USD)":61.3288648074273,"HEXA.B-SE^FCS_EV_DAILY(MV,NOW,,,USD,M)":28896.6242327341,"HEXA.B-SE^P_DCOUNTRY":"SWEDEN","HEXA.B-SE^FR_RBICS_NAME_CURR(\"IND\")":"Computer Aided Design Software","XRO-AU^FE_RATING(MEAN,TEXTONLY,0,NOW,,,'')":"Buy","XRO-AU^FG_PRICE(0,,,USD)/FG_PRICE_MAVG(0,,,USD,200)":0.524773164343043,"XRO-AU^FG_PRICE(0,,,USD)/FG_PRICE_MAVG(0,,,USD,100)":0.641589892023529,"XRO-AU^FG_PRICE(0,,,USD)/FG_PRICE_MAVG(0,,,USD,50)":0.75467841100497,"XRO-AU^RTP_PRICE_TARGET(USD)/FG_PRICE(0,,,USD)":2.14734857018297,"XRO-AU^FG_PRICE(0,,,USD)/P_PRICE_HIGH(-1AY,0,USD,,,\"PRICE\",\"INTRA\")":0.396176248123417,"XRO-AU^PERCENT_CHANGE(FE_VALUATION(FFEV_EBITDA,MEAN,NTMA,,0,,,''),MAX(FE_VALUATION(FFEV_EBITDA,MEAN,NTMA,,-1AY,0,,'')))":-68.5187683675132,"XRO-AU^PERCENT_CHANGE(FE_VALUATION(PE,MEAN,NTMA,,0,,,''),MAX(FE_VALUATION(PE,MEAN,NTMA,,-1AY,0,,'')))":-45.3509526166549,"XRO-AU^FE_VALUATION(FFEV_EBITDA,MEAN,NTMA,,0,,,'')":11.862764,"XRO-AU^FE_VALUATION(FFEV_SALES,MEAN,NTMA,,0,,,'')":2.9018226,"XRO-AU^FE_VALUATION(P_SALESPS,MEAN,NTMA,,0,,,'')":4.116229,"XRO-AU^FE_VALUATION(PE,MEAN,NTMA,,0,,,'')":55.060276,"XRO-AU^FE_ACTUAL(ACTUAL,SALES,ANN_ROLL,0,,,,'CURRENCY=USD')":1233.7311,"XRO-AU^FE_ACTUAL(ACTUAL,SALES,ANN_ROLL,-1,,,,'CURRENCY=USD')":1047.7971,"XRO-AU^FE_VALUATION(EBITDA_MARGIN,MEAN,ANN_ROLL,0,NOW,,,'')":30.882034,"XRO-AU^FE_VALUATION(ROIC,MEAN,NTMA,,0,,,'')":3.5985992,"XRO-AU^FE_VALUATION(ROE,MEAN,NTMA,,0,,,'')":4.9533567,"XRO-AU^FE_VALUATION(DIV_YLD,MEAN,NTMA,,NOW,,,'')":0.0,"XRO-AU^FE_VALUATION(MCAP_FCF,MEAN,NTMA,,NOW,,,'')":3.0951474,"XRO-AU^FE_VALUATION(NETDEBT_EBITDA,MEAN,NTMA,,NOW,,,'')":0.24909136,"XRO-AU^FF_NET_MGN(LTM_R,0)":null,"XRO-AU^FF_EBITDA_OPER_MGN(LTM_R,0)":null,"XRO-AU^FF_GROSS_MGN(LTM_R,0)":null,"XRO-AU^POW(FE_ESTIMATE(EPS,MEAN,STMA,,NOW,,,'CURRENCY=USD')/FE_ESTIMATE(EPS,MEAN,LTMA,,NOW,,,'CURRENCY=USD'),0.5)-1":0.304881297283397,"XRO-AU^POW(FE_ESTIMATE(SALES,MEAN,STMA,,NOW,,,'CURRENCY=USD')/FE_ESTIMATE(SALES,MEAN,LTMA,,NOW,,,'CURRENCY=USD'),0.5)-1":0.266647267395308,"XRO-AU^FE_ACTUAL(ACTUAL,EPS,ANN_ROLL,0,,,,'CURRENCY=USD')":0.8625225,"XRO-AU^OS_SEC_FLT_PCT(0D,,MTD,SEC)":97.4181,"XRO-AU^AVG(P_VOLUME_FRQ(-1AM,NOW,D,,6))*P_PRICE_AVG(-1AM,NOW,,USD)":71.2166959810052,"XRO-AU^FCS_EV_DAILY(MV,NOW,,,USD,M)":8750.94670888579,"XRO-AU^P_DCOUNTRY":"AUSTRALIA","XRO-AU^FR_RBICS_NAME_CURR(\"IND\")":"Enterprise Resource Planning Software","TYL-US^FE_RATING(MEAN,TEXTONLY,0,NOW,,,'')":"Overweight","TYL-US^FG_PRICE(0,,,USD)/FG_PRICE_MAVG(0,,,USD,200)":0.640670866176009,"TYL-US^FG_PRICE(0,,,USD)/FG_PRICE_MAVG(0,,,USD,100)":0.728551463369576,"TYL-US^FG_PRICE(0,,,USD)/FG_PRICE_MAVG(0,,,USD,50)":0.795712031771466,"TYL-US^RTP_PRICE_TARGET(USD)/FG_PRICE(0,,,USD)":1.34937303107048,"TYL-US^FG_PRICE(0,,,USD)/P_PRICE_HIGH(-1AY,0,USD,,,\"PRICE\",\"INTRA\")":0.516758171603677,"TYL-US^PERCENT_CHANGE(FE_VALUATION(FFEV_EBITDA,MEAN,NTMA,,0,,,''),MAX(FE_VALUATION(FFEV_EBITDA,MEAN,NTMA,,-1AY,0,,'')))":-54.1988903373322,"TYL-US^PERCENT_CHANGE(FE_VALUATION(PE,MEAN,NTMA,,0,,,''),MAX(FE_VALUATION(PE,MEAN,NTMA,,-1AY,0,,'')))":-54.4246110286936,"TYL-US^FE_VALUATION(FFEV_EBITDA,MEAN,NTMA,,0,,,'')":18.20838,"TYL-US^FE_VALUATION(FFEV_SALES,MEAN,NTMA,,0,,,'')":5.3438025,"TYL-US^FE_VALUATION(P_SALESPS,MEAN,NTMA,,0,,,'')":5.4165545,"TYL-US^FE_VALUATION(PE,MEAN,NTMA,,0,,,'')":25.327198,"TYL-US^FE_ACTUAL(ACTUAL,SALES,ANN_ROLL,0,,,,'CURRENCY=USD')":2332.34,"TYL-US^FE_ACTUAL(ACTUAL,SALES,ANN_ROLL,-1,,,,'CURRENCY=USD')":2137.803,"TYL-US^FE_VALUATION(EBITDA_MARGIN,MEAN,ANN_ROLL,0,NOW,,,'')":27.901846,"TYL-US^FE_VALUATION(ROIC,MEAN,NTMA,,0,,,'')":7.8122134,"TYL-US^FE_VALUATION(ROE,MEAN,NTMA,,0,,,'')":12.747772,"TYL-US^FE_VALUATION(DIV_YLD,MEAN,NTMA,,NOW,,,'')":null,"TYL-US^FE_VALUATION(MCAP_FCF,MEAN,NTMA,,NOW,,,'')":4.9913015,"TYL-US^FE_VALUATION(NETDEBT_EBITDA,MEAN,NTMA,,NOW,,,'')":-1.6734495,"TYL-US^FF_NET_MGN(LTM_R,0)":13.5316034540419,"TYL-US^FF_EBITDA_OPER_MGN(LTM_R,0)":21.6752274539733,"TYL-US^FF_GROSS_MGN(LTM_R,0)":44.0450791908555,"TYL-US^POW(FE_ESTIMATE(EPS,MEAN,STMA,,NOW,,,'CURRENCY=USD')/FE_ESTIMATE(EPS,MEAN,LTMA,,NOW,,,'CURRENCY=USD'),0.5)-1":0.123214449693379,"TYL-US^POW(FE_ESTIMATE(SALES,MEAN,STMA,,NOW,,,'CURRENCY=USD')/FE_ESTIMATE(SALES,MEAN,LTMA,,NOW,,,'CURRENCY=USD'),0.5)-1":0.0913504478397396,"TYL-US^FE_ACTUAL(ACTUAL,EPS,ANN_ROLL,0,,,,'CURRENCY=USD')":11.31,"TYL-US^OS_SEC_FLT_PCT(0D,,MTD,SEC)":99.5873,"TYL-US^AVG(P_VOLUME_FRQ(-1AM,NOW,D,,6))*P_PRICE_AVG(-1AM,NOW,,USD)":322.995788926244,"TYL-US^FCS_EV_DAILY(MV,NOW,,,USD,M)":14142.2516252,"TYL-US^P_DCOUNTRY":"UNITED STATES","TYL-US^FR_RBICS_NAME_CURR(\"IND\")":"Government and Not-For-Profit Industry Software","AGYS-US^FE_RATING(MEAN,TEXTONLY,0,NOW,,,'')":"Buy","AGYS-US^FG_PRICE(0,,,USD)/FG_PRICE_MAVG(0,,,USD,200)":0.654354372852431,"AGYS-US^FG_PRICE(0,,,USD)/FG_PRICE_MAVG(0,,,USD,100)":0.643310425213264,"AGYS-US^FG_PRICE(0,,,USD)/FG_PRICE_MAVG(0,,,USD,50)":0.693686078374864,"AGYS-US^RTP_PRICE_TARGET(USD)/FG_PRICE(0,,,USD)":1.91746561067111,"AGYS-US^FG_PRICE(0,,,USD)/P_PRICE_HIGH(-1AY,0,USD,,,\"PRICE\",\"INTRA\")":0.495490533562823,"AGYS-US^PERCENT_CHANGE(FE_VALUATION(FFEV_EBITDA,MEAN,NTMA,,0,,,''),MAX(FE_VALUATION(FFEV_EBITDA,MEAN,NTMA,,-1AY,0,,'')))":-52.9640314241315,"AGYS-US^PERCENT_CHANGE(FE_VALUATION(PE,MEAN,NTMA,,0,,,''),MAX(FE_VALUATION(PE,MEAN,NTMA,,-1AY,0,,'')))":-52.8200281433403,"AGYS-US^FE_VALUATION(FFEV_EBITDA,MEAN,NTMA,,0,,,'')":25.218502,"AGYS-US^FE_VALUATION(FFEV_SALES,MEAN,NTMA,,0,,,'')":5.5277386,"AGYS-US^FE_VALUATION(P_SALESPS,MEAN,NTMA,,0,,,'')":5.631908,"AGYS-US^FE_VALUATION(PE,MEAN,NTMA,,0,,,'')":33.880386,"AGYS-US^FE_ACTUAL(ACTUAL,SALES,ANN_ROLL,0,,,,'CURRENCY=USD')":275.624,"AGYS-US^FE_ACTUAL(ACTUAL,SALES,ANN_ROLL,-1,,,,'CURRENCY=USD')":237.464,"AGYS-US^FE_VALUATION(EBITDA_MARGIN,MEAN,ANN_ROLL,0,NOW,,,'')":19.533495,"AGYS-US^FE_VALUATION(ROIC,MEAN,NTMA,,0,,,'')":null,"AGYS-US^FE_VALUATION(ROE,MEAN,NTMA,,0,,,'')":null,"AGYS-US^FE_VALUATION(DIV_YLD,MEAN,NTMA,,NOW,,,'')":null,"AGYS-US^FE_VALUATION(MCAP_FCF,MEAN,NTMA,,NOW,,,'')":3.5821302,"AGYS-US^FE_VALUATION(NETDEBT_EBITDA,MEAN,NTMA,,NOW,,,'')":-1.9759985,"AGYS-US^FF_NET_MGN(LTM_R,0)":9.7934560063869,"AGYS-US^FF_EBITDA_OPER_MGN(LTM_R,0)":12.121582817188,"AGYS-US^FF_GROSS_MGN(LTM_R,0)":58.6886259158629,"AGYS-US^POW(FE_ESTIMATE(EPS,MEAN,STMA,,NOW,,,'CURRENCY=USD')/FE_ESTIMATE(EPS,MEAN,LTMA,,NOW,,,'CURRENCY=USD'),0.5)-1":0.29194125253434,"AGYS-US^POW(FE_ESTIMATE(SALES,MEAN,STMA,,NOW,,,'CURRENCY=USD')/FE_ESTIMATE(SALES,MEAN,LTMA,,NOW,,,'CURRENCY=USD'),0.5)-1":0.143391971285438,"AGYS-US^FE_ACTUAL(ACTUAL,EPS,ANN_ROLL,0,,,,'CURRENCY=USD')":1.55,"AGYS-US^OS_SEC_FLT_PCT(0D,,MTD,SEC)":91.4653,"AGYS-US^AVG(P_VOLUME_FRQ(-1AM,NOW,D,,6))*P_PRICE_AVG(-1AM,NOW,,USD)":40.946989161792,"AGYS-US^FCS_EV_DAILY(MV,NOW,,,USD,M)":2071.09128653,"AGYS-US^P_DCOUNTRY":"UNITED STATES","AGYS-US^FR_RBICS_NAME_CURR(\"IND\")":"Hospitality Industry Software","DOX-US^FE_RATING(MEAN,TEXTONLY,0,NOW,,,'')":"Overweight","DOX-US^FG_PRICE(0,,,USD)/FG_PRICE_MAVG(0,,,USD,200)":0.801061221514746,"DOX-US^FG_PRICE(0,,,USD)/FG_PRICE_MAVG(0,,,USD,100)":0.847175295128994,"DOX-US^FG_PRICE(0,,,USD)/FG_PRICE_MAVG(0,,,USD,50)":0.858536734803287,"DOX-US^RTP_PRICE_TARGET(USD)/FG_PRICE(0,,,USD)":1.41986321736545,"DOX-US^FG_PRICE(0,,,USD)/P_PRICE_HIGH(-1AY,0,USD,,,\"PRICE\",\"INTRA\")":0.704958290491867,"DOX-US^PERCENT_CHANGE(FE_VALUATION(FFEV_EBITDA,MEAN,NTMA,,0,,,''),MAX(FE_VALUATION(FFEV_EBITDA,MEAN,NTMA,,-1AY,0,,'')))":-32.0195423201228,"DOX-US^PERCENT_CHANGE(FE_VALUATION(PE,MEAN,NTMA,,0,,,''),MAX(FE_VALUATION(PE,MEAN,NTMA,,-1AY,0,,'')))":-31.2403875245827,"DOX-US^FE_VALUATION(FFEV_EBITDA,MEAN,NTMA,,0,,,'')":6.4737263,"DOX-US^FE_VALUATION(FFEV_SALES,MEAN,NTMA,,0,,,'')":1.6640435,"DOX-US^FE_VALUATION(P_SALESPS,MEAN,NTMA,,0,,,'')":1.5283306,"DOX-US^FE_VALUATION(PE,MEAN,NTMA,,0,,,'')":8.72686,"DOX-US^FE_ACTUAL(ACTUAL,SALES,ANN_ROLL,0,,,,'CURRENCY=USD')":4532.913,"DOX-US^FE_ACTUAL(ACTUAL,SALES,ANN_ROLL,-1,,,,'CURRENCY=USD')":5004.989,"DOX-US^FE_VALUATION(EBITDA_MARGIN,MEAN,ANN_ROLL,0,NOW,,,'')":24.984386,"DOX-US^FE_VALUATION(ROIC,MEAN,NTMA,,0,,,'')":null,"DOX-US^FE_VALUATION(ROE,MEAN,NTMA,,0,,,'')":23.628893,"DOX-US^FE_VALUATION(DIV_YLD,MEAN,NTMA,,NOW,,,'')":2.8645198,"DOX-US^FE_VALUATION(MCAP_FCF,MEAN,NTMA,,NOW,,,'')":9.92673,"DOX-US^FE_VALUATION(NETDEBT_EBITDA,MEAN,NTMA,,NOW,,,'')":0.4145857,"DOX-US^FF_NET_MGN(LTM_R,0)":12.3025158996156,"DOX-US^FF_EBITDA_OPER_MGN(LTM_R,0)":22.0410249825521,"DOX-US^FF_GROSS_MGN(LTM_R,0)":36.0796146881789,"DOX-US^POW(FE_ESTIMATE(EPS,MEAN,STMA,,NOW,,,'CURRENCY=USD')/FE_ESTIMATE(EPS,MEAN,LTMA,,NOW,,,'CURRENCY=USD'),0.5)-1":0.0863358136414356,"DOX-US^POW(FE_ESTIMATE(SALES,MEAN,STMA,,NOW,,,'CURRENCY=USD')/FE_ESTIMATE(SALES,MEAN,LTMA,,NOW,,,'CURRENCY=USD'),0.5)-1":0.0368987414400694,"DOX-US^FE_ACTUAL(ACTUAL,EPS,ANN_ROLL,0,,,,'CURRENCY=USD')":6.99,"DOX-US^OS_SEC_FLT_PCT(0D,,MTD,SEC)":99.0732,"DOX-US^AVG(P_VOLUME_FRQ(-1AM,NOW,D,,6))*P_PRICE_AVG(-1AM,NOW,,USD)":125.216768150595,"DOX-US^FCS_EV_DAILY(MV,NOW,,,USD,M)":7314.0494369,"DOX-US^P_DCOUNTRY":"UNITED STATES","DOX-US^FR_RBICS_NAME_CURR(\"IND\")":"Design, Integration and Implementation Consulting","ACIW-US^FE_RATING(MEAN,TEXTONLY,0,NOW,,,'')":"Buy","ACIW-US^FG_PRICE(0,,,USD)/FG_PRICE_MAVG(0,,,USD,200)":0.835389475225561,"ACIW-US^FG_PRICE(0,,,USD)/FG_PRICE_MAVG(0,,,USD,100)":0.840485236128391,"ACIW-US^FG_PRICE(0,,,USD)/FG_PRICE_MAVG(0,,,USD,50)":0.880695903006265,"ACIW-US^RTP_PRICE_TARGET(USD)/FG_PRICE(0,,,USD)":1.6171954964176,"ACIW-US^FG_PRICE(0,,,USD)/P_PRICE_HIGH(-1AY,0,USD,,,\"PRICE\",\"INTRA\")":0.672170622635019,"ACIW-US^PERCENT_CHANGE(FE_VALUATION(FFEV_EBITDA,MEAN,NTMA,,0,,,''),MAX(FE_VALUATION(FFEV_EBITDA,MEAN,NTMA,,-1AY,0,,'')))":-37.0506657749182,"ACIW-US^PERCENT_CHANGE(FE_VALUATION(PE,MEAN,NTMA,,0,,,''),MAX(FE_VALUATION(PE,MEAN,NTMA,,-1AY,0,,'')))":-43.7053632035333,"ACIW-US^FE_VALUATION(FFEV_EBITDA,MEAN,NTMA,,0,,,'')":8.738213,"ACIW-US^FE_VALUATION(FFEV_SALES,MEAN,NTMA,,0,,,'')":2.5361083,"ACIW-US^FE_VALUATION(P_SALESPS,MEAN,NTMA,,0,,,'')":2.139244,"ACIW-US^FE_VALUATION(PE,MEAN,NTMA,,0,,,'')":15.068945,"ACIW-US^FE_ACTUAL(ACTUAL,SALES,ANN_ROLL,0,,,,'CURRENCY=USD')":1594.288,"ACIW-US^FE_ACTUAL(ACTUAL,SALES,ANN_ROLL,-1,,,,'CURRENCY=USD')":1452.579,"ACIW-US^FE_VALUATION(EBITDA_MARGIN,MEAN,ANN_ROLL,0,NOW,,,'')":29.210531,"ACIW-US^FE_VALUATION(ROIC,MEAN,NTMA,,0,,,'')":null,"ACIW-US^FE_VALUATION(ROE,MEAN,NTMA,,0,,,'')":null,"ACIW-US^FE_VALUATION(DIV_YLD,MEAN,NTMA,,NOW,,,'')":null,"ACIW-US^FE_VALUATION(MCAP_FCF,MEAN,NTMA,,NOW,,,'')":8.81873,"ACIW-US^FE_VALUATION(NETDEBT_EBITDA,MEAN,NTMA,,NOW,,,'')":null,"ACIW-US^FF_NET_MGN(LTM_R,0)":15.0689687041508,"ACIW-US^FF_EBITDA_OPER_MGN(LTM_R,0)":25.9620383313501,"ACIW-US^FF_GROSS_MGN(LTM_R,0)":44.0925474520858,"ACIW-US^POW(FE_ESTIMATE(EPS,MEAN,STMA,,NOW,,,'CURRENCY=USD')/FE_ESTIMATE(EPS,MEAN,LTMA,,NOW,,,'CURRENCY=USD'),0.5)-1":0.0953394451036629,"ACIW-US^POW(FE_ESTIMATE(SALES,MEAN,STMA,,NOW,,,'CURRENCY=USD')/FE_ESTIMATE(SALES,MEAN,LTMA,,NOW,,,'CURRENCY=USD'),0.5)-1":0.0661111105321057,"ACIW-US^FE_ACTUAL(ACTUAL,EPS,ANN_ROLL,0,,,,'CURRENCY=USD')":1.91,"ACIW-US^OS_SEC_FLT_PCT(0D,,MTD,SEC)":98.3885,"ACIW-US^AVG(P_VOLUME_FRQ(-1AM,NOW,D,,6))*P_PRICE_AVG(-1AM,NOW,,USD)":34.4127868822572,"ACIW-US^FCS_EV_DAILY(MV,NOW,,,USD,M)":4157.02084292,"ACIW-US^P_DCOUNTRY":"UNITED STATES","ACIW-US^FR_RBICS_NAME_CURR(\"IND\")":"Enterprise Resource Planning Software","SSNC-US^FE_RATING(MEAN,TEXTONLY,0,NOW,,,'')":"Overweight","SSNC-US^FG_PRICE(0,,,USD)/FG_PRICE_MAVG(0,,,USD,200)":0.838924574278861,"SSNC-US^FG_PRICE(0,,,USD)/FG_PRICE_MAVG(0,,,USD,100)":0.842743389009247,"SSNC-US^FG_PRICE(0,,,USD)/FG_PRICE_MAVG(0,,,USD,50)":0.853184802956382,"SSNC-US^RTP_PRICE_TARGET(USD)/FG_PRICE(0,,,USD)":1.42283643598124,"SSNC-US^FG_PRICE(0,,,USD)/P_PRICE_HIGH(-1AY,0,USD,,,\"PRICE\",\"INTRA\")":0.772702316899089,"SSNC-US^PERCENT_CHANGE(FE_VALUATION(FFEV_EBITDA,MEAN,NTMA,,0,,,''),MAX(FE_VALUATION(FFEV_EBITDA,MEAN,NTMA,,-1AY,0,,'')))":-16.7703299212984,"SSNC-US^PERCENT_CHANGE(FE_VALUATION(PE,MEAN,NTMA,,0,,,''),MAX(FE_VALUATION(PE,MEAN,NTMA,,-1AY,0,,'')))":-32.3263631194222,"SSNC-US^FE_VALUATION(FFEV_EBITDA,MEAN,NTMA,,0,,,'')":9.242009,"SSNC-US^FE_VALUATION(FFEV_SALES,MEAN,NTMA,,0,,,'')":3.6997662,"SSNC-US^FE_VALUATION(P_SALESPS,MEAN,NTMA,,0,,,'')":2.5367756,"SSNC-US^FE_VALUATION(PE,MEAN,NTMA,,0,,,'')":10.1242285,"SSNC-US^FE_ACTUAL(ACTUAL,SALES,ANN_ROLL,0,,,,'CURRENCY=USD')":6276.2,"SSNC-US^FE_ACTUAL(ACTUAL,SALES,ANN_ROLL,-1,,,,'CURRENCY=USD')":5885.7,"SSNC-US^FE_VALUATION(EBITDA_MARGIN,MEAN,ANN_ROLL,0,NOW,,,'')":39.27376,"SSNC-US^FE_VALUATION(ROIC,MEAN,NTMA,,0,,,'')":12.625288,"SSNC-US^FE_VALUATION(ROE,MEAN,NTMA,,0,,,'')":23.502134,"SSNC-US^FE_VALUATION(DIV_YLD,MEAN,NTMA,,NOW,,,'')":1.5615114,"SSNC-US^FE_VALUATION(MCAP_FCF,MEAN,NTMA,,NOW,,,'')":9.539992,"SSNC-US^FE_VALUATION(NETDEBT_EBITDA,MEAN,NTMA,,NOW,,,'')":2.2352138,"SSNC-US^FF_NET_MGN(LTM_R,0)":12.7052708778419,"SSNC-US^FF_EBITDA_OPER_MGN(LTM_R,0)":34.8123465450719,"SSNC-US^FF_GROSS_MGN(LTM_R,0)":48.1744842320079,"SSNC-US^POW(FE_ESTIMATE(EPS,MEAN,STMA,,NOW,,,'CURRENCY=USD')/FE_ESTIMATE(EPS,MEAN,LTMA,,NOW,,,'CURRENCY=USD'),0.5)-1":0.0975382909037843,"SSNC-US^POW(FE_ESTIMATE(SALES,MEAN,STMA,,NOW,,,'CURRENCY=USD')/FE_ESTIMATE(SALES,MEAN,LTMA,,NOW,,,'CURRENCY=USD'),0.5)-1":0.0580041587819966,"SSNC-US^FE_ACTUAL(ACTUAL,EPS,ANN_ROLL,0,,,,'CURRENCY=USD')":6.14,"SSNC-US^OS_SEC_FLT_PCT(0D,,MTD,SEC)":86.2455,"SSNC-US^AVG(P_VOLUME_FRQ(-1AM,NOW,D,,6))*P_PRICE_AVG(-1AM,NOW,,USD)":201.779776498133,"SSNC-US^FCS_EV_DAILY(MV,NOW,,,USD,M)":17792.96534911,"SSNC-US^P_DCOUNTRY":"UNITED STATES","SSNC-US^FR_RBICS_NAME_CURR(\"IND\")":"Finance Industry Software","CFLT-US^FE_RATING(MEAN,TEXTONLY,0,NOW,,,'')":"Hold","CFLT-US^FG_PRICE(0,,,USD)/FG_PRICE_MAVG(0,,,USD,200)":1.26453680454606,"CFLT-US^FG_PRICE(0,,,USD)/FG_PRICE_MAVG(0,,,USD,100)":1.14732353624448,"CFLT-US^FG_PRICE(0,,,USD)/FG_PRICE_MAVG(0,,,USD,50)":1.00819197134127,"CFLT-US^RTP_PRICE_TARGET(USD)/FG_PRICE(0,,,USD)":1.01241018941868,"CFLT-US^FG_PRICE(0,,,USD)/P_PRICE_HIGH(-1AY,0,USD,,,\"PRICE\",\"INTRA\")":0.927878787878788,"CFLT-US^PERCENT_CHANGE(FE_VALUATION(FFEV_EBITDA,MEAN,NTMA,,0,,,''),MAX(FE_VALUATION(FFEV_EBITDA,MEAN,NTMA,,-1AY,0,,'')))":-36.0538187458165,"CFLT-US^PERCENT_CHANGE(FE_VALUATION(PE,MEAN,NTMA,,0,,,''),MAX(FE_VALUATION(PE,MEAN,NTMA,,-1AY,0,,'')))":-30.6443693950127,"CFLT-US^FE_VALUATION(FFEV_EBITDA,MEAN,NTMA,,0,,,'')":56.876404,"CFLT-US^FE_VALUATION(FFEV_SALES,MEAN,NTMA,,0,,,'')":6.8581357,"CFLT-US^FE_VALUATION(P_SALESPS,MEAN,NTMA,,0,,,'')":7.847891,"CFLT-US^FE_VALUATION(PE,MEAN,NTMA,,0,,,'')":58.508892,"CFLT-US^FE_ACTUAL(ACTUAL,SALES,ANN_ROLL,0,,,,'CURRENCY=USD')":1166.748,"CFLT-US^FE_ACTUAL(ACTUAL,SALES,ANN_ROLL,-1,,,,'CURRENCY=USD')":963.642,"CFLT-US^FE_VALUATION(EBITDA_MARGIN,MEAN,ANN_ROLL,0,NOW,,,'')":9.859341,"CFLT-US^FE_VALUATION(ROIC,MEAN,NTMA,,0,,,'')":8.4914875,"CFLT-US^FE_VALUATION(ROE,MEAN,NTMA,,0,,,'')":14.2757435,"CFLT-US^FE_VALUATION(DIV_YLD,MEAN,NTMA,,NOW,,,'')":0.0,"CFLT-US^FE_VALUATION(MCAP_FCF,MEAN,NTMA,,NOW,,,'')":1.2147428,"CFLT-US^FE_VALUATION(NETDEBT_EBITDA,MEAN,NTMA,,NOW,,,'')":-8.395449,"CFLT-US^FF_NET_MGN(LTM_R,0)":-25.3075214185068,"CFLT-US^FF_EBITDA_OPER_MGN(LTM_R,0)":-28.7391107591356,"CFLT-US^FF_GROSS_MGN(LTM_R,0)":74.2356532858852,"CFLT-US^POW(FE_ESTIMATE(EPS,MEAN,STMA,,NOW,,,'CURRENCY=USD')/FE_ESTIMATE(EPS,MEAN,LTMA,,NOW,,,'CURRENCY=USD'),0.5)-1":0.268024092831047,"CFLT-US^POW(FE_ESTIMATE(SALES,MEAN,STMA,,NOW,,,'CURRENCY=USD')/FE_ESTIMATE(SALES,MEAN,LTMA,,NOW,,,'CURRENCY=USD'),0.5)-1":0.165520355892594,"CFLT-US^FE_ACTUAL(ACTUAL,EPS,ANN_ROLL,0,,,,'CURRENCY=USD')":0.42,"CFLT-US^OS_SEC_FLT_PCT(0D,,MTD,SEC)":98.5863,"CFLT-US^AVG(P_VOLUME_FRQ(-1AM,NOW,D,,6))*P_PRICE_AVG(-1AM,NOW,,USD)":533.350943519643,"CFLT-US^FCS_EV_DAILY(MV,NOW,,,USD,M)":11861.88761458,"CFLT-US^P_DCOUNTRY":"UNITED STATES","CFLT-US^FR_RBICS_NAME_CURR(\"IND\")":"Data Storage Infrastructure Software","TRMB-US^FE_RATING(MEAN,TEXTONLY,0,NOW,,,'')":"Buy","TRMB-US^FG_PRICE(0,,,USD)/FG_PRICE_MAVG(0,,,USD,200)":0.862683732310556,"TRMB-US^FG_PRICE(0,,,USD)/FG_PRICE_MAVG(0,,,USD,100)":0.870915544420085,"TRMB-US^FG_PRICE(0,,,USD)/FG_PRICE_MAVG(0,,,USD,50)":0.904855906374394,"TRMB-US^RTP_PRICE_TARGET(USD)/FG_PRICE(0,,,USD)":1.3984617320947,"TRMB-US^FG_PRICE(0,,,USD)/P_PRICE_HIGH(-1AY,0,USD,,,\"PRICE\",\"INTRA\")":0.762742857142857,"TRMB-US^PERCENT_CHANGE(FE_VALUATION(FFEV_EBITDA,MEAN,NTMA,,0,,,''),MAX(FE_VALUATION(FFEV_EBITDA,MEAN,NTMA,,-1AY,0,,'')))":-29.5951650033849,"TRMB-US^PERCENT_CHANGE(FE_VALUATION(PE,MEAN,NTMA,,0,,,''),MAX(FE_VALUATION(PE,MEAN,NTMA,,-1AY,0,,'')))":-32.4135445523212,"TRMB-US^FE_VALUATION(FFEV_EBITDA,MEAN,NTMA,,0,,,'')":14.929039,"TRMB-US^FE_VALUATION(FFEV_SALES,MEAN,NTMA,,0,,,'')":4.4152822,"TRMB-US^FE_VALUATION(P_SALESPS,MEAN,NTMA,,0,,,'')":4.0627913,"TRMB-US^FE_VALUATION(PE,MEAN,NTMA,,0,,,'')":18.511307,"TRMB-US^FE_ACTUAL(ACTUAL,SALES,ANN_ROLL,0,,,,'CURRENCY=USD')":3587.3,"TRMB-US^FE_ACTUAL(ACTUAL,SALES,ANN_ROLL,-1,,,,'CURRENCY=USD')":3683.3,"TRMB-US^FE_VALUATION(EBITDA_MARGIN,MEAN,ANN_ROLL,0,NOW,,,'')":29.006842,"TRMB-US^FE_VALUATION(ROIC,MEAN,NTMA,,0,,,'')":11.315562,"TRMB-US^FE_VALUATION(ROE,MEAN,NTMA,,0,,,'')":13.422868,"TRMB-US^FE_VALUATION(DIV_YLD,MEAN,NTMA,,NOW,,,'')":null,"TRMB-US^FE_VALUATION(MCAP_FCF,MEAN,NTMA,,NOW,,,'')":5.397986,"TRMB-US^FE_VALUATION(NETDEBT_EBITDA,MEAN,NTMA,,NOW,,,'')":0.21126547,"TRMB-US^FF_NET_MGN(LTM_R,0)":11.8194742564045,"TRMB-US^FF_EBITDA_OPER_MGN(LTM_R,0)":23.1148774844591,"TRMB-US^FF_GROSS_MGN(LTM_R,0)":66.0970646447189,"TRMB-US^POW(FE_ESTIMATE(EPS,MEAN,STMA,,NOW,,,'CURRENCY=USD')/FE_ESTIMATE(EPS,MEAN,LTMA,,NOW,,,'CURRENCY=USD'),0.5)-1":0.147675258947408,"TRMB-US^POW(FE_ESTIMATE(SALES,MEAN,STMA,,NOW,,,'CURRENCY=USD')/FE_ESTIMATE(SALES,MEAN,LTMA,,NOW,,,'CURRENCY=USD'),0.5)-1":0.0829602947476884,"TRMB-US^FE_ACTUAL(ACTUAL,EPS,ANN_ROLL,0,,,,'CURRENCY=USD')":3.13,"TRMB-US^OS_SEC_FLT_PCT(0D,,MTD,SEC)":99.6408,"TRMB-US^AVG(P_VOLUME_FRQ(-1AM,NOW,D,,6))*P_PRICE_AVG(-1AM,NOW,,USD)":159.322835045942,"TRMB-US^FCS_EV_DAILY(MV,NOW,,,USD,M)":16258.03300388,"TRMB-US^P_DCOUNTRY":"UNITED STATES","TRMB-US^FR_RBICS_NAME_CURR(\"IND\")":"Industry-Specific Software","RMBS-US^FE_RATING(MEAN,TEXTONLY,0,NOW,,,'')":"Overweight","RMBS-US^FG_PRICE(0,,,USD)/FG_PRICE_MAVG(0,,,USD,200)":1.15428168595154,"RMBS-US^FG_PRICE(0,,,USD)/FG_PRICE_MAVG(0,,,USD,100)":0.978457943530956,"RMBS-US^FG_PRICE(0,,,USD)/FG_PRICE_MAVG(0,,,USD,50)":0.965747653479121,"RMBS-US^RTP_PRICE_TARGET(USD)/FG_PRICE(0,,,USD)":1.20599573906868,"RMBS-US^FG_PRICE(0,,,USD)/P_PRICE_HIGH(-1AY,0,USD,,,\"PRICE\",\"INTRA\")":0.726114180478821,"RMBS-US^PERCENT_CHANGE(FE_VALUATION(FFEV_EBITDA,MEAN,NTMA,,0,,,''),MAX(FE_VALUATION(FFEV_EBITDA,MEAN,NTMA,,-1AY,0,,'')))":-21.0731576911178,"RMBS-US^PERCENT_CHANGE(FE_VALUATION(PE,MEAN,NTMA,,0,,,''),MAX(FE_VALUATION(PE,MEAN,NTMA,,-1AY,0,,'')))":-22.3626958816631,"RMBS-US^FE_VALUATION(FFEV_EBITDA,MEAN,NTMA,,0,,,'')":24.03245,"RMBS-US^FE_VALUATION(FFEV_SALES,MEAN,NTMA,,0,,,'')":12.148227,"RMBS-US^FE_VALUATION(P_SALESPS,MEAN,NTMA,,0,,,'')":12.868228,"RMBS-US^FE_VALUATION(PE,MEAN,NTMA,,0,,,'')":32.422554,"RMBS-US^FE_ACTUAL(ACTUAL,SALES,ANN_ROLL,0,,,,'CURRENCY=USD')":705.693,"RMBS-US^FE_ACTUAL(ACTUAL,SALES,ANN_ROLL,-1,,,,'CURRENCY=USD')":584.18,"RMBS-US^FE_VALUATION(EBITDA_MARGIN,MEAN,ANN_ROLL,0,NOW,,,'')":49.55767,"RMBS-US^FE_VALUATION(ROIC,MEAN,NTMA,,0,,,'')":null,"RMBS-US^FE_VALUATION(ROE,MEAN,NTMA,,0,,,'')":18.879816,"RMBS-US^FE_VALUATION(DIV_YLD,MEAN,NTMA,,NOW,,,'')":null,"RMBS-US^FE_VALUATION(MCAP_FCF,MEAN,NTMA,,NOW,,,'')":2.9966881,"RMBS-US^FE_VALUATION(NETDEBT_EBITDA,MEAN,NTMA,,NOW,,,'')":null,"RMBS-US^FF_NET_MGN(LTM_R,0)":32.5671608043752,"RMBS-US^FF_EBITDA_OPER_MGN(LTM_R,0)":42.7070644263245,"RMBS-US^FF_GROSS_MGN(LTM_R,0)":74.6301033025734,"RMBS-US^POW(FE_ESTIMATE(EPS,MEAN,STMA,,NOW,,,'CURRENCY=USD')/FE_ESTIMATE(EPS,MEAN,LTMA,,NOW,,,'CURRENCY=USD'),0.5)-1":0.18823722378993,"RMBS-US^POW(FE_ESTIMATE(SALES,MEAN,STMA,,NOW,,,'CURRENCY=USD')/FE_ESTIMATE(SALES,MEAN,LTMA,,NOW,,,'CURRENCY=USD'),0.5)-1":0.155399584559385,"RMBS-US^FE_ACTUAL(ACTUAL,EPS,ANN_ROLL,0,,,,'CURRENCY=USD')":2.498957,"RMBS-US^OS_SEC_FLT_PCT(0D,,MTD,SEC)":99.176,"RMBS-US^AVG(P_VOLUME_FRQ(-1AM,NOW,D,,6))*P_PRICE_AVG(-1AM,NOW,,USD)":320.305827114595,"RMBS-US^FCS_EV_DAILY(MV,NOW,,,USD,M)":10916.65218377,"RMBS-US^P_DCOUNTRY":"UNITED STATES","RMBS-US^FR_RBICS_NAME_CURR(\"IND\")":"Electronic Design Automation Software","NCNO-US^FE_RATING(MEAN,TEXTONLY,0,NOW,,,'')":"Overweight","NCNO-US^FG_PRICE(0,,,USD)/FG_PRICE_MAVG(0,,,USD,200)":0.590984621933748,"NCNO-US^FG_PRICE(0,,,USD)/FG_PRICE_MAVG(0,,,USD,100)":0.644791607634232,"NCNO-US^FG_PRICE(0,,,USD)/FG_PRICE_MAVG(0,,,USD,50)":0.68822446154053,"NCNO-US^RTP_PRICE_TARGET(USD)/FG_PRICE(0,,,USD)":2.1484375,"NCNO-US^FG_PRICE(0,,,USD)/P_PRICE_HIGH(-1AY,0,USD,,,\"PRICE\",\"INTRA\")":0.452830188679245,"NCNO-US^PERCENT_CHANGE(FE_VALUATION(FFEV_EBITDA,MEAN,NTMA,,0,,,''),MAX(FE_VALUATION(FFEV_EBITDA,MEAN,NTMA,,-1AY,0,,'')))":-57.9223175906272,"NCNO-US^PERCENT_CHANGE(FE_VALUATION(PE,MEAN,NTMA,,0,,,''),MAX(FE_VALUATION(PE,MEAN,NTMA,,-1AY,0,,'')))":-61.3950592095254,"NCNO-US^FE_VALUATION(FFEV_EBITDA,MEAN,NTMA,,0,,,'')":11.949442,"NCNO-US^FE_VALUATION(FFEV_SALES,MEAN,NTMA,,0,,,'')":3.0673332,"NCNO-US^FE_VALUATION(P_SALESPS,MEAN,NTMA,,0,,,'')":2.7382946,"NCNO-US^FE_VALUATION(PE,MEAN,NTMA,,0,,,'')":14.730273,"NCNO-US^FE_ACTUAL(ACTUAL,SALES,ANN_ROLL,0,,,,'CURRENCY=USD')":540.657,"NCNO-US^FE_ACTUAL(ACTUAL,SALES,ANN_ROLL,-1,,,,'CURRENCY=USD')":476.543,"NCNO-US^FE_VALUATION(EBITDA_MARGIN,MEAN,ANN_ROLL,0,NOW,,,'')":18.911268,"NCNO-US^FE_VALUATION(ROIC,MEAN,NTMA,,0,,,'')":8.977409,"NCNO-US^FE_VALUATION(ROE,MEAN,NTMA,,0,,,'')":10.837655,"NCNO-US^FE_VALUATION(DIV_YLD,MEAN,NTMA,,NOW,,,'')":0.0,"NCNO-US^FE_VALUATION(MCAP_FCF,MEAN,NTMA,,NOW,,,'')":6.6765404,"NCNO-US^FE_VALUATION(NETDEBT_EBITDA,MEAN,NTMA,,NOW,,,'')":-0.067169234,"NCNO-US^FF_NET_MGN(LTM_R,0)":-3.71126286264781,"NCNO-US^FF_EBITDA_OPER_MGN(LTM_R,0)":9.23229068092108,"NCNO-US^FF_GROSS_MGN(LTM_R,0)":56.7122773813482,"NCNO-US^POW(FE_ESTIMATE(EPS,MEAN,STMA,,NOW,,,'CURRENCY=USD')/FE_ESTIMATE(EPS,MEAN,LTMA,,NOW,,,'CURRENCY=USD'),0.5)-1":0.168796902802193,"NCNO-US^POW(FE_ESTIMATE(SALES,MEAN,STMA,,NOW,,,'CURRENCY=USD')/FE_ESTIMATE(SALES,MEAN,LTMA,,NOW,,,'CURRENCY=USD'),0.5)-1":0.0841828259108333,"NCNO-US^FE_ACTUAL(ACTUAL,EPS,ANN_ROLL,0,,,,'CURRENCY=USD')":0.65,"NCNO-US^OS_SEC_FLT_PCT(0D,,MTD,SEC)":95.5767,"NCNO-US^AVG(P_VOLUME_FRQ(-1AM,NOW,D,,6))*P_PRICE_AVG(-1AM,NOW,,USD)":48.0566305629621,"NCNO-US^FCS_EV_DAILY(MV,NOW,,,USD,M)":1869.50610777,"NCNO-US^P_DCOUNTRY":"UNITED STATES","NCNO-US^FR_RBICS_NAME_CURR(\"IND\")":"Finance Industry Software","TTAN-US^FE_RATING(MEAN,TEXTONLY,0,NOW,,,'')":"Buy","TTAN-US^FG_PRICE(0,,,USD)/FG_PRICE_MAVG(0,,,USD,200)":0.633529561920419,"TTAN-US^FG_PRICE(0,,,USD)/FG_PRICE_MAVG(0,,,USD,100)":0.699748697904618,"TTAN-US^FG_PRICE(0,,,USD)/FG_PRICE_MAVG(0,,,USD,50)":0.725087251865171,"TTAN-US^RTP_PRICE_TARGET(USD)/FG_PRICE(0,,,USD)":2.05059894212819,"TTAN-US^FG_PRICE(0,,,USD)/P_PRICE_HIGH(-1AY,0,USD,,,\"PRICE\",\"INTRA\")":0.489454047057032,"TTAN-US^PERCENT_CHANGE(FE_VALUATION(FFEV_EBITDA,MEAN,NTMA,,0,,,''),MAX(FE_VALUATION(FFEV_EBITDA,MEAN,NTMA,,-1AY,0,,'')))":-58.3802603262947,"TTAN-US^PERCENT_CHANGE(FE_VALUATION(PE,MEAN,NTMA,,0,,,''),MAX(FE_VALUATION(PE,MEAN,NTMA,,-1AY,0,,'')))":-77.6344317185713,"TTAN-US^FE_VALUATION(FFEV_EBITDA,MEAN,NTMA,,0,,,'')":43.009968,"TTAN-US^FE_VALUATION(FFEV_SALES,MEAN,NTMA,,0,,,'')":5.1135283,"TTAN-US^FE_VALUATION(P_SALESPS,MEAN,NTMA,,0,,,'')":5.438127,"TTAN-US^FE_VALUATION(PE,MEAN,NTMA,,0,,,'')":57.3853,"TTAN-US^FE_ACTUAL(ACTUAL,SALES,ANN_ROLL,0,,,,'CURRENCY=USD')":771.878,"TTAN-US^FE_ACTUAL(ACTUAL,SALES,ANN_ROLL,-1,,,,'CURRENCY=USD')":null,"TTAN-US^FE_VALUATION(EBITDA_MARGIN,MEAN,ANN_ROLL,0,NOW,,,'')":9.64668,"TTAN-US^FE_VALUATION(ROIC,MEAN,NTMA,,0,,,'')":-6.933286,"TTAN-US^FE_VALUATION(ROE,MEAN,NTMA,,0,,,'')":6.757479,"TTAN-US^FE_VALUATION(DIV_YLD,MEAN,NTMA,,NOW,,,'')":0.0,"TTAN-US^FE_VALUATION(MCAP_FCF,MEAN,NTMA,,NOW,,,'')":1.6491945,"TTAN-US^FE_VALUATION(NETDEBT_EBITDA,MEAN,NTMA,,NOW,,,'')":-3.8851738,"TTAN-US^FF_NET_MGN(LTM_R,0)":-23.9079779843909,"TTAN-US^FF_EBITDA_OPER_MGN(LTM_R,0)":-14.8157889854288,"TTAN-US^FF_GROSS_MGN(LTM_R,0)":66.3773016144998,"TTAN-US^POW(FE_ESTIMATE(EPS,MEAN,STMA,,NOW,,,'CURRENCY=USD')/FE_ESTIMATE(EPS,MEAN,LTMA,,NOW,,,'CURRENCY=USD'),0.5)-1":0.229927843411962,"TTAN-US^POW(FE_ESTIMATE(SALES,MEAN,STMA,,NOW,,,'CURRENCY=USD')/FE_ESTIMATE(SALES,MEAN,LTMA,,NOW,,,'CURRENCY=USD'),0.5)-1":0.141084089802325,"TTAN-US^FE_ACTUAL(ACTUAL,EPS,ANN_ROLL,0,,,,'CURRENCY=USD')":0.333181,"TTAN-US^OS_SEC_FLT_PCT(0D,,MTD,SEC)":65.3607,"TTAN-US^AVG(P_VOLUME_FRQ(-1AM,NOW,D,,6))*P_PRICE_AVG(-1AM,NOW,,USD)":124.677946218004,"TTAN-US^FCS_EV_DAILY(MV,NOW,,,USD,M)":7046.25710373,"TTAN-US^P_DCOUNTRY":"UNITED STATES","TTAN-US^FR_RBICS_NAME_CURR(\"IND\")":"General Enterprise Management Software","MDB-US^FE_RATING(MEAN,TEXTONLY,0,NOW,,,'')":"Overweight","MDB-US^FG_PRICE(0,,,USD)/FG_PRICE_MAVG(0,,,USD,200)":1.03201924665864,"MDB-US^FG_PRICE(0,,,USD)/FG_PRICE_MAVG(0,,,USD,100)":0.845861151124702,"MDB-US^FG_PRICE(0,,,USD)/FG_PRICE_MAVG(0,,,USD,50)":0.796495633304635,"MDB-US^RTP_PRICE_TARGET(USD)/FG_PRICE(0,,,USD)":1.43955345428946,"MDB-US^FG_PRICE(0,,,USD)/P_PRICE_HIGH(-1AY,0,USD,,,\"PRICE\",\"INTRA\")":0.702711818672423,"MDB-US^PERCENT_CHANGE(FE_VALUATION(FFEV_EBITDA,MEAN,NTMA,,0,,,''),MAX(FE_VALUATION(FFEV_EBITDA,MEAN,NTMA,,-1AY,0,,'')))":-42.1814161677081,"MDB-US^PERCENT_CHANGE(FE_VALUATION(PE,MEAN,NTMA,,0,,,''),MAX(FE_VALUATION(PE,MEAN,NTMA,,-1AY,0,,'')))":-38.1937312609555,"MDB-US^FE_VALUATION(FFEV_EBITDA,MEAN,NTMA,,0,,,'')":39.634804,"MDB-US^FE_VALUATION(FFEV_SALES,MEAN,NTMA,,0,,,'')":7.916539,"MDB-US^FE_VALUATION(P_SALESPS,MEAN,NTMA,,0,,,'')":8.679642,"MDB-US^FE_VALUATION(PE,MEAN,NTMA,,0,,,'')":54.25434,"MDB-US^FE_ACTUAL(ACTUAL,SALES,ANN_ROLL,0,,,,'CURRENCY=USD')":2006.443,"MDB-US^FE_ACTUAL(ACTUAL,SALES,ANN_ROLL,-1,,,,'CURRENCY=USD')":1683.011,"MDB-US^FE_VALUATION(EBITDA_MARGIN,MEAN,ANN_ROLL,0,NOW,,,'')":15.481252,"MDB-US^FE_VALUATION(ROIC,MEAN,NTMA,,0,,,'')":14.170832,"MDB-US^FE_VALUATION(ROE,MEAN,NTMA,,0,,,'')":14.110321,"MDB-US^FE_VALUATION(DIV_YLD,MEAN,NTMA,,NOW,,,'')":0.0,"MDB-US^FE_VALUATION(MCAP_FCF,MEAN,NTMA,,NOW,,,'')":1.907061,"MDB-US^FE_VALUATION(NETDEBT_EBITDA,MEAN,NTMA,,NOW,,,'')":-4.8618402,"MDB-US^FF_NET_MGN(LTM_R,0)":-3.05788687091708,"MDB-US^FF_EBITDA_OPER_MGN(LTM_R,0)":-5.24741241617299,"MDB-US^FF_GROSS_MGN(LTM_R,0)":71.1426195329294,"MDB-US^POW(FE_ESTIMATE(EPS,MEAN,STMA,,NOW,,,'CURRENCY=USD')/FE_ESTIMATE(EPS,MEAN,LTMA,,NOW,,,'CURRENCY=USD'),0.5)-1":0.184365864080859,"MDB-US^POW(FE_ESTIMATE(SALES,MEAN,STMA,,NOW,,,'CURRENCY=USD')/FE_ESTIMATE(SALES,MEAN,LTMA,,NOW,,,'CURRENCY=USD'),0.5)-1":0.181415041380462,"MDB-US^FE_ACTUAL(ACTUAL,EPS,ANN_ROLL,0,,,,'CURRENCY=USD')":3.66,"MDB-US^OS_SEC_FLT_PCT(0D,,MTD,SEC)":96.7757,"MDB-US^AVG(P_VOLUME_FRQ(-1AM,NOW,D,,6))*P_PRICE_AVG(-1AM,NOW,,USD)":561.400756646541,"MDB-US^FCS_EV_DAILY(MV,NOW,,,USD,M)":26970.06502447,"MDB-US^P_DCOUNTRY":"UNITED STATES","MDB-US^FR_RBICS_NAME_CURR(\"IND\")":"Data Storage Infrastructure Software","SNPS-US^FE_RATING(MEAN,TEXTONLY,0,NOW,,,'')":"Overweight","SNPS-US^FG_PRICE(0,,,USD)/FG_PRICE_MAVG(0,,,USD,200)":0.887570592090866,"SNPS-US^FG_PRICE(0,,,USD)/FG_PRICE_MAVG(0,,,USD,100)":0.969237827017702,"SNPS-US^FG_PRICE(0,,,USD)/FG_PRICE_MAVG(0,,,USD,50)":0.933878986048816,"SNPS-US^RTP_PRICE_TARGET(USD)/FG_PRICE(0,,,USD)":1.26188135324015,"SNPS-US^FG_PRICE(0,,,USD)/P_PRICE_HIGH(-1AY,0,USD,,,\"PRICE\",\"INTRA\")":0.676230954536388,"SNPS-US^PERCENT_CHANGE(FE_VALUATION(FFEV_EBITDA,MEAN,NTMA,,0,,,''),MAX(FE_VALUATION(FFEV_EBITDA,MEAN,NTMA,,-1AY,0,,'')))":-42.8252089623953,"SNPS-US^PERCENT_CHANGE(FE_VALUATION(PE,MEAN,NTMA,,0,,,''),MAX(FE_VALUATION(PE,MEAN,NTMA,,-1AY,0,,'')))":-26.4687757695979,"SNPS-US^FE_VALUATION(FFEV_EBITDA,MEAN,NTMA,,0,,,'')":20.436005,"SNPS-US^FE_VALUATION(FFEV_SALES,MEAN,NTMA,,0,,,'')":8.4784355,"SNPS-US^FE_VALUATION(P_SALESPS,MEAN,NTMA,,0,,,'')":8.476692,"SNPS-US^FE_VALUATION(PE,MEAN,NTMA,,0,,,'')":28.990644,"SNPS-US^FE_ACTUAL(ACTUAL,SALES,ANN_ROLL,0,,,,'CURRENCY=USD')":7054.178,"SNPS-US^FE_ACTUAL(ACTUAL,SALES,ANN_ROLL,-1,,,,'CURRENCY=USD')":6127.436,"SNPS-US^FE_VALUATION(EBITDA_MARGIN,MEAN,ANN_ROLL,0,NOW,,,'')":39.71657,"SNPS-US^FE_VALUATION(ROIC,MEAN,NTMA,,0,,,'')":6.758365,"SNPS-US^FE_VALUATION(ROE,MEAN,NTMA,,0,,,'')":8.846686,"SNPS-US^FE_VALUATION(DIV_YLD,MEAN,NTMA,,NOW,,,'')":0.0,"SNPS-US^FE_VALUATION(MCAP_FCF,MEAN,NTMA,,NOW,,,'')":2.6081593,"SNPS-US^FE_VALUATION(NETDEBT_EBITDA,MEAN,NTMA,,NOW,,,'')":1.6996561,"SNPS-US^FF_NET_MGN(LTM_R,0)":18.9493070721795,"SNPS-US^FF_EBITDA_OPER_MGN(LTM_R,0)":27.1131011769498,"SNPS-US^FF_GROSS_MGN(LTM_R,0)":71.2462007286035,"SNPS-US^POW(FE_ESTIMATE(EPS,MEAN,STMA,,NOW,,,'CURRENCY=USD')/FE_ESTIMATE(EPS,MEAN,LTMA,,NOW,,,'CURRENCY=USD'),0.5)-1":0.160215195556411,"SNPS-US^POW(FE_ESTIMATE(SALES,MEAN,STMA,,NOW,,,'CURRENCY=USD')/FE_ESTIMATE(SALES,MEAN,LTMA,,NOW,,,'CURRENCY=USD'),0.5)-1":0.18207804310883,"SNPS-US^FE_ACTUAL(ACTUAL,EPS,ANN_ROLL,0,,,,'CURRENCY=USD')":12.91,"SNPS-US^OS_SEC_FLT_PCT(0D,,MTD,SEC)":95.8982,"SNPS-US^AVG(P_VOLUME_FRQ(-1AM,NOW,D,,6))*P_PRICE_AVG(-1AM,NOW,,USD)":1014.51159692494,"SNPS-US^FCS_EV_DAILY(MV,NOW,,,USD,M)":86319.28426832,"SNPS-US^P_DCOUNTRY":"UNITED STATES","SNPS-US^FR_RBICS_NAME_CURR(\"IND\")":"Electronic Design Automation Software","SNOW-US^FE_RATING(MEAN,TEXTONLY,0,NOW,,,'')":"Buy","SNOW-US^FG_PRICE(0,,,USD)/FG_PRICE_MAVG(0,,,USD,200)":0.7371801326613,"SNOW-US^FG_PRICE(0,,,USD)/FG_PRICE_MAVG(0,,,USD,100)":0.71065277600671,"SNOW-US^FG_PRICE(0,,,USD)/FG_PRICE_MAVG(0,,,USD,50)":0.794303660129172,"SNOW-US^RTP_PRICE_TARGET(USD)/FG_PRICE(0,,,USD)":1.684719359245,"SNOW-US^FG_PRICE(0,,,USD)/P_PRICE_HIGH(-1AY,0,USD,,,\"PRICE\",\"INTRA\")":0.573841165781879,"SNOW-US^PERCENT_CHANGE(FE_VALUATION(FFEV_EBITDA,MEAN,NTMA,,0,,,''),MAX(FE_VALUATION(FFEV_EBITDA,MEAN,NTMA,,-1AY,0,,'')))":-49.313100776689,"SNOW-US^PERCENT_CHANGE(FE_VALUATION(PE,MEAN,NTMA,,0,,,''),MAX(FE_VALUATION(PE,MEAN,NTMA,,-1AY,0,,'')))":-46.8780237437816,"SNOW-US^FE_VALUATION(FFEV_EBITDA,MEAN,NTMA,,0,,,'')":64.90978,"SNOW-US^FE_VALUATION(FFEV_SALES,MEAN,NTMA,,0,,,'')":9.191649,"SNOW-US^FE_VALUATION(P_SALESPS,MEAN,NTMA,,0,,,'')":9.375107,"SNOW-US^FE_VALUATION(PE,MEAN,NTMA,,0,,,'')":95.50007,"SNOW-US^FE_ACTUAL(ACTUAL,SALES,ANN_ROLL,0,,,,'CURRENCY=USD')":3626.396,"SNOW-US^FE_ACTUAL(ACTUAL,SALES,ANN_ROLL,-1,,,,'CURRENCY=USD')":2806.489,"SNOW-US^FE_VALUATION(EBITDA_MARGIN,MEAN,ANN_ROLL,0,NOW,,,'')":11.429494,"SNOW-US^FE_VALUATION(ROIC,MEAN,NTMA,,0,,,'')":12.448356,"SNOW-US^FE_VALUATION(ROE,MEAN,NTMA,,0,,,'')":22.355415,"SNOW-US^FE_VALUATION(DIV_YLD,MEAN,NTMA,,NOW,,,'')":0.0,"SNOW-US^FE_VALUATION(MCAP_FCF,MEAN,NTMA,,NOW,,,'')":2.7546084,"SNOW-US^FE_VALUATION(NETDEBT_EBITDA,MEAN,NTMA,,NOW,,,'')":-3.7776368,"SNOW-US^FF_NET_MGN(LTM_R,0)":-30.7642016065755,"SNOW-US^FF_EBITDA_OPER_MGN(LTM_R,0)":-26.9171148752987,"SNOW-US^FF_GROSS_MGN(LTM_R,0)":65.9619643095687,"SNOW-US^POW(FE_ESTIMATE(EPS,MEAN,STMA,,NOW,,,'CURRENCY=USD')/FE_ESTIMATE(EPS,MEAN,LTMA,,NOW,,,'CURRENCY=USD'),0.5)-1":0.344141659201142,"SNOW-US^POW(FE_ESTIMATE(SALES,MEAN,STMA,,NOW,,,'CURRENCY=USD')/FE_ESTIMATE(SALES,MEAN,LTMA,,NOW,,,'CURRENCY=USD'),0.5)-1":0.23617822339661,"SNOW-US^FE_ACTUAL(ACTUAL,EPS,ANN_ROLL,0,,,,'CURRENCY=USD')":0.83,"SNOW-US^OS_SEC_FLT_PCT(0D,,MTD,SEC)":96.3319,"SNOW-US^AVG(P_VOLUME_FRQ(-1AM,NOW,D,,6))*P_PRICE_AVG(-1AM,NOW,,USD)":1250.61196374494,"SNOW-US^FCS_EV_DAILY(MV,NOW,,,USD,M)":63320.45357444,"SNOW-US^P_DCOUNTRY":"UNITED STATES","SNOW-US^FR_RBICS_NAME_CURR(\"IND\")":"Business Intelligence Software","GWRE-US^FE_RATING(MEAN,TEXTONLY,0,NOW,,,'')":"Buy","GWRE-US^FG_PRICE(0,,,USD)/FG_PRICE_MAVG(0,,,USD,200)":0.604207669391747,"GWRE-US^FG_PRICE(0,,,USD)/FG_PRICE_MAVG(0,,,USD,100)":0.654211762639679,"GWRE-US^FG_PRICE(0,,,USD)/FG_PRICE_MAVG(0,,,USD,50)":0.77647053120425,"GWRE-US^RTP_PRICE_TARGET(USD)/FG_PRICE(0,,,USD)":2.0322823474325,"GWRE-US^FG_PRICE(0,,,USD)/P_PRICE_HIGH(-1AY,0,USD,,,\"PRICE\",\"INTRA\")":0.47006603081438,"GWRE-US^PERCENT_CHANGE(FE_VALUATION(FFEV_EBITDA,MEAN,NTMA,,0,,,''),MAX(FE_VALUATION(FFEV_EBITDA,MEAN,NTMA,,-1AY,0,,'')))":-61.7498844484702,"GWRE-US^PERCENT_CHANGE(FE_VALUATION(PE,MEAN,NTMA,,0,,,''),MAX(FE_VALUATION(PE,MEAN,NTMA,,-1AY,0,,'')))":-60.609133468209,"GWRE-US^FE_VALUATION(FFEV_EBITDA,MEAN,NTMA,,0,,,'')":29.59338,"GWRE-US^FE_VALUATION(FFEV_SALES,MEAN,NTMA,,0,,,'')":6.998014,"GWRE-US^FE_VALUATION(P_SALESPS,MEAN,NTMA,,0,,,'')":7.0792603,"GWRE-US^FE_VALUATION(PE,MEAN,NTMA,,0,,,'')":36.896046,"GWRE-US^FE_ACTUAL(ACTUAL,SALES,ANN_ROLL,0,,,,'CURRENCY=USD')":1202.459,"GWRE-US^FE_ACTUAL(ACTUAL,SALES,ANN_ROLL,-1,,,,'CURRENCY=USD')":980.497,"GWRE-US^FE_VALUATION(EBITDA_MARGIN,MEAN,ANN_ROLL,0,NOW,,,'')":18.98755,"GWRE-US^FE_VALUATION(ROIC,MEAN,NTMA,,0,,,'')":11.406304,"GWRE-US^FE_VALUATION(ROE,MEAN,NTMA,,0,,,'')":14.891173,"GWRE-US^FE_VALUATION(DIV_YLD,MEAN,NTMA,,NOW,,,'')":0.0,"GWRE-US^FE_VALUATION(MCAP_FCF,MEAN,NTMA,,NOW,,,'')":3.4630377,"GWRE-US^FE_VALUATION(NETDEBT_EBITDA,MEAN,NTMA,,NOW,,,'')":-3.1473255,"GWRE-US^FF_NET_MGN(LTM_R,0)":7.22946210374651,"GWRE-US^FF_EBITDA_OPER_MGN(LTM_R,0)":8.84690028352527,"GWRE-US^FF_GROSS_MGN(LTM_R,0)":63.1335398527115,"GWRE-US^POW(FE_ESTIMATE(EPS,MEAN,STMA,,NOW,,,'CURRENCY=USD')/FE_ESTIMATE(EPS,MEAN,LTMA,,NOW,,,'CURRENCY=USD'),0.5)-1":0.246513979063211,"GWRE-US^POW(FE_ESTIMATE(SALES,MEAN,STMA,,NOW,,,'CURRENCY=USD')/FE_ESTIMATE(SALES,MEAN,LTMA,,NOW,,,'CURRENCY=USD'),0.5)-1":0.154852934360042,"GWRE-US^FE_ACTUAL(ACTUAL,EPS,ANN_ROLL,0,,,,'CURRENCY=USD')":2.65,"GWRE-US^OS_SEC_FLT_PCT(0D,,MTD,SEC)":99.3247,"GWRE-US^AVG(P_VOLUME_FRQ(-1AM,NOW,D,,6))*P_PRICE_AVG(-1AM,NOW,,USD)":219.884736257082,"GWRE-US^FCS_EV_DAILY(MV,NOW,,,USD,M)":11280.24428654,"GWRE-US^P_DCOUNTRY":"UNITED STATES","GWRE-US^FR_RBICS_NAME_CURR(\"IND\")":"Finance Industry Software","SAIL-US^FE_RATING(MEAN,TEXTONLY,0,NOW,,,'')":"Buy","SAIL-US^FG_PRICE(0,,,USD)/FG_PRICE_MAVG(0,,,USD,200)":0.655884400374434,"SAIL-US^FG_PRICE(0,,,USD)/FG_PRICE_MAVG(0,,,USD,100)":0.676332237901927,"SAIL-US^FG_PRICE(0,,,USD)/FG_PRICE_MAVG(0,,,USD,50)":0.729431910422203,"SAIL-US^RTP_PRICE_TARGET(USD)/FG_PRICE(0,,,USD)":1.94429039634146,"SAIL-US^FG_PRICE(0,,,USD)/P_PRICE_HIGH(-1AY,0,USD,,,\"PRICE\",\"INTRA\")":0.525851703406814,"SAIL-US^PERCENT_CHANGE(FE_VALUATION(FFEV_EBITDA,MEAN,NTMA,,0,,,''),MAX(FE_VALUATION(FFEV_EBITDA,MEAN,NTMA,,-1AY,0,,'')))":-65.5688825385896,"SAIL-US^PERCENT_CHANGE(FE_VALUATION(PE,MEAN,NTMA,,0,,,''),MAX(FE_VALUATION(PE,MEAN,NTMA,,-1AY,0,,'')))":-74.6662980712639,"SAIL-US^FE_VALUATION(FFEV_EBITDA,MEAN,NTMA,,0,,,'')":28.143627,"SAIL-US^FE_VALUATION(FFEV_SALES,MEAN,NTMA,,0,,,'')":5.440473,"SAIL-US^FE_VALUATION(P_SALESPS,MEAN,NTMA,,0,,,'')":5.7028713,"SAIL-US^FE_VALUATION(PE,MEAN,NTMA,,0,,,'')":40.20269,"SAIL-US^FE_ACTUAL(ACTUAL,SALES,ANN_ROLL,0,,,,'CURRENCY=USD')":861.611,"SAIL-US^FE_ACTUAL(ACTUAL,SALES,ANN_ROLL,-1,,,,'CURRENCY=USD')":null,"SAIL-US^FE_VALUATION(EBITDA_MARGIN,MEAN,ANN_ROLL,0,NOW,,,'')":15.135368,"SAIL-US^FE_VALUATION(ROIC,MEAN,NTMA,,0,,,'')":2.753738,"SAIL-US^FE_VALUATION(ROE,MEAN,NTMA,,0,,,'')":2.7313175,"SAIL-US^FE_VALUATION(DIV_YLD,MEAN,NTMA,,NOW,,,'')":0.0,"SAIL-US^FE_VALUATION(MCAP_FCF,MEAN,NTMA,,NOW,,,'')":2.9151294,"SAIL-US^FE_VALUATION(NETDEBT_EBITDA,MEAN,NTMA,,NOW,,,'')":-2.151585,"SAIL-US^FF_NET_MGN(LTM_R,0)":-61.9377710470159,"SAIL-US^FF_EBITDA_OPER_MGN(LTM_R,0)":-8.55815279922115,"SAIL-US^FF_GROSS_MGN(LTM_R,0)":54.7681656816371,"SAIL-US^POW(FE_ESTIMATE(EPS,MEAN,STMA,,NOW,,,'CURRENCY=USD')/FE_ESTIMATE(EPS,MEAN,LTMA,,NOW,,,'CURRENCY=USD'),0.5)-1":0.293533030115582,"SAIL-US^POW(FE_ESTIMATE(SALES,MEAN,STMA,,NOW,,,'CURRENCY=USD')/FE_ESTIMATE(SALES,MEAN,LTMA,,NOW,,,'CURRENCY=USD'),0.5)-1":0.185668545589365,"SAIL-US^FE_ACTUAL(ACTUAL,EPS,ANN_ROLL,0,,,,'CURRENCY=USD')":-0.118843,"SAIL-US^OS_SEC_FLT_PCT(0D,,MTD,SEC)":10.781,"SAIL-US^AVG(P_VOLUME_FRQ(-1AM,NOW,D,,6))*P_PRICE_AVG(-1AM,NOW,,USD)":46.9147263170518,"SAIL-US^FCS_EV_DAILY(MV,NOW,,,USD,M)":7610.02301504,"SAIL-US^P_DCOUNTRY":"UNITED STATES","SAIL-US^FR_RBICS_NAME_CURR(\"IND\")":"Network Infrastructure Software","ALRM-US^FE_RATING(MEAN,TEXTONLY,0,NOW,,,'')":"Overweight","ALRM-US^FG_PRICE(0,,,USD)/FG_PRICE_MAVG(0,,,USD,200)":0.852964875517965,"ALRM-US^FG_PRICE(0,,,USD)/FG_PRICE_MAVG(0,,,USD,100)":0.907332189939129,"ALRM-US^FG_PRICE(0,,,USD)/FG_PRICE_MAVG(0,,,USD,50)":0.917599670656991,"ALRM-US^RTP_PRICE_TARGET(USD)/FG_PRICE(0,,,USD)":1.27556630745547,"ALRM-US^FG_PRICE(0,,,USD)/P_PRICE_HIGH(-1AY,0,USD,,,\"PRICE\",\"INTRA\")":0.740433154209412,"ALRM-US^PERCENT_CHANGE(FE_VALUATION(FFEV_EBITDA,MEAN,NTMA,,0,,,''),MAX(FE_VALUATION(FFEV_EBITDA,MEAN,NTMA,,-1AY,0,,'')))":-27.761320919029,"ALRM-US^PERCENT_CHANGE(FE_VALUATION(PE,MEAN,NTMA,,0,,,''),MAX(FE_VALUATION(PE,MEAN,NTMA,,-1AY,0,,'')))":-38.5040338952747,"ALRM-US^FE_VALUATION(FFEV_EBITDA,MEAN,NTMA,,0,,,'')":13.019247,"ALRM-US^FE_VALUATION(FFEV_SALES,MEAN,NTMA,,0,,,'')":2.65348,"ALRM-US^FE_VALUATION(P_SALESPS,MEAN,NTMA,,0,,,'')":2.121154,"ALRM-US^FE_VALUATION(PE,MEAN,NTMA,,0,,,'')":16.186253,"ALRM-US^FE_ACTUAL(ACTUAL,SALES,ANN_ROLL,0,,,,'CURRENCY=USD')":1011.187,"ALRM-US^FE_ACTUAL(ACTUAL,SALES,ANN_ROLL,-1,,,,'CURRENCY=USD')":939.827,"ALRM-US^FE_VALUATION(EBITDA_MARGIN,MEAN,ANN_ROLL,0,NOW,,,'')":20.372591,"ALRM-US^FE_VALUATION(ROIC,MEAN,NTMA,,0,,,'')":8.412175,"ALRM-US^FE_VALUATION(ROE,MEAN,NTMA,,0,,,'')":null,"ALRM-US^FE_VALUATION(DIV_YLD,MEAN,NTMA,,NOW,,,'')":null,"ALRM-US^FE_VALUATION(MCAP_FCF,MEAN,NTMA,,NOW,,,'')":9.095256,"ALRM-US^FE_VALUATION(NETDEBT_EBITDA,MEAN,NTMA,,NOW,,,'')":-1.1307636,"ALRM-US^FF_NET_MGN(LTM_R,0)":13.1107302605749,"ALRM-US^FF_EBITDA_OPER_MGN(LTM_R,0)":17.9442575903369,"ALRM-US^FF_GROSS_MGN(LTM_R,0)":63.1013848081512,"ALRM-US^POW(FE_ESTIMATE(EPS,MEAN,STMA,,NOW,,,'CURRENCY=USD')/FE_ESTIMATE(EPS,MEAN,LTMA,,NOW,,,'CURRENCY=USD'),0.5)-1":0.0696483066877636,"ALRM-US^POW(FE_ESTIMATE(SALES,MEAN,STMA,,NOW,,,'CURRENCY=USD')/FE_ESTIMATE(SALES,MEAN,LTMA,,NOW,,,'CURRENCY=USD'),0.5)-1":0.0454864418059184,"ALRM-US^FE_ACTUAL(ACTUAL,EPS,ANN_ROLL,0,,,,'CURRENCY=USD')":2.62,"ALRM-US^OS_SEC_FLT_PCT(0D,,MTD,SEC)":94.4059,"ALRM-US^AVG(P_VOLUME_FRQ(-1AM,NOW,D,,6))*P_PRICE_AVG(-1AM,NOW,,USD)":22.9696187958062,"ALRM-US^FCS_EV_DAILY(MV,NOW,,,USD,M)":2344.40271182,"ALRM-US^P_DCOUNTRY":"UNITED STATES","ALRM-US^FR_RBICS_NAME_CURR(\"IND\")":"Other Enterprise Management Software","ROP-US^FE_RATING(MEAN,TEXTONLY,0,NOW,,,'')":"Overweight","ROP-US^FG_PRICE(0,,,USD)/FG_PRICE_MAVG(0,,,USD,200)":0.689478742229072,"ROP-US^FG_PRICE(0,,,USD)/FG_PRICE_MAVG(0,,,USD,100)":0.779616570395833,"ROP-US^FG_PRICE(0,,,USD)/FG_PRICE_MAVG(0,,,USD,50)":0.846410886994497,"ROP-US^RTP_PRICE_TARGET(USD)/FG_PRICE(0,,,USD)":1.3754811963281,"ROP-US^FG_PRICE(0,,,USD)/P_PRICE_HIGH(-1AY,0,USD,,,\"PRICE\",\"INTRA\")":0.567403961376878,"ROP-US^PERCENT_CHANGE(FE_VALUATION(FFEV_EBITDA,MEAN,NTMA,,0,,,''),MAX(FE_VALUATION(FFEV_EBITDA,MEAN,NTMA,,-1AY,0,,'')))":-41.7028993870743,"ROP-US^PERCENT_CHANGE(FE_VALUATION(PE,MEAN,NTMA,,0,,,''),MAX(FE_VALUATION(PE,MEAN,NTMA,,-1AY,0,,'')))":-47.0088034026782,"ROP-US^FE_VALUATION(FFEV_EBITDA,MEAN,NTMA,,0,,,'')":13.38523,"ROP-US^FE_VALUATION(FFEV_SALES,MEAN,NTMA,,0,,,'')":5.2956147,"ROP-US^FE_VALUATION(P_SALESPS,MEAN,NTMA,,0,,,'')":4.2266035,"ROP-US^FE_VALUATION(PE,MEAN,NTMA,,0,,,'')":15.537996,"ROP-US^FE_ACTUAL(ACTUAL,SALES,ANN_ROLL,0,,,,'CURRENCY=USD')":7902.5,"ROP-US^FE_ACTUAL(ACTUAL,SALES,ANN_ROLL,-1,,,,'CURRENCY=USD')":7039.2,"ROP-US^FE_VALUATION(EBITDA_MARGIN,MEAN,ANN_ROLL,0,NOW,,,'')":39.747253,"ROP-US^FE_VALUATION(ROIC,MEAN,NTMA,,0,,,'')":5.494664,"ROP-US^FE_VALUATION(ROE,MEAN,NTMA,,0,,,'')":10.865526,"ROP-US^FE_VALUATION(DIV_YLD,MEAN,NTMA,,NOW,,,'')":1.0064088,"ROP-US^FE_VALUATION(MCAP_FCF,MEAN,NTMA,,NOW,,,'')":7.484558,"ROP-US^FE_VALUATION(NETDEBT_EBITDA,MEAN,NTMA,,NOW,,,'')":2.0982513,"ROP-US^FF_NET_MGN(LTM_R,0)":19.4406833280607,"ROP-US^FF_EBITDA_OPER_MGN(LTM_R,0)":39.6494780132869,"ROP-US^FF_GROSS_MGN(LTM_R,0)":69.2439101550142,"ROP-US^POW(FE_ESTIMATE(EPS,MEAN,STMA,,NOW,,,'CURRENCY=USD')/FE_ESTIMATE(EPS,MEAN,LTMA,,NOW,,,'CURRENCY=USD'),0.5)-1":0.0801952601266125,"ROP-US^POW(FE_ESTIMATE(SALES,MEAN,STMA,,NOW,,,'CURRENCY=USD')/FE_ESTIMATE(SALES,MEAN,LTMA,,NOW,,,'CURRENCY=USD'),0.5)-1":0.0709613438401968,"ROP-US^FE_ACTUAL(ACTUAL,EPS,ANN_ROLL,0,,,,'CURRENCY=USD')":20.0,"ROP-US^OS_SEC_FLT_PCT(0D,,MTD,SEC)":99.6059,"ROP-US^AVG(P_VOLUME_FRQ(-1AM,NOW,D,,6))*P_PRICE_AVG(-1AM,NOW,,USD)":803.490112785709,"ROP-US^FCS_EV_DAILY(MV,NOW,,,USD,M)":36648.024611,"ROP-US^P_DCOUNTRY":"UNITED STATES","ROP-US^FR_RBICS_NAME_CURR(\"IND\")":"Industry-Specific Software","7203-SA^FE_RATING(MEAN,TEXTONLY,0,NOW,,,'')":"Overweight","7203-SA^FG_PRICE(0,,,USD)/FG_PRICE_MAVG(0,,,USD,200)":0.770436949196101,"7203-SA^FG_PRICE(0,,,USD)/FG_PRICE_MAVG(0,,,USD,100)":0.834383611024555,"7203-SA^FG_PRICE(0,,,USD)/FG_PRICE_MAVG(0,,,USD,50)":0.895547763555929,"7203-SA^RTP_PRICE_TARGET(USD)/FG_PRICE(0,,,USD)":1.49120550169286,"7203-SA^FG_PRICE(0,,,USD)/P_PRICE_HIGH(-1AY,0,USD,,,\"PRICE\",\"INTRA\")":0.597630506800787,"7203-SA^PERCENT_CHANGE(FE_VALUATION(FFEV_EBITDA,MEAN,NTMA,,0,,,''),MAX(FE_VALUATION(FFEV_EBITDA,MEAN,NTMA,,-1AY,0,,'')))":-46.8170382448042,"7203-SA^PERCENT_CHANGE(FE_VALUATION(PE,MEAN,NTMA,,0,,,''),MAX(FE_VALUATION(PE,MEAN,NTMA,,-1AY,0,,'')))":-46.6328673969583,"7203-SA^FE_VALUATION(FFEV_EBITDA,MEAN,NTMA,,0,,,'')":16.569223,"7203-SA^FE_VALUATION(FFEV_SALES,MEAN,NTMA,,0,,,'')":4.255439,"7203-SA^FE_VALUATION(P_SALESPS,MEAN,NTMA,,0,,,'')":4.4254756,"7203-SA^FE_VALUATION(PE,MEAN,NTMA,,0,,,'')":20.377422,"7203-SA^FE_ACTUAL(ACTUAL,SALES,ANN_ROLL,0,,,,'CURRENCY=USD')":1974.9344,"7203-SA^FE_ACTUAL(ACTUAL,SALES,ANN_ROLL,-1,,,,'CURRENCY=USD')":1572.5483,"7203-SA^FE_VALUATION(EBITDA_MARGIN,MEAN,ANN_ROLL,0,NOW,,,'')":26.215118,"7203-SA^FE_VALUATION(ROIC,MEAN,NTMA,,0,,,'')":28.911745,"7203-SA^FE_VALUATION(ROE,MEAN,NTMA,,0,,,'')":29.141361,"7203-SA^FE_VALUATION(DIV_YLD,MEAN,NTMA,,NOW,,,'')":1.9301453,"7203-SA^FE_VALUATION(MCAP_FCF,MEAN,NTMA,,NOW,,,'')":4.359563,"7203-SA^FE_VALUATION(NETDEBT_EBITDA,MEAN,NTMA,,NOW,,,'')":-0.72541535,"7203-SA^FF_NET_MGN(LTM_R,0)":24.3752549150087,"7203-SA^FF_EBITDA_OPER_MGN(LTM_R,0)":25.0039529643613,"7203-SA^FF_GROSS_MGN(LTM_R,0)":38.9886254958514,"7203-SA^POW(FE_ESTIMATE(EPS,MEAN,STMA,,NOW,,,'CURRENCY=USD')/FE_ESTIMATE(EPS,MEAN,LTMA,,NOW,,,'CURRENCY=USD'),0.5)-1":0.154111259801238,"7203-SA^POW(FE_ESTIMATE(SALES,MEAN,STMA,,NOW,,,'CURRENCY=USD')/FE_ESTIMATE(SALES,MEAN,LTMA,,NOW,,,'CURRENCY=USD'),0.5)-1":0.15994430900798,"7203-SA^FE_ACTUAL(ACTUAL,EPS,ANN_ROLL,0,,,,'CURRENCY=USD')":6.0894704,"7203-SA^OS_SEC_FLT_PCT(0D,,MTD,SEC)":30.1376,"7203-SA^AVG(P_VOLUME_FRQ(-1AM,NOW,D,,6))*P_PRICE_AVG(-1AM,NOW,,USD)":23.4619171791629,"7203-SA^FCS_EV_DAILY(MV,NOW,,,USD,M)":14277.8445111545,"7203-SA^P_DCOUNTRY":"SAUDI ARABIA","7203-SA^FR_RBICS_NAME_CURR(\"IND\")":"Industry-Specific Software","CWAN-US^FE_RATING(MEAN,TEXTONLY,0,NOW,,,'')":"Overweight","CWAN-US^FG_PRICE(0,,,USD)/FG_PRICE_MAVG(0,,,USD,200)":1.08792070100015,"CWAN-US^FG_PRICE(0,,,USD)/FG_PRICE_MAVG(0,,,USD,100)":1.08296502555573,"CWAN-US^FG_PRICE(0,,,USD)/FG_PRICE_MAVG(0,,,USD,50)":0.982461494121337,"CWAN-US^RTP_PRICE_TARGET(USD)/FG_PRICE(0,,,USD)":1.12966846419327,"CWAN-US^FG_PRICE(0,,,USD)/P_PRICE_HIGH(-1AY,0,USD,,,\"PRICE\",\"INTRA\")":0.734243694151708,"CWAN-US^PERCENT_CHANGE(FE_VALUATION(FFEV_EBITDA,MEAN,NTMA,,0,,,''),MAX(FE_VALUATION(FFEV_EBITDA,MEAN,NTMA,,-1AY,0,,'')))":-48.9548367795136,"CWAN-US^PERCENT_CHANGE(FE_VALUATION(PE,MEAN,NTMA,,0,,,''),MAX(FE_VALUATION(PE,MEAN,NTMA,,-1AY,0,,'')))":-43.7437992675567,"CWAN-US^FE_VALUATION(FFEV_EBITDA,MEAN,NTMA,,0,,,'')":20.685911,"CWAN-US^FE_VALUATION(FFEV_SALES,MEAN,NTMA,,0,,,'')":7.2733636,"CWAN-US^FE_VALUATION(P_SALESPS,MEAN,NTMA,,0,,,'')":7.0697517,"CWAN-US^FE_VALUATION(PE,MEAN,NTMA,,0,,,'')":31.532639,"CWAN-US^FE_ACTUAL(ACTUAL,SALES,ANN_ROLL,0,,,,'CURRENCY=USD')":731.368,"CWAN-US^FE_ACTUAL(ACTUAL,SALES,ANN_ROLL,-1,,,,'CURRENCY=USD')":451.803,"CWAN-US^FE_VALUATION(EBITDA_MARGIN,MEAN,ANN_ROLL,0,NOW,,,'')":33.935036,"CWAN-US^FE_VALUATION(ROIC,MEAN,NTMA,,0,,,'')":7.219577,"CWAN-US^FE_VALUATION(ROE,MEAN,NTMA,,0,,,'')":9.095571,"CWAN-US^FE_VALUATION(DIV_YLD,MEAN,NTMA,,NOW,,,'')":0.0,"CWAN-US^FE_VALUATION(MCAP_FCF,MEAN,NTMA,,NOW,,,'')":3.4597683,"CWAN-US^FE_VALUATION(NETDEBT_EBITDA,MEAN,NTMA,,NOW,,,'')":1.4655018,"CWAN-US^FF_NET_MGN(LTM_R,0)":-5.34833353387077,"CWAN-US^FF_EBITDA_OPER_MGN(LTM_R,0)":15.5360912700583,"CWAN-US^FF_GROSS_MGN(LTM_R,0)":67.2912952166351,"CWAN-US^POW(FE_ESTIMATE(EPS,MEAN,STMA,,NOW,,,'CURRENCY=USD')/FE_ESTIMATE(EPS,MEAN,LTMA,,NOW,,,'CURRENCY=USD'),0.5)-1":0.279696800027256,"CWAN-US^POW(FE_ESTIMATE(SALES,MEAN,STMA,,NOW,,,'CURRENCY=USD')/FE_ESTIMATE(SALES,MEAN,LTMA,,NOW,,,'CURRENCY=USD'),0.5)-1":0.225581861810952,"CWAN-US^FE_ACTUAL(ACTUAL,EPS,ANN_ROLL,0,,,,'CURRENCY=USD')":0.54,"CWAN-US^OS_SEC_FLT_PCT(0D,,MTD,SEC)":95.6354,"CWAN-US^AVG(P_VOLUME_FRQ(-1AM,NOW,D,,6))*P_PRICE_AVG(-1AM,NOW,,USD)":326.80942612758,"CWAN-US^FCS_EV_DAILY(MV,NOW,,,USD,M)":6848.90681734,"CWAN-US^P_DCOUNTRY":"UNITED STATES","CWAN-US^FR_RBICS_NAME_CURR(\"IND\")":"Finance Industry Software","CRWV-US^FE_RATING(MEAN,TEXTONLY,0,NOW,,,'')":"Overweight","CRWV-US^FG_PRICE(0,,,USD)/FG_PRICE_MAVG(0,,,USD,200)":0.90814269272082,"CRWV-US^FG_PRICE(0,,,USD)/FG_PRICE_MAVG(0,,,USD,100)":1.01651296130802,"CRWV-US^FG_PRICE(0,,,USD)/FG_PRICE_MAVG(0,,,USD,50)":1.14305579217335,"CRWV-US^RTP_PRICE_TARGET(USD)/FG_PRICE(0,,,USD)":1.25593444108761,"CRWV-US^FG_PRICE(0,,,USD)/P_PRICE_HIGH(-1AY,0,USD,,,\"PRICE\",\"INTRA\")":0.531016042780749,"CRWV-US^PERCENT_CHANGE(FE_VALUATION(FFEV_EBITDA,MEAN,NTMA,,0,,,''),MAX(FE_VALUATION(FFEV_EBITDA,MEAN,NTMA,,-1AY,0,,'')))":-53.7121857472069,"CRWV-US^PERCENT_CHANGE(FE_VALUATION(PE,MEAN,NTMA,,0,,,''),MAX(FE_VALUATION(PE,MEAN,NTMA,,-1AY,0,,'')))":-72.4921644963304,"CRWV-US^FE_VALUATION(FFEV_EBITDA,MEAN,NTMA,,0,,,'')":7.2627034,"CRWV-US^FE_VALUATION(FFEV_SALES,MEAN,NTMA,,0,,,'')":4.9327,"CRWV-US^FE_VALUATION(P_SALESPS,MEAN,NTMA,,0,,,'')":3.8872945,"CRWV-US^FE_VALUATION(PE,MEAN,NTMA,,0,,,'')":1349.7896,"CRWV-US^FE_ACTUAL(ACTUAL,SALES,ANN_ROLL,0,,,,'CURRENCY=USD')":1915.4,"CRWV-US^FE_ACTUAL(ACTUAL,SALES,ANN_ROLL,-1,,,,'CURRENCY=USD')":null,"CRWV-US^FE_VALUATION(EBITDA_MARGIN,MEAN,ANN_ROLL,0,NOW,,,'')":63.652634,"CRWV-US^FE_VALUATION(ROIC,MEAN,NTMA,,0,,,'')":-0.37595856,"CRWV-US^FE_VALUATION(ROE,MEAN,NTMA,,0,,,'')":0.94471854,"CRWV-US^FE_VALUATION(DIV_YLD,MEAN,NTMA,,NOW,,,'')":0.0,"CRWV-US^FE_VALUATION(MCAP_FCF,MEAN,NTMA,,NOW,,,'')":-33.443184,"CRWV-US^FE_VALUATION(NETDEBT_EBITDA,MEAN,NTMA,,NOW,,,'')":4.236411,"CRWV-US^FF_NET_MGN(LTM_R,0)":-17.8019591661585,"CRWV-US^FF_EBITDA_OPER_MGN(LTM_R,0)":50.0435617943558,"CRWV-US^FF_GROSS_MGN(LTM_R,0)":49.2309075420264,"CRWV-US^POW(FE_ESTIMATE(EPS,MEAN,STMA,,NOW,,,'CURRENCY=USD')/FE_ESTIMATE(EPS,MEAN,LTMA,,NOW,,,'CURRENCY=USD'),0.5)-1":null,"CRWV-US^POW(FE_ESTIMATE(SALES,MEAN,STMA,,NOW,,,'CURRENCY=USD')/FE_ESTIMATE(SALES,MEAN,LTMA,,NOW,,,'CURRENCY=USD'),0.5)-1":0.864512536831008,"CRWV-US^FE_ACTUAL(ACTUAL,EPS,ANN_ROLL,0,,,,'CURRENCY=USD')":-0.26905,"CRWV-US^OS_SEC_FLT_PCT(0D,,MTD,SEC)":76.3845,"CRWV-US^AVG(P_VOLUME_FRQ(-1AM,NOW,D,,6))*P_PRICE_AVG(-1AM,NOW,,USD)":2398.99961403913,"CRWV-US^FCS_EV_DAILY(MV,NOW,,,USD,M)":59178.757573134,"CRWV-US^P_DCOUNTRY":"UNITED STATES","CRWV-US^FR_RBICS_NAME_CURR(\"IND\")":"Industry-Specific Software","PRESIGHT-AE^FE_RATING(MEAN,TEXTONLY,0,NOW,,,'')":"Buy","PRESIGHT-AE^FG_PRICE(0,,,USD)/FG_PRICE_MAVG(0,,,USD,200)":1.0905646306074,"PRESIGHT-AE^FG_PRICE(0,,,USD)/FG_PRICE_MAVG(0,,,USD,100)":1.0666274354771,"PRESIGHT-AE^FG_PRICE(0,,,USD)/FG_PRICE_MAVG(0,,,USD,50)":1.06094955653859,"PRESIGHT-AE^RTP_PRICE_TARGET(USD)/FG_PRICE(0,,,USD)":1.24104682201865,"PRESIGHT-AE^FG_PRICE(0,,,USD)/P_PRICE_HIGH(-1AY,0,USD,,,\"PRICE\",\"INTRA\")":0.885365871575611,"PRESIGHT-AE^PERCENT_CHANGE(FE_VALUATION(FFEV_EBITDA,MEAN,NTMA,,0,,,''),MAX(FE_VALUATION(FFEV_EBITDA,MEAN,NTMA,,-1AY,0,,'')))":-23.6266865850393,"PRESIGHT-AE^PERCENT_CHANGE(FE_VALUATION(PE,MEAN,NTMA,,0,,,''),MAX(FE_VALUATION(PE,MEAN,NTMA,,-1AY,0,,'')))":-30.9281091669418,"PRESIGHT-AE^FE_VALUATION(FFEV_EBITDA,MEAN,NTMA,,0,,,'')":17.870975,"PRESIGHT-AE^FE_VALUATION(FFEV_SALES,MEAN,NTMA,,0,,,'')":4.7713323,"PRESIGHT-AE^FE_VALUATION(P_SALESPS,MEAN,NTMA,,0,,,'')":5.2245355,"PRESIGHT-AE^FE_VALUATION(PE,MEAN,NTMA,,0,,,'')":26.05796,"PRESIGHT-AE^FE_ACTUAL(ACTUAL,SALES,ANN_ROLL,0,,,,'CURRENCY=USD')":824.91144,"PRESIGHT-AE^FE_ACTUAL(ACTUAL,SALES,ANN_ROLL,-1,,,,'CURRENCY=USD')":602.4966,"PRESIGHT-AE^FE_VALUATION(EBITDA_MARGIN,MEAN,ANN_ROLL,0,NOW,,,'')":25.877863,"PRESIGHT-AE^FE_VALUATION(ROIC,MEAN,NTMA,,0,,,'')":null,"PRESIGHT-AE^FE_VALUATION(ROE,MEAN,NTMA,,0,,,'')":14.895285,"PRESIGHT-AE^FE_VALUATION(DIV_YLD,MEAN,NTMA,,NOW,,,'')":0.0,"PRESIGHT-AE^FE_VALUATION(MCAP_FCF,MEAN,NTMA,,NOW,,,'')":4.6938114,"PRESIGHT-AE^FE_VALUATION(NETDEBT_EBITDA,MEAN,NTMA,,NOW,,,'')":-2.0169125,"PRESIGHT-AE^FF_NET_MGN(LTM_R,0)":19.2365131862304,"PRESIGHT-AE^FF_EBITDA_OPER_MGN(LTM_R,0)":25.9004383253667,"PRESIGHT-AE^FF_GROSS_MGN(LTM_R,0)":36.7841486022335,"PRESIGHT-AE^POW(FE_ESTIMATE(EPS,MEAN,STMA,,NOW,,,'CURRENCY=USD')/FE_ESTIMATE(EPS,MEAN,LTMA,,NOW,,,'CURRENCY=USD'),0.5)-1":0.241917066474247,"PRESIGHT-AE^POW(FE_ESTIMATE(SALES,MEAN,STMA,,NOW,,,'CURRENCY=USD')/FE_ESTIMATE(SALES,MEAN,LTMA,,NOW,,,'CURRENCY=USD'),0.5)-1":0.2319803164012,"PRESIGHT-AE^FE_ACTUAL(ACTUAL,EPS,ANN_ROLL,0,,,,'CURRENCY=USD')":0.030309143,"PRESIGHT-AE^OS_SEC_FLT_PCT(0D,,MTD,SEC)":14.5,"PRESIGHT-AE^AVG(P_VOLUME_FRQ(-1AM,NOW,D,,6))*P_PRICE_AVG(-1AM,NOW,,USD)":4.57813088691729,"PRESIGHT-AE^FCS_EV_DAILY(MV,NOW,,,USD,M)":5543.01874783666,"PRESIGHT-AE^P_DCOUNTRY":"UNITED ARAB EMIRATES","PRESIGHT-AE^FR_RBICS_NAME_CURR(\"IND\")":"Business Intelligence Software","OTEX-US^FE_RATING(MEAN,TEXTONLY,0,NOW,,,'')":"Hold","OTEX-US^FG_PRICE(0,,,USD)/FG_PRICE_MAVG(0,,,USD,200)":0.756236031384268,"OTEX-US^FG_PRICE(0,,,USD)/FG_PRICE_MAVG(0,,,USD,100)":0.732368137864715,"OTEX-US^FG_PRICE(0,,,USD)/FG_PRICE_MAVG(0,,,USD,50)":0.820925911350952,"OTEX-US^RTP_PRICE_TARGET(USD)/FG_PRICE(0,,,USD)":1.38892888703627,"OTEX-US^FG_PRICE(0,,,USD)/P_PRICE_HIGH(-1AY,0,USD,,,\"PRICE\",\"INTRA\")":0.60125313283208,"OTEX-US^PERCENT_CHANGE(FE_VALUATION(FFEV_EBITDA,MEAN,NTMA,,0,,,''),MAX(FE_VALUATION(FFEV_EBITDA,MEAN,NTMA,,-1AY,0,,'')))":-27.4918901850858,"OTEX-US^PERCENT_CHANGE(FE_VALUATION(PE,MEAN,NTMA,,0,,,''),MAX(FE_VALUATION(PE,MEAN,NTMA,,-1AY,0,,'')))":-40.6204414898085,"OTEX-US^FE_VALUATION(FFEV_EBITDA,MEAN,NTMA,,0,,,'')":6.0301123,"OTEX-US^FE_VALUATION(FFEV_SALES,MEAN,NTMA,,0,,,'')":2.1731508,"OTEX-US^FE_VALUATION(P_SALESPS,MEAN,NTMA,,0,,,'')":1.1470534,"OTEX-US^FE_VALUATION(PE,MEAN,NTMA,,0,,,'')":5.556441,"OTEX-US^FE_ACTUAL(ACTUAL,SALES,ANN_ROLL,0,,,,'CURRENCY=USD')":5168.405,"OTEX-US^FE_ACTUAL(ACTUAL,SALES,ANN_ROLL,-1,,,,'CURRENCY=USD')":5769.577,"OTEX-US^FE_VALUATION(EBITDA_MARGIN,MEAN,ANN_ROLL,0,NOW,,,'')":34.526417,"OTEX-US^FE_VALUATION(ROIC,MEAN,NTMA,,0,,,'')":10.977298,"OTEX-US^FE_VALUATION(ROE,MEAN,NTMA,,0,,,'')":24.987926,"OTEX-US^FE_VALUATION(DIV_YLD,MEAN,NTMA,,NOW,,,'')":4.6760635,"OTEX-US^FE_VALUATION(MCAP_FCF,MEAN,NTMA,,NOW,,,'')":15.858873,"OTEX-US^FE_VALUATION(NETDEBT_EBITDA,MEAN,NTMA,,NOW,,,'')":2.3992267,"OTEX-US^FF_NET_MGN(LTM_R,0)":8.42402106194223,"OTEX-US^FF_EBITDA_OPER_MGN(LTM_R,0)":33.1215607793495,"OTEX-US^FF_GROSS_MGN(LTM_R,0)":63.9104122556786,"OTEX-US^POW(FE_ESTIMATE(EPS,MEAN,STMA,,NOW,,,'CURRENCY=USD')/FE_ESTIMATE(EPS,MEAN,LTMA,,NOW,,,'CURRENCY=USD'),0.5)-1":0.11614461428616,"OTEX-US^POW(FE_ESTIMATE(SALES,MEAN,STMA,,NOW,,,'CURRENCY=USD')/FE_ESTIMATE(SALES,MEAN,LTMA,,NOW,,,'CURRENCY=USD'),0.5)-1":0.0108424209539291,"OTEX-US^FE_ACTUAL(ACTUAL,EPS,ANN_ROLL,0,,,,'CURRENCY=USD')":3.82,"OTEX-US^OS_SEC_FLT_PCT(0D,,MTD,SEC)":98.0329,"OTEX-US^AVG(P_VOLUME_FRQ(-1AM,NOW,D,,6))*P_PRICE_AVG(-1AM,NOW,,USD)":69.3293997997437,"OTEX-US^FCS_EV_DAILY(MV,NOW,,,USD,M)":6160.52583210286,"OTEX-US^P_DCOUNTRY":"CANADA","OTEX-US^FR_RBICS_NAME_CURR(\"IND\")":"General Enterprise Management Software","CCC-US^FE_RATING(MEAN,TEXTONLY,0,NOW,,,'')":"Overweight","CCC-US^FG_PRICE(0,,,USD)/FG_PRICE_MAVG(0,,,USD,200)":0.590552329822309,"CCC-US^FG_PRICE(0,,,USD)/FG_PRICE_MAVG(0,,,USD,100)":0.656989275234361,"CCC-US^FG_PRICE(0,,,USD)/FG_PRICE_MAVG(0,,,USD,50)":0.703051186572556,"CCC-US^RTP_PRICE_TARGET(USD)/FG_PRICE(0,,,USD)":1.99148675889328,"CCC-US^FG_PRICE(0,,,USD)/P_PRICE_HIGH(-1AY,0,USD,,,\"PRICE\",\"INTRA\")":0.468952734012975,"CCC-US^PERCENT_CHANGE(FE_VALUATION(FFEV_EBITDA,MEAN,NTMA,,0,,,''),MAX(FE_VALUATION(FFEV_EBITDA,MEAN,NTMA,,-1AY,0,,'')))":-48.1636422677949,"CCC-US^PERCENT_CHANGE(FE_VALUATION(PE,MEAN,NTMA,,0,,,''),MAX(FE_VALUATION(PE,MEAN,NTMA,,-1AY,0,,'')))":-57.7506757798302,"CCC-US^FE_VALUATION(FFEV_EBITDA,MEAN,NTMA,,0,,,'')":8.784424,"CCC-US^FE_VALUATION(FFEV_SALES,MEAN,NTMA,,0,,,'')":3.593747,"CCC-US^FE_VALUATION(P_SALESPS,MEAN,NTMA,,0,,,'')":2.78138,"CCC-US^FE_VALUATION(PE,MEAN,NTMA,,0,,,'')":11.867738,"CCC-US^FE_ACTUAL(ACTUAL,SALES,ANN_ROLL,0,,,,'CURRENCY=USD')":1057.001,"CCC-US^FE_ACTUAL(ACTUAL,SALES,ANN_ROLL,-1,,,,'CURRENCY=USD')":944.8,"CCC-US^FE_VALUATION(EBITDA_MARGIN,MEAN,ANN_ROLL,0,NOW,,,'')":41.25285,"CCC-US^FE_VALUATION(ROIC,MEAN,NTMA,,0,,,'')":8.550394,"CCC-US^FE_VALUATION(ROE,MEAN,NTMA,,0,,,'')":11.949419,"CCC-US^FE_VALUATION(DIV_YLD,MEAN,NTMA,,NOW,,,'')":0.0,"CCC-US^FE_VALUATION(MCAP_FCF,MEAN,NTMA,,NOW,,,'')":9.499563,"CCC-US^FE_VALUATION(NETDEBT_EBITDA,MEAN,NTMA,,NOW,,,'')":1.9205762,"CCC-US^FF_NET_MGN(LTM_R,0)":-0.278861154446178,"CCC-US^FF_EBITDA_OPER_MGN(LTM_R,0)":22.0461193447738,"CCC-US^FF_GROSS_MGN(LTM_R,0)":66.2359594383775,"CCC-US^POW(FE_ESTIMATE(EPS,MEAN,STMA,,NOW,,,'CURRENCY=USD')/FE_ESTIMATE(EPS,MEAN,LTMA,,NOW,,,'CURRENCY=USD'),0.5)-1":0.146813411152834,"CCC-US^POW(FE_ESTIMATE(SALES,MEAN,STMA,,NOW,,,'CURRENCY=USD')/FE_ESTIMATE(SALES,MEAN,LTMA,,NOW,,,'CURRENCY=USD'),0.5)-1":0.0899055463662894,"CCC-US^FE_ACTUAL(ACTUAL,EPS,ANN_ROLL,0,,,,'CURRENCY=USD')":0.36,"CCC-US^OS_SEC_FLT_PCT(0D,,MTD,SEC)":94.0238,"CCC-US^AVG(P_VOLUME_FRQ(-1AM,NOW,D,,6))*P_PRICE_AVG(-1AM,NOW,,USD)":93.8786207696395,"CCC-US^FCS_EV_DAILY(MV,NOW,,,USD,M)":3422.77594649,"CCC-US^P_DCOUNTRY":"UNITED STATES","CCC-US^FR_RBICS_NAME_CURR(\"IND\")":"Finance Industry Software","ORCL-US^FE_RATING(MEAN,TEXTONLY,0,NOW,,,'')":"Overweight","ORCL-US^FG_PRICE(0,,,USD)/FG_PRICE_MAVG(0,,,USD,200)":0.662173036770676,"ORCL-US^FG_PRICE(0,,,USD)/FG_PRICE_MAVG(0,,,USD,100)":0.683250634790988,"ORCL-US^FG_PRICE(0,,,USD)/FG_PRICE_MAVG(0,,,USD,50)":0.826567814872338,"ORCL-US^RTP_PRICE_TARGET(USD)/FG_PRICE(0,,,USD)":1.87491446558095,"ORCL-US^FG_PRICE(0,,,USD)/P_PRICE_HIGH(-1AY,0,USD,,,\"PRICE\",\"INTRA\")":0.422712021288904,"ORCL-US^PERCENT_CHANGE(FE_VALUATION(FFEV_EBITDA,MEAN,NTMA,,0,,,''),MAX(FE_VALUATION(FFEV_EBITDA,MEAN,NTMA,,-1AY,0,,'')))":-56.6557981339003,"ORCL-US^PERCENT_CHANGE(FE_VALUATION(PE,MEAN,NTMA,,0,,,''),MAX(FE_VALUATION(PE,MEAN,NTMA,,-1AY,0,,'')))":-58.8083374495974,"ORCL-US^FE_VALUATION(FFEV_EBITDA,MEAN,NTMA,,0,,,'')":11.864435,"ORCL-US^FE_VALUATION(FFEV_SALES,MEAN,NTMA,,0,,,'')":6.6221447,"ORCL-US^FE_VALUATION(P_SALESPS,MEAN,NTMA,,0,,,'')":5.1556573,"ORCL-US^FE_VALUATION(PE,MEAN,NTMA,,0,,,'')":18.834103,"ORCL-US^FE_ACTUAL(ACTUAL,SALES,ANN_ROLL,0,,,,'CURRENCY=USD')":57399.0,"ORCL-US^FE_ACTUAL(ACTUAL,SALES,ANN_ROLL,-1,,,,'CURRENCY=USD')":52961.0,"ORCL-US^FE_VALUATION(EBITDA_MARGIN,MEAN,ANN_ROLL,0,NOW,,,'')":54.36985,"ORCL-US^FE_VALUATION(ROIC,MEAN,NTMA,,0,,,'')":12.478416,"ORCL-US^FE_VALUATION(ROE,MEAN,NTMA,,0,,,'')":46.341026,"ORCL-US^FE_VALUATION(DIV_YLD,MEAN,NTMA,,NOW,,,'')":1.2614917,"ORCL-US^FE_VALUATION(MCAP_FCF,MEAN,NTMA,,NOW,,,'')":-6.1927567,"ORCL-US^FE_VALUATION(NETDEBT_EBITDA,MEAN,NTMA,,NOW,,,'')":3.0681796,"ORCL-US^FF_NET_MGN(LTM_R,0)":25.2798400445777,"ORCL-US^FF_EBITDA_OPER_MGN(LTM_R,0)":43.627185866234,"ORCL-US^FF_GROSS_MGN(LTM_R,0)":65.3998066112723,"ORCL-US^POW(FE_ESTIMATE(EPS,MEAN,STMA,,NOW,,,'CURRENCY=USD')/FE_ESTIMATE(EPS,MEAN,LTMA,,NOW,,,'CURRENCY=USD'),0.5)-1":0.185451981313457,"ORCL-US^POW(FE_ESTIMATE(SALES,MEAN,STMA,,NOW,,,'CURRENCY=USD')/FE_ESTIMATE(SALES,MEAN,LTMA,,NOW,,,'CURRENCY=USD'),0.5)-1":0.347771234297572,"ORCL-US^FE_ACTUAL(ACTUAL,EPS,ANN_ROLL,0,,,,'CURRENCY=USD')":6.03,"ORCL-US^OS_SEC_FLT_PCT(0D,,MTD,SEC)":59.4426,"ORCL-US^AVG(P_VOLUME_FRQ(-1AM,NOW,D,,6))*P_PRICE_AVG(-1AM,NOW,,USD)":4560.8614900847,"ORCL-US^FCS_EV_DAILY(MV,NOW,,,USD,M)":442556.11874,"ORCL-US^P_DCOUNTRY":"UNITED STATES","ORCL-US^FR_RBICS_NAME_CURR(\"IND\")":"Diversified Hosting Services","CRWD-US^FE_RATING(MEAN,TEXTONLY,0,NOW,,,'')":"Overweight","CRWD-US^FG_PRICE(0,,,USD)/FG_PRICE_MAVG(0,,,USD,200)":0.744402475943207,"CRWD-US^FG_PRICE(0,,,USD)/FG_PRICE_MAVG(0,,,USD,100)":0.726057063421007,"CRWD-US^FG_PRICE(0,,,USD)/FG_PRICE_MAVG(0,,,USD,50)":0.781199118901071,"CRWD-US^RTP_PRICE_TARGET(USD)/FG_PRICE(0,,,USD)":1.53103340471092,"CRWD-US^FG_PRICE(0,,,USD)/P_PRICE_HIGH(-1AY,0,USD,,,\"PRICE\",\"INTRA\")":0.617833833127536,"CRWD-US^PERCENT_CHANGE(FE_VALUATION(FFEV_EBITDA,MEAN,NTMA,,0,,,''),MAX(FE_VALUATION(FFEV_EBITDA,MEAN,NTMA,,-1AY,0,,'')))":-42.4994912772438,"CRWD-US^PERCENT_CHANGE(FE_VALUATION(PE,MEAN,NTMA,,0,,,''),MAX(FE_VALUATION(PE,MEAN,NTMA,,-1AY,0,,'')))":-44.1133666918771,"CRWD-US^FE_VALUATION(FFEV_EBITDA,MEAN,NTMA,,0,,,'')":50.80661,"CRWD-US^FE_VALUATION(FFEV_SALES,MEAN,NTMA,,0,,,'')":14.146121,"CRWD-US^FE_VALUATION(P_SALESPS,MEAN,NTMA,,0,,,'')":14.85456,"CRWD-US^FE_VALUATION(PE,MEAN,NTMA,,0,,,'')":71.58805,"CRWD-US^FE_ACTUAL(ACTUAL,SALES,ANN_ROLL,0,,,,'CURRENCY=USD')":3953.624,"CRWD-US^FE_ACTUAL(ACTUAL,SALES,ANN_ROLL,-1,,,,'CURRENCY=USD')":3055.555,"CRWD-US^FE_VALUATION(EBITDA_MARGIN,MEAN,ANN_ROLL,0,NOW,,,'')":25.313347,"CRWD-US^FE_VALUATION(ROIC,MEAN,NTMA,,0,,,'')":19.056513,"CRWD-US^FE_VALUATION(ROE,MEAN,NTMA,,0,,,'')":21.459892,"CRWD-US^FE_VALUATION(DIV_YLD,MEAN,NTMA,,NOW,,,'')":0.0,"CRWD-US^FE_VALUATION(MCAP_FCF,MEAN,NTMA,,NOW,,,'')":2.0751436,"CRWD-US^FE_VALUATION(NETDEBT_EBITDA,MEAN,NTMA,,NOW,,,'')":-3.7040472,"CRWD-US^FF_NET_MGN(LTM_R,0)":-6.8816963581625,"CRWD-US^FF_EBITDA_OPER_MGN(LTM_R,0)":0.0420356928814011,"CRWD-US^FF_GROSS_MGN(LTM_R,0)":74.0981931004511,"CRWD-US^POW(FE_ESTIMATE(EPS,MEAN,STMA,,NOW,,,'CURRENCY=USD')/FE_ESTIMATE(EPS,MEAN,LTMA,,NOW,,,'CURRENCY=USD'),0.5)-1":0.278969898003858,"CRWD-US^POW(FE_ESTIMATE(SALES,MEAN,STMA,,NOW,,,'CURRENCY=USD')/FE_ESTIMATE(SALES,MEAN,LTMA,,NOW,,,'CURRENCY=USD'),0.5)-1":0.216019777799687,"CRWD-US^FE_ACTUAL(ACTUAL,EPS,ANN_ROLL,0,,,,'CURRENCY=USD')":3.93,"CRWD-US^OS_SEC_FLT_PCT(0D,,MTD,SEC)":96.6739,"CRWD-US^AVG(P_VOLUME_FRQ(-1AM,NOW,D,,6))*P_PRICE_AVG(-1AM,NOW,,USD)":1694.41576892356,"CRWD-US^FCS_EV_DAILY(MV,NOW,,,USD,M)":91612.0821,"CRWD-US^P_DCOUNTRY":"UNITED STATES","CRWD-US^FR_RBICS_NAME_CURR(\"IND\")":"Network Infrastructure Software","BLKB-US^FE_RATING(MEAN,TEXTONLY,0,NOW,,,'')":"Hold","BLKB-US^FG_PRICE(0,,,USD)/FG_PRICE_MAVG(0,,,USD,200)":0.764852740330794,"BLKB-US^FG_PRICE(0,,,USD)/FG_PRICE_MAVG(0,,,USD,100)":0.801654590622968,"BLKB-US^FG_PRICE(0,,,USD)/FG_PRICE_MAVG(0,,,USD,50)":0.837960070430535,"BLKB-US^RTP_PRICE_TARGET(USD)/FG_PRICE(0,,,USD)":1.22855327261173,"BLKB-US^FG_PRICE(0,,,USD)/P_PRICE_HIGH(-1AY,0,USD,,,\"PRICE\",\"INTRA\")":0.630475427350427,"BLKB-US^PERCENT_CHANGE(FE_VALUATION(FFEV_EBITDA,MEAN,NTMA,,0,,,''),MAX(FE_VALUATION(FFEV_EBITDA,MEAN,NTMA,,-1AY,0,,'')))":-44.2333113338889,"BLKB-US^PERCENT_CHANGE(FE_VALUATION(PE,MEAN,NTMA,,0,,,''),MAX(FE_VALUATION(PE,MEAN,NTMA,,-1AY,0,,'')))":-45.3501677451565,"BLKB-US^FE_VALUATION(FFEV_EBITDA,MEAN,NTMA,,0,,,'')":6.0195746,"BLKB-US^FE_VALUATION(FFEV_SALES,MEAN,NTMA,,0,,,'')":2.2428234,"BLKB-US^FE_VALUATION(P_SALESPS,MEAN,NTMA,,0,,,'')":1.8386855,"BLKB-US^FE_VALUATION(PE,MEAN,NTMA,,0,,,'')":8.883827,"BLKB-US^FE_ACTUAL(ACTUAL,SALES,ANN_ROLL,0,,,,'CURRENCY=USD')":1128.365,"BLKB-US^FE_ACTUAL(ACTUAL,SALES,ANN_ROLL,-1,,,,'CURRENCY=USD')":1155.495,"BLKB-US^FE_VALUATION(EBITDA_MARGIN,MEAN,ANN_ROLL,0,NOW,,,'')":35.918697,"BLKB-US^FE_VALUATION(ROIC,MEAN,NTMA,,0,,,'')":19.790466,"BLKB-US^FE_VALUATION(ROE,MEAN,NTMA,,0,,,'')":null,"BLKB-US^FE_VALUATION(DIV_YLD,MEAN,NTMA,,NOW,,,'')":0.0,"BLKB-US^FE_VALUATION(MCAP_FCF,MEAN,NTMA,,NOW,,,'')":13.2561035,"BLKB-US^FE_VALUATION(NETDEBT_EBITDA,MEAN,NTMA,,NOW,,,'')":2.2711532,"BLKB-US^FF_NET_MGN(LTM_R,0)":10.1998506750658,"BLKB-US^FF_EBITDA_OPER_MGN(LTM_R,0)":25.3849728040633,"BLKB-US^FF_GROSS_MGN(LTM_R,0)":58.5625967641535,"BLKB-US^POW(FE_ESTIMATE(EPS,MEAN,STMA,,NOW,,,'CURRENCY=USD')/FE_ESTIMATE(EPS,MEAN,LTMA,,NOW,,,'CURRENCY=USD'),0.5)-1":0.140138237232661,"BLKB-US^POW(FE_ESTIMATE(SALES,MEAN,STMA,,NOW,,,'CURRENCY=USD')/FE_ESTIMATE(SALES,MEAN,LTMA,,NOW,,,'CURRENCY=USD'),0.5)-1":0.039493674824431,"BLKB-US^FE_ACTUAL(ACTUAL,EPS,ANN_ROLL,0,,,,'CURRENCY=USD')":4.45,"BLKB-US^OS_SEC_FLT_PCT(0D,,MTD,SEC)":77.1211,"BLKB-US^AVG(P_VOLUME_FRQ(-1AM,NOW,D,,6))*P_PRICE_AVG(-1AM,NOW,,USD)":27.8246385685652,"BLKB-US^FCS_EV_DAILY(MV,NOW,,,USD,M)":2241.51370998,"BLKB-US^P_DCOUNTRY":"UNITED STATES","BLKB-US^FR_RBICS_NAME_CURR(\"IND\")":"Government and Not-For-Profit Industry Software","ALKT-US^FE_RATING(MEAN,TEXTONLY,0,NOW,,,'')":"Buy","ALKT-US^FG_PRICE(0,,,USD)/FG_PRICE_MAVG(0,,,USD,200)":0.648867186037709,"ALKT-US^FG_PRICE(0,,,USD)/FG_PRICE_MAVG(0,,,USD,100)":0.737646199348885,"ALKT-US^FG_PRICE(0,,,USD)/FG_PRICE_MAVG(0,,,USD,50)":0.763870866650671,"ALKT-US^RTP_PRICE_TARGET(USD)/FG_PRICE(0,,,USD)":1.93019935897436,"ALKT-US^FG_PRICE(0,,,USD)/P_PRICE_HIGH(-1AY,0,USD,,,\"PRICE\",\"INTRA\")":0.49273531269741,"ALKT-US^PERCENT_CHANGE(FE_VALUATION(FFEV_EBITDA,MEAN,NTMA,,0,,,''),MAX(FE_VALUATION(FFEV_EBITDA,MEAN,NTMA,,-1AY,0,,'')))":-65.6999206557313,"ALKT-US^PERCENT_CHANGE(FE_VALUATION(PE,MEAN,NTMA,,0,,,''),MAX(FE_VALUATION(PE,MEAN,NTMA,,-1AY,0,,'')))":-75.6095738436287,"ALKT-US^FE_VALUATION(FFEV_EBITDA,MEAN,NTMA,,0,,,'')":17.149117,"ALKT-US^FE_VALUATION(FFEV_SALES,MEAN,NTMA,,0,,,'')":3.3969188,"ALKT-US^FE_VALUATION(P_SALESPS,MEAN,NTMA,,0,,,'')":2.9051914,"ALKT-US^FE_VALUATION(PE,MEAN,NTMA,,0,,,'')":15.938423,"ALKT-US^FE_ACTUAL(ACTUAL,SALES,ANN_ROLL,0,,,,'CURRENCY=USD')":333.849,"ALKT-US^FE_ACTUAL(ACTUAL,SALES,ANN_ROLL,-1,,,,'CURRENCY=USD')":264.831,"ALKT-US^FE_VALUATION(EBITDA_MARGIN,MEAN,ANN_ROLL,0,NOW,,,'')":8.042858,"ALKT-US^FE_VALUATION(ROIC,MEAN,NTMA,,0,,,'')":13.126903,"ALKT-US^FE_VALUATION(ROE,MEAN,NTMA,,0,,,'')":23.88677,"ALKT-US^FE_VALUATION(DIV_YLD,MEAN,NTMA,,NOW,,,'')":0.0,"ALKT-US^FE_VALUATION(MCAP_FCF,MEAN,NTMA,,NOW,,,'')":4.752558,"ALKT-US^FE_VALUATION(NETDEBT_EBITDA,MEAN,NTMA,,NOW,,,'')":1.5264726,"ALKT-US^FF_NET_MGN(LTM_R,0)":-10.6311696371429,"ALKT-US^FF_EBITDA_OPER_MGN(LTM_R,0)":-6.3560595776041,"ALKT-US^FF_GROSS_MGN(LTM_R,0)":57.3061109710451,"ALKT-US^POW(FE_ESTIMATE(EPS,MEAN,STMA,,NOW,,,'CURRENCY=USD')/FE_ESTIMATE(EPS,MEAN,LTMA,,NOW,,,'CURRENCY=USD'),0.5)-1":0.514821573651498,"ALKT-US^POW(FE_ESTIMATE(SALES,MEAN,STMA,,NOW,,,'CURRENCY=USD')/FE_ESTIMATE(SALES,MEAN,LTMA,,NOW,,,'CURRENCY=USD'),0.5)-1":0.195152500729509,"ALKT-US^FE_ACTUAL(ACTUAL,EPS,ANN_ROLL,0,,,,'CURRENCY=USD')":0.209631,"ALKT-US^OS_SEC_FLT_PCT(0D,,MTD,SEC)":63.4073,"ALKT-US^AVG(P_VOLUME_FRQ(-1AM,NOW,D,,6))*P_PRICE_AVG(-1AM,NOW,,USD)":39.2632491290414,"ALKT-US^FCS_EV_DAILY(MV,NOW,,,USD,M)":1748.33773134,"ALKT-US^P_DCOUNTRY":"UNITED STATES","ALKT-US^FR_RBICS_NAME_CURR(\"IND\")":"Finance Industry Software","300033-CN^FE_RATING(MEAN,TEXTONLY,0,NOW,,,'')":"Buy","300033-CN^FG_PRICE(0,,,USD)/FG_PRICE_MAVG(0,,,USD,200)":1.05792852825375,"300033-CN^FG_PRICE(0,,,USD)/FG_PRICE_MAVG(0,,,USD,100)":0.974201806160901,"300033-CN^FG_PRICE(0,,,USD)/FG_PRICE_MAVG(0,,,USD,50)":0.972135781584352,"300033-CN^RTP_PRICE_TARGET(USD)/FG_PRICE(0,,,USD)":1.15455928504477,"300033-CN^FG_PRICE(0,,,USD)/P_PRICE_HIGH(-1AY,0,USD,,,\"PRICE\",\"INTRA\")":0.766375304687682,"300033-CN^PERCENT_CHANGE(FE_VALUATION(FFEV_EBITDA,MEAN,NTMA,,0,,,''),MAX(FE_VALUATION(FFEV_EBITDA,MEAN,NTMA,,-1AY,0,,'')))":-57.1416481489318,"300033-CN^PERCENT_CHANGE(FE_VALUATION(PE,MEAN,NTMA,,0,,,''),MAX(FE_VALUATION(PE,MEAN,NTMA,,-1AY,0,,'')))":-48.779809781069,"300033-CN^FE_VALUATION(FFEV_EBITDA,MEAN,NTMA,,0,,,'')":46.28705,"300033-CN^FE_VALUATION(FFEV_SALES,MEAN,NTMA,,0,,,'')":23.52065,"300033-CN^FE_VALUATION(P_SALESPS,MEAN,NTMA,,0,,,'')":24.891254,"300033-CN^FE_VALUATION(PE,MEAN,NTMA,,0,,,'')":48.633335,"300033-CN^FE_ACTUAL(ACTUAL,SALES,ANN_ROLL,0,,,,'CURRENCY=USD')":576.40814,"300033-CN^FE_ACTUAL(ACTUAL,SALES,ANN_ROLL,-1,,,,'CURRENCY=USD')":495.11694,"300033-CN^FE_VALUATION(EBITDA_MARGIN,MEAN,ANN_ROLL,0,NOW,,,'')":43.05775,"300033-CN^FE_VALUATION(ROIC,MEAN,NTMA,,0,,,'')":null,"300033-CN^FE_VALUATION(ROE,MEAN,NTMA,,0,,,'')":30.327236,"300033-CN^FE_VALUATION(DIV_YLD,MEAN,NTMA,,NOW,,,'')":2.0138385,"300033-CN^FE_VALUATION(MCAP_FCF,MEAN,NTMA,,NOW,,,'')":null,"300033-CN^FE_VALUATION(NETDEBT_EBITDA,MEAN,NTMA,,NOW,,,'')":-2.8413167,"300033-CN^FF_NET_MGN(LTM_R,0)":46.5193299249443,"300033-CN^FF_EBITDA_OPER_MGN(LTM_R,0)":null,"300033-CN^FF_GROSS_MGN(LTM_R,0)":90.8759466137704,"300033-CN^POW(FE_ESTIMATE(EPS,MEAN,STMA,,NOW,,,'CURRENCY=USD')/FE_ESTIMATE(EPS,MEAN,LTMA,,NOW,,,'CURRENCY=USD'),0.5)-1":0.178712814895978,"300033-CN^POW(FE_ESTIMATE(SALES,MEAN,STMA,,NOW,,,'CURRENCY=USD')/FE_ESTIMATE(SALES,MEAN,LTMA,,NOW,,,'CURRENCY=USD'),0.5)-1":0.158193593489448,"300033-CN^FE_ACTUAL(ACTUAL,EPS,ANN_ROLL,0,,,,'CURRENCY=USD')":0.46668825,"300033-CN^OS_SEC_FLT_PCT(0D,,MTD,SEC)":66.3556,"300033-CN^AVG(P_VOLUME_FRQ(-1AM,NOW,D,,6))*P_PRICE_AVG(-1AM,NOW,,USD)":444.156843472265,"300033-CN^FCS_EV_DAILY(MV,NOW,,,USD,M)":25700.5433203352,"300033-CN^P_DCOUNTRY":"CHINA","300033-CN^FR_RBICS_NAME_CURR(\"IND\")":"Finance Industry Software","RBRK-US^FE_RATING(MEAN,TEXTONLY,0,NOW,,,'')":"Buy","RBRK-US^FG_PRICE(0,,,USD)/FG_PRICE_MAVG(0,,,USD,200)":0.644378542093549,"RBRK-US^FG_PRICE(0,,,USD)/FG_PRICE_MAVG(0,,,USD,100)":0.718066173512024,"RBRK-US^FG_PRICE(0,,,USD)/FG_PRICE_MAVG(0,,,USD,50)":0.773216179366763,"RBRK-US^RTP_PRICE_TARGET(USD)/FG_PRICE(0,,,USD)":2.04613605015674,"RBRK-US^FG_PRICE(0,,,USD)/P_PRICE_HIGH(-1AY,0,USD,,,\"PRICE\",\"INTRA\")":0.495533980582524,"RBRK-US^PERCENT_CHANGE(FE_VALUATION(FFEV_EBITDA,MEAN,NTMA,,0,,,''),MAX(FE_VALUATION(FFEV_EBITDA,MEAN,NTMA,,-1AY,0,,'')))":null,"RBRK-US^PERCENT_CHANGE(FE_VALUATION(PE,MEAN,NTMA,,0,,,''),MAX(FE_VALUATION(PE,MEAN,NTMA,,-1AY,0,,'')))":-91.8855941852344,"RBRK-US^FE_VALUATION(FFEV_EBITDA,MEAN,NTMA,,0,,,'')":null,"RBRK-US^FE_VALUATION(FFEV_SALES,MEAN,NTMA,,0,,,'')":6.05479,"RBRK-US^FE_VALUATION(P_SALESPS,MEAN,NTMA,,0,,,'')":6.3840985,"RBRK-US^FE_VALUATION(PE,MEAN,NTMA,,0,,,'')":465.73627,"RBRK-US^FE_ACTUAL(ACTUAL,SALES,ANN_ROLL,0,,,,'CURRENCY=USD')":886.544,"RBRK-US^FE_ACTUAL(ACTUAL,SALES,ANN_ROLL,-1,,,,'CURRENCY=USD')":627.9,"RBRK-US^FE_VALUATION(EBITDA_MARGIN,MEAN,ANN_ROLL,0,NOW,,,'')":-21.258287,"RBRK-US^FE_VALUATION(ROIC,MEAN,NTMA,,0,,,'')":null,"RBRK-US^FE_VALUATION(ROE,MEAN,NTMA,,0,,,'')":null,"RBRK-US^FE_VALUATION(DIV_YLD,MEAN,NTMA,,NOW,,,'')":0.0,"RBRK-US^FE_VALUATION(MCAP_FCF,MEAN,NTMA,,NOW,,,'')":2.5383785,"RBRK-US^FE_VALUATION(NETDEBT_EBITDA,MEAN,NTMA,,NOW,,,'')":null,"RBRK-US^FF_NET_MGN(LTM_R,0)":-31.4849403354652,"RBRK-US^FF_EBITDA_OPER_MGN(LTM_R,0)":-28.8651996854439,"RBRK-US^FF_GROSS_MGN(LTM_R,0)":79.0546102437977,"RBRK-US^POW(FE_ESTIMATE(EPS,MEAN,STMA,,NOW,,,'CURRENCY=USD')/FE_ESTIMATE(EPS,MEAN,LTMA,,NOW,,,'CURRENCY=USD'),0.5)-1":null,"RBRK-US^POW(FE_ESTIMATE(SALES,MEAN,STMA,,NOW,,,'CURRENCY=USD')/FE_ESTIMATE(SALES,MEAN,LTMA,,NOW,,,'CURRENCY=USD'),0.5)-1":0.230596196971208,"RBRK-US^FE_ACTUAL(ACTUAL,EPS,ANN_ROLL,0,,,,'CURRENCY=USD')":-1.57,"RBRK-US^OS_SEC_FLT_PCT(0D,,MTD,SEC)":89.7774,"RBRK-US^AVG(P_VOLUME_FRQ(-1AM,NOW,D,,6))*P_PRICE_AVG(-1AM,NOW,,USD)":243.728312090216,"RBRK-US^FCS_EV_DAILY(MV,NOW,,,USD,M)":11544.44432384,"RBRK-US^P_DCOUNTRY":"UNITED STATES","RBRK-US^FR_RBICS_NAME_CURR(\"IND\")":"Network Infrastructure Software","MSFT-US^FE_RATING(MEAN,TEXTONLY,0,NOW,,,'')":"Buy","MSFT-US^FG_PRICE(0,,,USD)/FG_PRICE_MAVG(0,,,USD,200)":0.799727311489471,"MSFT-US^FG_PRICE(0,,,USD)/FG_PRICE_MAVG(0,,,USD,100)":0.813529093389794,"MSFT-US^FG_PRICE(0,,,USD)/FG_PRICE_MAVG(0,,,USD,50)":0.864081914076938,"MSFT-US^RTP_PRICE_TARGET(USD)/FG_PRICE(0,,,USD)":1.52934370179949,"MSFT-US^FG_PRICE(0,,,USD)/P_PRICE_HIGH(-1AY,0,USD,,,\"PRICE\",\"INTRA\")":0.700333063282023,"MSFT-US^PERCENT_CHANGE(FE_VALUATION(FFEV_EBITDA,MEAN,NTMA,,0,,,''),MAX(FE_VALUATION(FFEV_EBITDA,MEAN,NTMA,,-1AY,0,,'')))":-36.5938543752272,"MSFT-US^PERCENT_CHANGE(FE_VALUATION(PE,MEAN,NTMA,,0,,,''),MAX(FE_VALUATION(PE,MEAN,NTMA,,-1AY,0,,'')))":-36.8902139267241,"MSFT-US^FE_VALUATION(FFEV_EBITDA,MEAN,NTMA,,0,,,'')":13.355887,"MSFT-US^FE_VALUATION(FFEV_SALES,MEAN,NTMA,,0,,,'')":8.139359,"MSFT-US^FE_VALUATION(P_SALESPS,MEAN,NTMA,,0,,,'')":8.008536,"MSFT-US^FE_VALUATION(PE,MEAN,NTMA,,0,,,'')":21.464441,"MSFT-US^FE_ACTUAL(ACTUAL,SALES,ANN_ROLL,0,,,,'CURRENCY=USD')":281724.0,"MSFT-US^FE_ACTUAL(ACTUAL,SALES,ANN_ROLL,-1,,,,'CURRENCY=USD')":245122.0,"MSFT-US^FE_VALUATION(EBITDA_MARGIN,MEAN,ANN_ROLL,0,NOW,,,'')":57.5552,"MSFT-US^FE_VALUATION(ROIC,MEAN,NTMA,,0,,,'')":24.821207,"MSFT-US^FE_VALUATION(ROE,MEAN,NTMA,,0,,,'')":25.727743,"MSFT-US^FE_VALUATION(DIV_YLD,MEAN,NTMA,,NOW,,,'')":0.99877864,"MSFT-US^FE_VALUATION(MCAP_FCF,MEAN,NTMA,,NOW,,,'')":2.5916517,"MSFT-US^FE_VALUATION(NETDEBT_EBITDA,MEAN,NTMA,,NOW,,,'')":-0.3156908,"MSFT-US^FF_NET_MGN(LTM_R,0)":39.0443046884463,"MSFT-US^FF_EBITDA_OPER_MGN(LTM_R,0)":60.4875381809968,"MSFT-US^FF_GROSS_MGN(LTM_R,0)":68.5863291570225,"MSFT-US^POW(FE_ESTIMATE(EPS,MEAN,STMA,,NOW,,,'CURRENCY=USD')/FE_ESTIMATE(EPS,MEAN,LTMA,,NOW,,,'CURRENCY=USD'),0.5)-1":0.173018073177051,"MSFT-US^POW(FE_ESTIMATE(SALES,MEAN,STMA,,NOW,,,'CURRENCY=USD')/FE_ESTIMATE(SALES,MEAN,LTMA,,NOW,,,'CURRENCY=USD'),0.5)-1":0.15930047873707,"MSFT-US^FE_ACTUAL(ACTUAL,EPS,ANN_ROLL,0,,,,'CURRENCY=USD')":13.64,"MSFT-US^OS_SEC_FLT_PCT(0D,,MTD,SEC)":98.507,"MSFT-US^AVG(P_VOLUME_FRQ(-1AM,NOW,D,,6))*P_PRICE_AVG(-1AM,NOW,,USD)":17995.5728802494,"MSFT-US^FCS_EV_DAILY(MV,NOW,,,USD,M)":2920467.710564,"MSFT-US^P_DCOUNTRY":"UNITED STATES","MSFT-US^FR_RBICS_NAME_CURR(\"IND\")":"General and Mixed-Type Software","VERX-US^FE_RATING(MEAN,TEXTONLY,0,NOW,,,'')":"Overweight","VERX-US^FG_PRICE(0,,,USD)/FG_PRICE_MAVG(0,,,USD,200)":0.508602321696722,"VERX-US^FG_PRICE(0,,,USD)/FG_PRICE_MAVG(0,,,USD,100)":0.663824802316879,"VERX-US^FG_PRICE(0,,,USD)/FG_PRICE_MAVG(0,,,USD,50)":0.741187912935574,"VERX-US^RTP_PRICE_TARGET(USD)/FG_PRICE(0,,,USD)":1.41547737556561,"VERX-US^FG_PRICE(0,,,USD)/P_PRICE_HIGH(-1AY,0,USD,,,\"PRICE\",\"INTRA\")":0.297406774414943,"VERX-US^PERCENT_CHANGE(FE_VALUATION(FFEV_EBITDA,MEAN,NTMA,,0,,,''),MAX(FE_VALUATION(FFEV_EBITDA,MEAN,NTMA,,-1AY,0,,'')))":-70.9240577340852,"VERX-US^PERCENT_CHANGE(FE_VALUATION(PE,MEAN,NTMA,,0,,,''),MAX(FE_VALUATION(PE,MEAN,NTMA,,-1AY,0,,'')))":-70.8326803246214,"VERX-US^FE_VALUATION(FFEV_EBITDA,MEAN,NTMA,,0,,,'')":11.046928,"VERX-US^FE_VALUATION(FFEV_SALES,MEAN,NTMA,,0,,,'')":2.5600574,"VERX-US^FE_VALUATION(P_SALESPS,MEAN,NTMA,,0,,,'')":2.5131097,"VERX-US^FE_VALUATION(PE,MEAN,NTMA,,0,,,'')":17.475592,"VERX-US^FE_ACTUAL(ACTUAL,SALES,ANN_ROLL,0,,,,'CURRENCY=USD')":748.444,"VERX-US^FE_ACTUAL(ACTUAL,SALES,ANN_ROLL,-1,,,,'CURRENCY=USD')":666.776,"VERX-US^FE_VALUATION(EBITDA_MARGIN,MEAN,ANN_ROLL,0,NOW,,,'')":21.583445,"VERX-US^FE_VALUATION(ROIC,MEAN,NTMA,,0,,,'')":19.440926,"VERX-US^FE_VALUATION(ROE,MEAN,NTMA,,0,,,'')":35.872288,"VERX-US^FE_VALUATION(DIV_YLD,MEAN,NTMA,,NOW,,,'')":0.0,"VERX-US^FE_VALUATION(MCAP_FCF,MEAN,NTMA,,NOW,,,'')":4.7252264,"VERX-US^FE_VALUATION(NETDEBT_EBITDA,MEAN,NTMA,,NOW,,,'')":-0.0743948,"VERX-US^FF_NET_MGN(LTM_R,0)":0.963465536499725,"VERX-US^FF_EBITDA_OPER_MGN(LTM_R,0)":13.4151653296706,"VERX-US^FF_GROSS_MGN(LTM_R,0)":60.3407870194697,"VERX-US^POW(FE_ESTIMATE(EPS,MEAN,STMA,,NOW,,,'CURRENCY=USD')/FE_ESTIMATE(EPS,MEAN,LTMA,,NOW,,,'CURRENCY=USD'),0.5)-1":0.179674065155287,"VERX-US^POW(FE_ESTIMATE(SALES,MEAN,STMA,,NOW,,,'CURRENCY=USD')/FE_ESTIMATE(SALES,MEAN,LTMA,,NOW,,,'CURRENCY=USD'),0.5)-1":0.112883057648017,"VERX-US^FE_ACTUAL(ACTUAL,EPS,ANN_ROLL,0,,,,'CURRENCY=USD')":0.64,"VERX-US^OS_SEC_FLT_PCT(0D,,MTD,SEC)":93.39,"VERX-US^AVG(P_VOLUME_FRQ(-1AM,NOW,D,,6))*P_PRICE_AVG(-1AM,NOW,,USD)":48.4151604591291,"VERX-US^FCS_EV_DAILY(MV,NOW,,,USD,M)":2186.12266149,"VERX-US^P_DCOUNTRY":"UNITED STATES","VERX-US^FR_RBICS_NAME_CURR(\"IND\")":"Enterprise Resource Planning Software","QTWO-US^FE_RATING(MEAN,TEXTONLY,0,NOW,,,'')":"Overweight","QTWO-US^FG_PRICE(0,,,USD)/FG_PRICE_MAVG(0,,,USD,200)":0.626370599514795,"QTWO-US^FG_PRICE(0,,,USD)/FG_PRICE_MAVG(0,,,USD,100)":0.71578386656457,"QTWO-US^FG_PRICE(0,,,USD)/FG_PRICE_MAVG(0,,,USD,50)":0.727213465594962,"QTWO-US^RTP_PRICE_TARGET(USD)/FG_PRICE(0,,,USD)":1.6082754756871,"QTWO-US^FG_PRICE(0,,,USD)/P_PRICE_HIGH(-1AY,0,USD,,,\"PRICE\",\"INTRA\")":0.48926158737974,"QTWO-US^PERCENT_CHANGE(FE_VALUATION(FFEV_EBITDA,MEAN,NTMA,,0,,,''),MAX(FE_VALUATION(FFEV_EBITDA,MEAN,NTMA,,-1AY,0,,'')))":-63.6102782065811,"QTWO-US^PERCENT_CHANGE(FE_VALUATION(PE,MEAN,NTMA,,0,,,''),MAX(FE_VALUATION(PE,MEAN,NTMA,,-1AY,0,,'')))":-60.7385364016176,"QTWO-US^FE_VALUATION(FFEV_EBITDA,MEAN,NTMA,,0,,,'')":12.767232,"QTWO-US^FE_VALUATION(FFEV_SALES,MEAN,NTMA,,0,,,'')":3.3617997,"QTWO-US^FE_VALUATION(P_SALESPS,MEAN,NTMA,,0,,,'')":3.3167377,"QTWO-US^FE_VALUATION(PE,MEAN,NTMA,,0,,,'')":15.813653,"QTWO-US^FE_ACTUAL(ACTUAL,SALES,ANN_ROLL,0,,,,'CURRENCY=USD')":794.809,"QTWO-US^FE_ACTUAL(ACTUAL,SALES,ANN_ROLL,-1,,,,'CURRENCY=USD')":696.464,"QTWO-US^FE_VALUATION(EBITDA_MARGIN,MEAN,ANN_ROLL,0,NOW,,,'')":23.466518,"QTWO-US^FE_VALUATION(ROIC,MEAN,NTMA,,0,,,'')":20.495634,"QTWO-US^FE_VALUATION(ROE,MEAN,NTMA,,0,,,'')":22.646723,"QTWO-US^FE_VALUATION(DIV_YLD,MEAN,NTMA,,NOW,,,'')":null,"QTWO-US^FE_VALUATION(MCAP_FCF,MEAN,NTMA,,NOW,,,'')":7.4088554,"QTWO-US^FE_VALUATION(NETDEBT_EBITDA,MEAN,NTMA,,NOW,,,'')":-1.3096963,"QTWO-US^FF_NET_MGN(LTM_R,0)":6.5434588687345,"QTWO-US^FF_EBITDA_OPER_MGN(LTM_R,0)":14.4768114100369,"QTWO-US^FF_GROSS_MGN(LTM_R,0)":54.0494634560001,"QTWO-US^POW(FE_ESTIMATE(EPS,MEAN,STMA,,NOW,,,'CURRENCY=USD')/FE_ESTIMATE(EPS,MEAN,LTMA,,NOW,,,'CURRENCY=USD'),0.5)-1":0.158606102176232,"QTWO-US^POW(FE_ESTIMATE(SALES,MEAN,STMA,,NOW,,,'CURRENCY=USD')/FE_ESTIMATE(SALES,MEAN,LTMA,,NOW,,,'CURRENCY=USD'),0.5)-1":0.102280726493936,"QTWO-US^FE_ACTUAL(ACTUAL,EPS,ANN_ROLL,0,,,,'CURRENCY=USD')":2.554138,"QTWO-US^OS_SEC_FLT_PCT(0D,,MTD,SEC)":97.1016,"QTWO-US^AVG(P_VOLUME_FRQ(-1AM,NOW,D,,6))*P_PRICE_AVG(-1AM,NOW,,USD)":64.3443146694426,"QTWO-US^FCS_EV_DAILY(MV,NOW,,,USD,M)":3116.2834956,"QTWO-US^P_DCOUNTRY":"UNITED STATES","QTWO-US^FR_RBICS_NAME_CURR(\"IND\")":"Finance Industry Software","APPF-US^FE_RATING(MEAN,TEXTONLY,0,NOW,,,'')":"Buy","APPF-US^FG_PRICE(0,,,USD)/FG_PRICE_MAVG(0,,,USD,200)":0.698241494796198,"APPF-US^FG_PRICE(0,,,USD)/FG_PRICE_MAVG(0,,,USD,100)":0.740529750914137,"APPF-US^FG_PRICE(0,,,USD)/FG_PRICE_MAVG(0,,,USD,50)":0.790778531119128,"APPF-US^RTP_PRICE_TARGET(USD)/FG_PRICE(0,,,USD)":1.6289747383616,"APPF-US^FG_PRICE(0,,,USD)/P_PRICE_HIGH(-1AY,0,USD,,,\"PRICE\",\"INTRA\")":0.509937430990063,"APPF-US^PERCENT_CHANGE(FE_VALUATION(FFEV_EBITDA,MEAN,NTMA,,0,,,''),MAX(FE_VALUATION(FFEV_EBITDA,MEAN,NTMA,,-1AY,0,,'')))":-54.0242967421793,"APPF-US^PERCENT_CHANGE(FE_VALUATION(PE,MEAN,NTMA,,0,,,''),MAX(FE_VALUATION(PE,MEAN,NTMA,,-1AY,0,,'')))":-54.509724335344,"APPF-US^FE_VALUATION(FFEV_EBITDA,MEAN,NTMA,,0,,,'')":17.860455,"APPF-US^FE_VALUATION(FFEV_SALES,MEAN,NTMA,,0,,,'')":5.0975094,"APPF-US^FE_VALUATION(P_SALESPS,MEAN,NTMA,,0,,,'')":5.235088,"APPF-US^FE_VALUATION(PE,MEAN,NTMA,,0,,,'')":24.564697,"APPF-US^FE_ACTUAL(ACTUAL,SALES,ANN_ROLL,0,,,,'CURRENCY=USD')":950.822,"APPF-US^FE_ACTUAL(ACTUAL,SALES,ANN_ROLL,-1,,,,'CURRENCY=USD')":794.202,"APPF-US^FE_VALUATION(EBITDA_MARGIN,MEAN,ANN_ROLL,0,NOW,,,'')":25.939135,"APPF-US^FE_VALUATION(ROIC,MEAN,NTMA,,0,,,'')":30.296679,"APPF-US^FE_VALUATION(ROE,MEAN,NTMA,,0,,,'')":30.29252,"APPF-US^FE_VALUATION(DIV_YLD,MEAN,NTMA,,NOW,,,'')":0.0,"APPF-US^FE_VALUATION(MCAP_FCF,MEAN,NTMA,,NOW,,,'')":4.684289,"APPF-US^FE_VALUATION(NETDEBT_EBITDA,MEAN,NTMA,,NOW,,,'')":-1.4485171,"APPF-US^FF_NET_MGN(LTM_R,0)":14.8211757826386,"APPF-US^FF_EBITDA_OPER_MGN(LTM_R,0)":18.6984524968922,"APPF-US^FF_GROSS_MGN(LTM_R,0)":61.2974878578746,"APPF-US^POW(FE_ESTIMATE(EPS,MEAN,STMA,,NOW,,,'CURRENCY=USD')/FE_ESTIMATE(EPS,MEAN,LTMA,,NOW,,,'CURRENCY=USD'),0.5)-1":0.220693696223586,"APPF-US^POW(FE_ESTIMATE(SALES,MEAN,STMA,,NOW,,,'CURRENCY=USD')/FE_ESTIMATE(SALES,MEAN,LTMA,,NOW,,,'CURRENCY=USD'),0.5)-1":0.168514869396192,"APPF-US^FE_ACTUAL(ACTUAL,EPS,ANN_ROLL,0,,,,'CURRENCY=USD')":5.29,"APPF-US^OS_SEC_FLT_PCT(0D,,MTD,SEC)":93.4494,"APPF-US^AVG(P_VOLUME_FRQ(-1AM,NOW,D,,6))*P_PRICE_AVG(-1AM,NOW,,USD)":91.0121585633873,"APPF-US^FCS_EV_DAILY(MV,NOW,,,USD,M)":6092.29422816,"APPF-US^P_DCOUNTRY":"UNITED STATES","APPF-US^FR_RBICS_NAME_CURR(\"IND\")":"Other Real Estate Investment and Services","PAYX-US^FE_RATING(MEAN,TEXTONLY,0,NOW,,,'')":"Hold","PAYX-US^FG_PRICE(0,,,USD)/FG_PRICE_MAVG(0,,,USD,200)":0.691553500139612,"PAYX-US^FG_PRICE(0,,,USD)/FG_PRICE_MAVG(0,,,USD,100)":0.791276993898636,"PAYX-US^FG_PRICE(0,,,USD)/FG_PRICE_MAVG(0,,,USD,50)":0.835901437697568,"PAYX-US^RTP_PRICE_TARGET(USD)/FG_PRICE(0,,,USD)":1.34332210669078,"PAYX-US^FG_PRICE(0,,,USD)/P_PRICE_HIGH(-1AY,0,USD,,,\"PRICE\",\"INTRA\")":0.548747209129248,"PAYX-US^PERCENT_CHANGE(FE_VALUATION(FFEV_EBITDA,MEAN,NTMA,,0,,,''),MAX(FE_VALUATION(FFEV_EBITDA,MEAN,NTMA,,-1AY,0,,'')))":-50.2832497143879,"PAYX-US^PERCENT_CHANGE(FE_VALUATION(PE,MEAN,NTMA,,0,,,''),MAX(FE_VALUATION(PE,MEAN,NTMA,,-1AY,0,,'')))":-49.2860193106679,"PAYX-US^FE_VALUATION(FFEV_EBITDA,MEAN,NTMA,,0,,,'')":11.174915,"PAYX-US^FE_VALUATION(FFEV_SALES,MEAN,NTMA,,0,,,'')":5.220079,"PAYX-US^FE_VALUATION(P_SALESPS,MEAN,NTMA,,0,,,'')":4.6900034,"PAYX-US^FE_VALUATION(PE,MEAN,NTMA,,0,,,'')":15.268766,"PAYX-US^FE_ACTUAL(ACTUAL,SALES,ANN_ROLL,0,,,,'CURRENCY=USD')":5571.7,"PAYX-US^FE_ACTUAL(ACTUAL,SALES,ANN_ROLL,-1,,,,'CURRENCY=USD')":5278.3,"PAYX-US^FE_VALUATION(EBITDA_MARGIN,MEAN,ANN_ROLL,0,NOW,,,'')":45.58034,"PAYX-US^FE_VALUATION(ROIC,MEAN,NTMA,,0,,,'')":21.688606,"PAYX-US^FE_VALUATION(ROE,MEAN,NTMA,,0,,,'')":46.332012,"PAYX-US^FE_VALUATION(DIV_YLD,MEAN,NTMA,,NOW,,,'')":5.267754,"PAYX-US^FE_VALUATION(MCAP_FCF,MEAN,NTMA,,NOW,,,'')":7.1810746,"PAYX-US^FE_VALUATION(NETDEBT_EBITDA,MEAN,NTMA,,NOW,,,'')":0.9057918,"PAYX-US^FF_NET_MGN(LTM_R,0)":26.4455824591061,"PAYX-US^FF_EBITDA_OPER_MGN(LTM_R,0)":48.1960257876332,"PAYX-US^FF_GROSS_MGN(LTM_R,0)":73.3621704038847,"PAYX-US^POW(FE_ESTIMATE(EPS,MEAN,STMA,,NOW,,,'CURRENCY=USD')/FE_ESTIMATE(EPS,MEAN,LTMA,,NOW,,,'CURRENCY=USD'),0.5)-1":0.0752385781769551,"PAYX-US^POW(FE_ESTIMATE(SALES,MEAN,STMA,,NOW,,,'CURRENCY=USD')/FE_ESTIMATE(SALES,MEAN,LTMA,,NOW,,,'CURRENCY=USD'),0.5)-1":0.0698043279030049,"PAYX-US^FE_ACTUAL(ACTUAL,EPS,ANN_ROLL,0,,,,'CURRENCY=USD')":4.98,"PAYX-US^OS_SEC_FLT_PCT(0D,,MTD,SEC)":89.6785,"PAYX-US^AVG(P_VOLUME_FRQ(-1AM,NOW,D,,6))*P_PRICE_AVG(-1AM,NOW,,USD)":396.30704111377,"PAYX-US^FCS_EV_DAILY(MV,NOW,,,USD,M)":31942.001976,"PAYX-US^P_DCOUNTRY":"UNITED STATES","PAYX-US^FR_RBICS_NAME_CURR(\"IND\")":"Enterprise Resource Planning Software","SPSC-US^FE_RATING(MEAN,TEXTONLY,0,NOW,,,'')":"Overweight","SPSC-US^FG_PRICE(0,,,USD)/FG_PRICE_MAVG(0,,,USD,200)":0.502205876967626,"SPSC-US^FG_PRICE(0,,,USD)/FG_PRICE_MAVG(0,,,USD,100)":0.611434743986392,"SPSC-US^FG_PRICE(0,,,USD)/FG_PRICE_MAVG(0,,,USD,50)":0.647398097842325,"SPSC-US^RTP_PRICE_TARGET(USD)/FG_PRICE(0,,,USD)":1.51543123500092,"SPSC-US^FG_PRICE(0,,,USD)/P_PRICE_HIGH(-1AY,0,USD,,,\"PRICE\",\"INTRA\")":0.353690044248799,"SPSC-US^PERCENT_CHANGE(FE_VALUATION(FFEV_EBITDA,MEAN,NTMA,,0,,,''),MAX(FE_VALUATION(FFEV_EBITDA,MEAN,NTMA,,-1AY,0,,'')))":-69.7194775039736,"SPSC-US^PERCENT_CHANGE(FE_VALUATION(PE,MEAN,NTMA,,0,,,''),MAX(FE_VALUATION(PE,MEAN,NTMA,,-1AY,0,,'')))":-67.7523631245814,"SPSC-US^FE_VALUATION(FFEV_EBITDA,MEAN,NTMA,,0,,,'')":7.130842,"SPSC-US^FE_VALUATION(FFEV_SALES,MEAN,NTMA,,0,,,'')":2.3601367,"SPSC-US^FE_VALUATION(P_SALESPS,MEAN,NTMA,,0,,,'')":2.49776,"SPSC-US^FE_VALUATION(PE,MEAN,NTMA,,0,,,'')":11.829469,"SPSC-US^FE_ACTUAL(ACTUAL,SALES,ANN_ROLL,0,,,,'CURRENCY=USD')":751.505,"SPSC-US^FE_ACTUAL(ACTUAL,SALES,ANN_ROLL,-1,,,,'CURRENCY=USD')":637.765,"SPSC-US^FE_VALUATION(EBITDA_MARGIN,MEAN,ANN_ROLL,0,NOW,,,'')":30.787155,"SPSC-US^FE_VALUATION(ROIC,MEAN,NTMA,,0,,,'')":null,"SPSC-US^FE_VALUATION(ROE,MEAN,NTMA,,0,,,'')":15.323334,"SPSC-US^FE_VALUATION(DIV_YLD,MEAN,NTMA,,NOW,,,'')":0.0,"SPSC-US^FE_VALUATION(MCAP_FCF,MEAN,NTMA,,NOW,,,'')":9.287747,"SPSC-US^FE_VALUATION(NETDEBT_EBITDA,MEAN,NTMA,,NOW,,,'')":-1.071384,"SPSC-US^FF_NET_MGN(LTM_R,0)":12.420276644866,"SPSC-US^FF_EBITDA_OPER_MGN(LTM_R,0)":23.4943213950672,"SPSC-US^FF_GROSS_MGN(LTM_R,0)":64.2320410376511,"SPSC-US^POW(FE_ESTIMATE(EPS,MEAN,STMA,,NOW,,,'CURRENCY=USD')/FE_ESTIMATE(EPS,MEAN,LTMA,,NOW,,,'CURRENCY=USD'),0.5)-1":0.0994314439745663,"SPSC-US^POW(FE_ESTIMATE(SALES,MEAN,STMA,,NOW,,,'CURRENCY=USD')/FE_ESTIMATE(SALES,MEAN,LTMA,,NOW,,,'CURRENCY=USD'),0.5)-1":0.0716772835140249,"SPSC-US^FE_ACTUAL(ACTUAL,EPS,ANN_ROLL,0,,,,'CURRENCY=USD')":4.27,"SPSC-US^OS_SEC_FLT_PCT(0D,,MTD,SEC)":98.2899,"SPSC-US^AVG(P_VOLUME_FRQ(-1AM,NOW,D,,6))*P_PRICE_AVG(-1AM,NOW,,USD)":72.2392506744688,"SPSC-US^FCS_EV_DAILY(MV,NOW,,,USD,M)":2079.9811993,"SPSC-US^P_DCOUNTRY":"UNITED STATES","SPSC-US^FR_RBICS_NAME_CURR(\"IND\")":"Enterprise Resource Planning Software","PANW-US^FE_RATING(MEAN,TEXTONLY,0,NOW,,,'')":"Overweight","PANW-US^FG_PRICE(0,,,USD)/FG_PRICE_MAVG(0,,,USD,200)":0.737352353870004,"PANW-US^FG_PRICE(0,,,USD)/FG_PRICE_MAVG(0,,,USD,100)":0.739330730080616,"PANW-US^FG_PRICE(0,,,USD)/FG_PRICE_MAVG(0,,,USD,50)":0.798363937190336,"PANW-US^RTP_PRICE_TARGET(USD)/FG_PRICE(0,,,USD)":1.47082028658149,"PANW-US^FG_PRICE(0,,,USD)/P_PRICE_HIGH(-1AY,0,USD,,,\"PRICE\",\"INTRA\")":0.633558427619516,"PANW-US^PERCENT_CHANGE(FE_VALUATION(FFEV_EBITDA,MEAN,NTMA,,0,,,''),MAX(FE_VALUATION(FFEV_EBITDA,MEAN,NTMA,,-1AY,0,,'')))":-44.1021758915759,"PANW-US^PERCENT_CHANGE(FE_VALUATION(PE,MEAN,NTMA,,0,,,''),MAX(FE_VALUATION(PE,MEAN,NTMA,,-1AY,0,,'')))":-35.5204075218295,"PANW-US^FE_VALUATION(FFEV_EBITDA,MEAN,NTMA,,0,,,'')":24.956488,"PANW-US^FE_VALUATION(FFEV_SALES,MEAN,NTMA,,0,,,'')":7.8018517,"PANW-US^FE_VALUATION(P_SALESPS,MEAN,NTMA,,0,,,'')":9.340525,"PANW-US^FE_VALUATION(PE,MEAN,NTMA,,0,,,'')":36.352707,"PANW-US^FE_ACTUAL(ACTUAL,SALES,ANN_ROLL,0,,,,'CURRENCY=USD')":9221.5,"PANW-US^FE_ACTUAL(ACTUAL,SALES,ANN_ROLL,-1,,,,'CURRENCY=USD')":8027.5,"PANW-US^FE_VALUATION(EBITDA_MARGIN,MEAN,ANN_ROLL,0,NOW,,,'')":31.17652,"PANW-US^FE_VALUATION(ROIC,MEAN,NTMA,,0,,,'')":25.788795,"PANW-US^FE_VALUATION(ROE,MEAN,NTMA,,0,,,'')":23.746382,"PANW-US^FE_VALUATION(DIV_YLD,MEAN,NTMA,,NOW,,,'')":0.0,"PANW-US^FE_VALUATION(MCAP_FCF,MEAN,NTMA,,NOW,,,'')":3.982015,"PANW-US^FE_VALUATION(NETDEBT_EBITDA,MEAN,NTMA,,NOW,,,'')":-2.2344122,"PANW-US^FF_NET_MGN(LTM_R,0)":12.9572538991034,"PANW-US^FF_EBITDA_OPER_MGN(LTM_R,0)":21.6388869234735,"PANW-US^FF_GROSS_MGN(LTM_R,0)":73.5042907826509,"PANW-US^POW(FE_ESTIMATE(EPS,MEAN,STMA,,NOW,,,'CURRENCY=USD')/FE_ESTIMATE(EPS,MEAN,LTMA,,NOW,,,'CURRENCY=USD'),0.5)-1":0.111410545208205,"PANW-US^POW(FE_ESTIMATE(SALES,MEAN,STMA,,NOW,,,'CURRENCY=USD')/FE_ESTIMATE(SALES,MEAN,LTMA,,NOW,,,'CURRENCY=USD'),0.5)-1":0.179292669357357,"PANW-US^FE_ACTUAL(ACTUAL,EPS,ANN_ROLL,0,,,,'CURRENCY=USD')":3.34,"PANW-US^OS_SEC_FLT_PCT(0D,,MTD,SEC)":99.106,"PANW-US^AVG(P_VOLUME_FRQ(-1AM,NOW,D,,6))*P_PRICE_AVG(-1AM,NOW,,USD)":2454.3322549424,"PANW-US^FCS_EV_DAILY(MV,NOW,,,USD,M)":118719.46,"PANW-US^P_DCOUNTRY":"UNITED STATES","PANW-US^FR_RBICS_NAME_CURR(\"IND\")":"Network Infrastructure Software","301269-CN^FE_RATING(MEAN,TEXTONLY,0,NOW,,,'')":"Overweight","301269-CN^FG_PRICE(0,,,USD)/FG_PRICE_MAVG(0,,,USD,200)":0.924623481931091,"301269-CN^FG_PRICE(0,,,USD)/FG_PRICE_MAVG(0,,,USD,100)":0.933910363844073,"301269-CN^FG_PRICE(0,,,USD)/FG_PRICE_MAVG(0,,,USD,50)":0.969529472805906,"301269-CN^RTP_PRICE_TARGET(USD)/FG_PRICE(0,,,USD)":1.37709544048497,"301269-CN^FG_PRICE(0,,,USD)/P_PRICE_HIGH(-1AY,0,USD,,,\"PRICE\",\"INTRA\")":0.72724196929828,"301269-CN^PERCENT_CHANGE(FE_VALUATION(FFEV_EBITDA,MEAN,NTMA,,0,,,''),MAX(FE_VALUATION(FFEV_EBITDA,MEAN,NTMA,,-1AY,0,,'')))":-27.5359048362523,"301269-CN^PERCENT_CHANGE(FE_VALUATION(PE,MEAN,NTMA,,0,,,''),MAX(FE_VALUATION(PE,MEAN,NTMA,,-1AY,0,,'')))":-38.3365334562291,"301269-CN^FE_VALUATION(FFEV_EBITDA,MEAN,NTMA,,0,,,'')":138.27274,"301269-CN^FE_VALUATION(FFEV_SALES,MEAN,NTMA,,0,,,'')":27.255692,"301269-CN^FE_VALUATION(P_SALESPS,MEAN,NTMA,,0,,,'')":27.990995,"301269-CN^FE_VALUATION(PE,MEAN,NTMA,,0,,,'')":190.69337,"301269-CN^FE_ACTUAL(ACTUAL,SALES,ANN_ROLL,0,,,,'CURRENCY=USD')":167.41562,"301269-CN^FE_ACTUAL(ACTUAL,SALES,ANN_ROLL,-1,,,,'CURRENCY=USD')":139.3757,"301269-CN^FE_VALUATION(EBITDA_MARGIN,MEAN,ANN_ROLL,0,NOW,,,'')":7.8446984,"301269-CN^FE_VALUATION(ROIC,MEAN,NTMA,,0,,,'')":null,"301269-CN^FE_VALUATION(ROE,MEAN,NTMA,,0,,,'')":5.6396217,"301269-CN^FE_VALUATION(DIV_YLD,MEAN,NTMA,,NOW,,,'')":0.5886792,"301269-CN^FE_VALUATION(MCAP_FCF,MEAN,NTMA,,NOW,,,'')":null,"301269-CN^FE_VALUATION(NETDEBT_EBITDA,MEAN,NTMA,,NOW,,,'')":-2.708711,"301269-CN^FF_NET_MGN(LTM_R,0)":4.67389357674874,"301269-CN^FF_EBITDA_OPER_MGN(LTM_R,0)":null,"301269-CN^FF_GROSS_MGN(LTM_R,0)":94.1190034443204,"301269-CN^POW(FE_ESTIMATE(EPS,MEAN,STMA,,NOW,,,'CURRENCY=USD')/FE_ESTIMATE(EPS,MEAN,LTMA,,NOW,,,'CURRENCY=USD'),0.5)-1":0.654081255561528,"301269-CN^POW(FE_ESTIMATE(SALES,MEAN,STMA,,NOW,,,'CURRENCY=USD')/FE_ESTIMATE(SALES,MEAN,LTMA,,NOW,,,'CURRENCY=USD'),0.5)-1":0.268744812797278,"301269-CN^FE_ACTUAL(ACTUAL,EPS,ANN_ROLL,0,,,,'CURRENCY=USD')":0.027400265,"301269-CN^OS_SEC_FLT_PCT(0D,,MTD,SEC)":27.8328,"301269-CN^AVG(P_VOLUME_FRQ(-1AM,NOW,D,,6))*P_PRICE_AVG(-1AM,NOW,,USD)":79.2051072098721,"301269-CN^FCS_EV_DAILY(MV,NOW,,,USD,M)":8143.72521926762,"301269-CN^P_DCOUNTRY":"CHINA","301269-CN^FR_RBICS_NAME_CURR(\"IND\")":"Electronic Design Automation Software","OS-US^FE_RATING(MEAN,TEXTONLY,0,NOW,,,'')":"Hold","OS-US^FG_PRICE(0,,,USD)/FG_PRICE_MAVG(0,,,USD,200)":1.05048520963354,"OS-US^FG_PRICE(0,,,USD)/FG_PRICE_MAVG(0,,,USD,100)":1.14115471443187,"OS-US^FG_PRICE(0,,,USD)/FG_PRICE_MAVG(0,,,USD,50)":1.07312614259598,"OS-US^RTP_PRICE_TARGET(USD)/FG_PRICE(0,,,USD)":1.02782508517888,"OS-US^FG_PRICE(0,,,USD)/P_PRICE_HIGH(-1AY,0,USD,,,\"PRICE\",\"INTRA\")":0.791638570465273,"OS-US^PERCENT_CHANGE(FE_VALUATION(FFEV_EBITDA,MEAN,NTMA,,0,,,''),MAX(FE_VALUATION(FFEV_EBITDA,MEAN,NTMA,,-1AY,0,,'')))":-80.8757418171943,"OS-US^PERCENT_CHANGE(FE_VALUATION(PE,MEAN,NTMA,,0,,,''),MAX(FE_VALUATION(PE,MEAN,NTMA,,-1AY,0,,'')))":-72.3473479681428,"OS-US^FE_VALUATION(FFEV_EBITDA,MEAN,NTMA,,0,,,'')":63.743042,"OS-US^FE_VALUATION(FFEV_SALES,MEAN,NTMA,,0,,,'')":5.291487,"OS-US^FE_VALUATION(P_SALESPS,MEAN,NTMA,,0,,,'')":8.009923,"OS-US^FE_VALUATION(PE,MEAN,NTMA,,0,,,'')":78.69869,"OS-US^FE_ACTUAL(ACTUAL,SALES,ANN_ROLL,0,,,,'CURRENCY=USD')":489.407,"OS-US^FE_ACTUAL(ACTUAL,SALES,ANN_ROLL,-1,,,,'CURRENCY=USD')":null,"OS-US^FE_VALUATION(EBITDA_MARGIN,MEAN,ANN_ROLL,0,NOW,,,'')":0.8189094,"OS-US^FE_VALUATION(ROIC,MEAN,NTMA,,0,,,'')":-8.970574,"OS-US^FE_VALUATION(ROE,MEAN,NTMA,,0,,,'')":11.452493,"OS-US^FE_VALUATION(DIV_YLD,MEAN,NTMA,,NOW,,,'')":0.0,"OS-US^FE_VALUATION(MCAP_FCF,MEAN,NTMA,,NOW,,,'')":2.1887033,"OS-US^FE_VALUATION(NETDEBT_EBITDA,MEAN,NTMA,,NOW,,,'')":-13.442983,"OS-US^FF_NET_MGN(LTM_R,0)":-14.4997958565003,"OS-US^FF_EBITDA_OPER_MGN(LTM_R,0)":-23.2462496298256,"OS-US^FF_GROSS_MGN(LTM_R,0)":67.8588763871682,"OS-US^POW(FE_ESTIMATE(EPS,MEAN,STMA,,NOW,,,'CURRENCY=USD')/FE_ESTIMATE(EPS,MEAN,LTMA,,NOW,,,'CURRENCY=USD'),0.5)-1":0.516951779062209,"OS-US^POW(FE_ESTIMATE(SALES,MEAN,STMA,,NOW,,,'CURRENCY=USD')/FE_ESTIMATE(SALES,MEAN,LTMA,,NOW,,,'CURRENCY=USD'),0.5)-1":0.185930562891437,"OS-US^FE_ACTUAL(ACTUAL,EPS,ANN_ROLL,0,,,,'CURRENCY=USD')":0.14,"OS-US^OS_SEC_FLT_PCT(0D,,MTD,SEC)":96.3263,"OS-US^AVG(P_VOLUME_FRQ(-1AM,NOW,D,,6))*P_PRICE_AVG(-1AM,NOW,,USD)":111.344473174469,"OS-US^FCS_EV_DAILY(MV,NOW,,,USD,M)":6330.40485728,"OS-US^P_DCOUNTRY":"UNITED STATES","OS-US^FR_RBICS_NAME_CURR(\"IND\")":"Enterprise Resource Planning Software","BSY-US^FE_RATING(MEAN,TEXTONLY,0,NOW,,,'')":"Overweight","BSY-US^FG_PRICE(0,,,USD)/FG_PRICE_MAVG(0,,,USD,200)":0.681150788460472,"BSY-US^FG_PRICE(0,,,USD)/FG_PRICE_MAVG(0,,,USD,100)":0.765942329326781,"BSY-US^FG_PRICE(0,,,USD)/FG_PRICE_MAVG(0,,,USD,50)":0.869165584912963,"BSY-US^RTP_PRICE_TARGET(USD)/FG_PRICE(0,,,USD)":1.62218738404453,"BSY-US^FG_PRICE(0,,,USD)/P_PRICE_HIGH(-1AY,0,USD,,,\"PRICE\",\"INTRA\")":0.545822784810127,"BSY-US^PERCENT_CHANGE(FE_VALUATION(FFEV_EBITDA,MEAN,NTMA,,0,,,''),MAX(FE_VALUATION(FFEV_EBITDA,MEAN,NTMA,,-1AY,0,,'')))":-47.0558746416808,"BSY-US^PERCENT_CHANGE(FE_VALUATION(PE,MEAN,NTMA,,0,,,''),MAX(FE_VALUATION(PE,MEAN,NTMA,,-1AY,0,,'')))":-49.3161394437729,"BSY-US^FE_VALUATION(FFEV_EBITDA,MEAN,NTMA,,0,,,'')":19.41876,"BSY-US^FE_VALUATION(FFEV_SALES,MEAN,NTMA,,0,,,'')":7.1122327,"BSY-US^FE_VALUATION(P_SALESPS,MEAN,NTMA,,0,,,'')":5.86925,"BSY-US^FE_VALUATION(PE,MEAN,NTMA,,0,,,'')":23.566427,"BSY-US^FE_ACTUAL(ACTUAL,SALES,ANN_ROLL,0,,,,'CURRENCY=USD')":1353.095,"BSY-US^FE_ACTUAL(ACTUAL,SALES,ANN_ROLL,-1,,,,'CURRENCY=USD')":1228.413,"BSY-US^FE_VALUATION(EBITDA_MARGIN,MEAN,ANN_ROLL,0,NOW,,,'')":34.392857,"BSY-US^FE_VALUATION(ROIC,MEAN,NTMA,,0,,,'')":13.299074,"BSY-US^FE_VALUATION(ROE,MEAN,NTMA,,0,,,'')":19.141386,"BSY-US^FE_VALUATION(DIV_YLD,MEAN,NTMA,,NOW,,,'')":0.95367396,"BSY-US^FE_VALUATION(MCAP_FCF,MEAN,NTMA,,NOW,,,'')":5.399657,"BSY-US^FE_VALUATION(NETDEBT_EBITDA,MEAN,NTMA,,NOW,,,'')":0.84888643,"BSY-US^FF_NET_MGN(LTM_R,0)":18.4416778137819,"BSY-US^FF_EBITDA_OPER_MGN(LTM_R,0)":28.3388777817275,"BSY-US^FF_GROSS_MGN(LTM_R,0)":78.9468493218239,"BSY-US^POW(FE_ESTIMATE(EPS,MEAN,STMA,,NOW,,,'CURRENCY=USD')/FE_ESTIMATE(EPS,MEAN,LTMA,,NOW,,,'CURRENCY=USD'),0.5)-1":0.125725499400276,"BSY-US^POW(FE_ESTIMATE(SALES,MEAN,STMA,,NOW,,,'CURRENCY=USD')/FE_ESTIMATE(SALES,MEAN,LTMA,,NOW,,,'CURRENCY=USD'),0.5)-1":0.0951430500167547,"BSY-US^FE_ACTUAL(ACTUAL,EPS,ANN_ROLL,0,,,,'CURRENCY=USD')":1.07,"BSY-US^OS_SEC_FLT_PCT(0D,,MTD,SEC)":41.1494,"BSY-US^AVG(P_VOLUME_FRQ(-1AM,NOW,D,,6))*P_PRICE_AVG(-1AM,NOW,,USD)":105.550249599174,"BSY-US^FCS_EV_DAILY(MV,NOW,,,USD,M)":9939.4655052,"BSY-US^P_DCOUNTRY":"UNITED STATES","BSY-US^FR_RBICS_NAME_CURR(\"IND\")":"Computer Aided Design Software","4684-JP^FE_RATING(MEAN,TEXTONLY,0,NOW,,,'')":"Overweight","4684-JP^FG_PRICE(0,,,USD)/FG_PRICE_MAVG(0,,,USD,200)":0.715116251195983,"4684-JP^FG_PRICE(0,,,USD)/FG_PRICE_MAVG(0,,,USD,100)":0.78177163723441,"4684-JP^FG_PRICE(0,,,USD)/FG_PRICE_MAVG(0,,,USD,50)":0.829130387222151,"4684-JP^RTP_PRICE_TARGET(USD)/FG_PRICE(0,,,USD)":1.39043699625814,"4684-JP^FG_PRICE(0,,,USD)/P_PRICE_HIGH(-1AY,0,USD,,,\"PRICE\",\"INTRA\")":0.612788834888857,"4684-JP^PERCENT_CHANGE(FE_VALUATION(FFEV_EBITDA,MEAN,NTMA,,0,,,''),MAX(FE_VALUATION(FFEV_EBITDA,MEAN,NTMA,,-1AY,0,,'')))":-40.7793050964974,"4684-JP^PERCENT_CHANGE(FE_VALUATION(PE,MEAN,NTMA,,0,,,''),MAX(FE_VALUATION(PE,MEAN,NTMA,,-1AY,0,,'')))":-38.5571956368333,"4684-JP^FE_VALUATION(FFEV_EBITDA,MEAN,NTMA,,0,,,'')":14.703856,"4684-JP^FE_VALUATION(FFEV_SALES,MEAN,NTMA,,0,,,'')":9.946902,"4684-JP^FE_VALUATION(P_SALESPS,MEAN,NTMA,,0,,,'')":12.827414,"4684-JP^FE_VALUATION(PE,MEAN,NTMA,,0,,,'')":21.037956,"4684-JP^FE_ACTUAL(ACTUAL,SALES,ANN_ROLL,0,,,,'CURRENCY=USD')":850.0912,"4684-JP^FE_ACTUAL(ACTUAL,SALES,ANN_ROLL,-1,,,,'CURRENCY=USD')":719.86584,"4684-JP^FE_VALUATION(EBITDA_MARGIN,MEAN,ANN_ROLL,0,NOW,,,'')":66.47774,"4684-JP^FE_VALUATION(ROIC,MEAN,NTMA,,0,,,'')":15.8308525,"4684-JP^FE_VALUATION(ROE,MEAN,NTMA,,0,,,'')":15.804352,"4684-JP^FE_VALUATION(DIV_YLD,MEAN,NTMA,,NOW,,,'')":2.289976,"4684-JP^FE_VALUATION(MCAP_FCF,MEAN,NTMA,,NOW,,,'')":3.9433043,"4684-JP^FE_VALUATION(NETDEBT_EBITDA,MEAN,NTMA,,NOW,,,'')":-2.4344165,"4684-JP^FF_NET_MGN(LTM_R,0)":54.8636329104308,"4684-JP^FF_EBITDA_OPER_MGN(LTM_R,0)":67.5074071260351,"4684-JP^FF_GROSS_MGN(LTM_R,0)":78.0688292942338,"4684-JP^POW(FE_ESTIMATE(EPS,MEAN,STMA,,NOW,,,'CURRENCY=USD')/FE_ESTIMATE(EPS,MEAN,LTMA,,NOW,,,'CURRENCY=USD'),0.5)-1":0.0882821325373306,"4684-JP^POW(FE_ESTIMATE(SALES,MEAN,STMA,,NOW,,,'CURRENCY=USD')/FE_ESTIMATE(SALES,MEAN,LTMA,,NOW,,,'CURRENCY=USD'),0.5)-1":0.0896142436660783,"4684-JP^FE_ACTUAL(ACTUAL,EPS,ANN_ROLL,0,,,,'CURRENCY=USD')":1.0300099,"4684-JP^OS_SEC_FLT_PCT(0D,,MTD,SEC)":61.0278,"4684-JP^AVG(P_VOLUME_FRQ(-1AM,NOW,D,,6))*P_PRICE_AVG(-1AM,NOW,,USD)":73.0692903476929,"4684-JP^FCS_EV_DAILY(MV,NOW,,,USD,M)":11769.7633082424,"4684-JP^P_DCOUNTRY":"JAPAN","4684-JP^FR_RBICS_NAME_CURR(\"IND\")":"Enterprise Resource Planning Software","NICE-US^FE_RATING(MEAN,TEXTONLY,0,NOW,,,'')":"Overweight","NICE-US^FG_PRICE(0,,,USD)/FG_PRICE_MAVG(0,,,USD,200)":0.834333186791227,"NICE-US^FG_PRICE(0,,,USD)/FG_PRICE_MAVG(0,,,USD,100)":0.97121965735663,"NICE-US^FG_PRICE(0,,,USD)/FG_PRICE_MAVG(0,,,USD,50)":1.02452749129336,"NICE-US^RTP_PRICE_TARGET(USD)/FG_PRICE(0,,,USD)":1.34065350608422,"NICE-US^FG_PRICE(0,,,USD)/P_PRICE_HIGH(-1AY,0,USD,,,\"PRICE\",\"INTRA\")":0.632467748186701,"NICE-US^PERCENT_CHANGE(FE_VALUATION(FFEV_EBITDA,MEAN,NTMA,,0,,,''),MAX(FE_VALUATION(FFEV_EBITDA,MEAN,NTMA,,-1AY,0,,'')))":-27.123816794392,"NICE-US^PERCENT_CHANGE(FE_VALUATION(PE,MEAN,NTMA,,0,,,''),MAX(FE_VALUATION(PE,MEAN,NTMA,,-1AY,0,,'')))":-26.316399963234,"NICE-US^FE_VALUATION(FFEV_EBITDA,MEAN,NTMA,,0,,,'')":7.136683,"NICE-US^FE_VALUATION(FFEV_SALES,MEAN,NTMA,,0,,,'')":2.1466796,"NICE-US^FE_VALUATION(P_SALESPS,MEAN,NTMA,,0,,,'')":2.2398727,"NICE-US^FE_VALUATION(PE,MEAN,NTMA,,0,,,'')":10.221039,"NICE-US^FE_ACTUAL(ACTUAL,SALES,ANN_ROLL,0,,,,'CURRENCY=USD')":2945.399,"NICE-US^FE_ACTUAL(ACTUAL,SALES,ANN_ROLL,-1,,,,'CURRENCY=USD')":2735.272,"NICE-US^FE_VALUATION(EBITDA_MARGIN,MEAN,ANN_ROLL,0,NOW,,,'')":34.705032,"NICE-US^FE_VALUATION(ROIC,MEAN,NTMA,,0,,,'')":16.202742,"NICE-US^FE_VALUATION(ROE,MEAN,NTMA,,0,,,'')":14.630997,"NICE-US^FE_VALUATION(DIV_YLD,MEAN,NTMA,,NOW,,,'')":0.0,"NICE-US^FE_VALUATION(MCAP_FCF,MEAN,NTMA,,NOW,,,'')":8.444508,"NICE-US^FE_VALUATION(NETDEBT_EBITDA,MEAN,NTMA,,NOW,,,'')":-0.9078173,"NICE-US^FF_NET_MGN(LTM_R,0)":20.8069340987844,"NICE-US^FF_EBITDA_OPER_MGN(LTM_R,0)":28.9909926169954,"NICE-US^FF_GROSS_MGN(LTM_R,0)":66.4135080334333,"NICE-US^POW(FE_ESTIMATE(EPS,MEAN,STMA,,NOW,,,'CURRENCY=USD')/FE_ESTIMATE(EPS,MEAN,LTMA,,NOW,,,'CURRENCY=USD'),0.5)-1":0.0314128659271224,"NICE-US^POW(FE_ESTIMATE(SALES,MEAN,STMA,,NOW,,,'CURRENCY=USD')/FE_ESTIMATE(SALES,MEAN,LTMA,,NOW,,,'CURRENCY=USD'),0.5)-1":0.0937038904566445,"NICE-US^FE_ACTUAL(ACTUAL,EPS,ANN_ROLL,0,,,,'CURRENCY=USD')":12.3,"NICE-US^OS_SEC_FLT_PCT(0D,,MTD,SEC)":null,"NICE-US^AVG(P_VOLUME_FRQ(-1AM,NOW,D,,6))*P_PRICE_AVG(-1AM,NOW,,USD)":117.494895114729,"NICE-US^FCS_EV_DAILY(MV,NOW,,,USD,M)":7420.59644245548,"NICE-US^P_DCOUNTRY":"ISRAEL","NICE-US^FR_RBICS_NAME_CURR(\"IND\")":"Customer Relationship Management Software","TOST-US^FE_RATING(MEAN,TEXTONLY,0,NOW,,,'')":"Overweight","TOST-US^FG_PRICE(0,,,USD)/FG_PRICE_MAVG(0,,,USD,200)":0.65960457260487,"TOST-US^FG_PRICE(0,,,USD)/FG_PRICE_MAVG(0,,,USD,100)":0.745135636833072,"TOST-US^FG_PRICE(0,,,USD)/FG_PRICE_MAVG(0,,,USD,50)":0.784871050321377,"TOST-US^RTP_PRICE_TARGET(USD)/FG_PRICE(0,,,USD)":1.45482987876418,"TOST-US^FG_PRICE(0,,,USD)/P_PRICE_HIGH(-1AY,0,USD,,,\"PRICE\",\"INTRA\")":0.514901329037455,"TOST-US^PERCENT_CHANGE(FE_VALUATION(FFEV_EBITDA,MEAN,NTMA,,0,,,''),MAX(FE_VALUATION(FFEV_EBITDA,MEAN,NTMA,,-1AY,0,,'')))":-60.4544441155079,"TOST-US^PERCENT_CHANGE(FE_VALUATION(PE,MEAN,NTMA,,0,,,''),MAX(FE_VALUATION(PE,MEAN,NTMA,,-1AY,0,,'')))":-56.1318706244859,"TOST-US^FE_VALUATION(FFEV_EBITDA,MEAN,NTMA,,0,,,'')":16.23003,"TOST-US^FE_VALUATION(FFEV_SALES,MEAN,NTMA,,0,,,'')":1.7823989,"TOST-US^FE_VALUATION(P_SALESPS,MEAN,NTMA,,0,,,'')":1.9844888,"TOST-US^FE_VALUATION(PE,MEAN,NTMA,,0,,,'')":20.190754,"TOST-US^FE_ACTUAL(ACTUAL,SALES,ANN_ROLL,0,,,,'CURRENCY=USD')":6153.0,"TOST-US^FE_ACTUAL(ACTUAL,SALES,ANN_ROLL,-1,,,,'CURRENCY=USD')":4960.0,"TOST-US^FE_VALUATION(EBITDA_MARGIN,MEAN,ANN_ROLL,0,NOW,,,'')":10.287664,"TOST-US^FE_VALUATION(ROIC,MEAN,NTMA,,0,,,'')":17.183422,"TOST-US^FE_VALUATION(ROE,MEAN,NTMA,,0,,,'')":25.188044,"TOST-US^FE_VALUATION(DIV_YLD,MEAN,NTMA,,NOW,,,'')":0.0,"TOST-US^FE_VALUATION(MCAP_FCF,MEAN,NTMA,,NOW,,,'')":5.320233,"TOST-US^FE_VALUATION(NETDEBT_EBITDA,MEAN,NTMA,,NOW,,,'')":-3.0913737,"TOST-US^FF_NET_MGN(LTM_R,0)":5.55826426133593,"TOST-US^FF_EBITDA_OPER_MGN(LTM_R,0)":6.02957906712173,"TOST-US^FF_GROSS_MGN(LTM_R,0)":25.8410531448074,"TOST-US^POW(FE_ESTIMATE(EPS,MEAN,STMA,,NOW,,,'CURRENCY=USD')/FE_ESTIMATE(EPS,MEAN,LTMA,,NOW,,,'CURRENCY=USD'),0.5)-1":0.25587722329852,"TOST-US^POW(FE_ESTIMATE(SALES,MEAN,STMA,,NOW,,,'CURRENCY=USD')/FE_ESTIMATE(SALES,MEAN,LTMA,,NOW,,,'CURRENCY=USD'),0.5)-1":0.189157516900095,"TOST-US^FE_ACTUAL(ACTUAL,EPS,ANN_ROLL,0,,,,'CURRENCY=USD')":0.976804,"TOST-US^OS_SEC_FLT_PCT(0D,,MTD,SEC)":92.0785,"TOST-US^AVG(P_VOLUME_FRQ(-1AM,NOW,D,,6))*P_PRICE_AVG(-1AM,NOW,,USD)":398.448032656528,"TOST-US^FCS_EV_DAILY(MV,NOW,,,USD,M)":15766.25,"TOST-US^P_DCOUNTRY":"UNITED STATES","TOST-US^FR_RBICS_NAME_CURR(\"IND\")":"Retail Industry Software","DDOG-US^FE_RATING(MEAN,TEXTONLY,0,NOW,,,'')":"Buy","DDOG-US^FG_PRICE(0,,,USD)/FG_PRICE_MAVG(0,,,USD,200)":0.752577594475765,"DDOG-US^FG_PRICE(0,,,USD)/FG_PRICE_MAVG(0,,,USD,100)":0.715389120851644,"DDOG-US^FG_PRICE(0,,,USD)/FG_PRICE_MAVG(0,,,USD,50)":0.809750189391443,"DDOG-US^RTP_PRICE_TARGET(USD)/FG_PRICE(0,,,USD)":1.76145532892847,"DDOG-US^FG_PRICE(0,,,USD)/P_PRICE_HIGH(-1AY,0,USD,,,\"PRICE\",\"INTRA\")":0.517774802915365,"DDOG-US^PERCENT_CHANGE(FE_VALUATION(FFEV_EBITDA,MEAN,NTMA,,0,,,''),MAX(FE_VALUATION(FFEV_EBITDA,MEAN,NTMA,,-1AY,0,,'')))":-51.3342722205137,"DDOG-US^PERCENT_CHANGE(FE_VALUATION(PE,MEAN,NTMA,,0,,,''),MAX(FE_VALUATION(PE,MEAN,NTMA,,-1AY,0,,'')))":-46.3295743923456,"DDOG-US^FE_VALUATION(FFEV_EBITDA,MEAN,NTMA,,0,,,'')":33.833397,"DDOG-US^FE_VALUATION(FFEV_SALES,MEAN,NTMA,,0,,,'')":8.199817,"DDOG-US^FE_VALUATION(P_SALESPS,MEAN,NTMA,,0,,,'')":8.687898,"DDOG-US^FE_VALUATION(PE,MEAN,NTMA,,0,,,'')":47.1005,"DDOG-US^FE_ACTUAL(ACTUAL,SALES,ANN_ROLL,0,,,,'CURRENCY=USD')":3427.158,"DDOG-US^FE_ACTUAL(ACTUAL,SALES,ANN_ROLL,-1,,,,'CURRENCY=USD')":2684.275,"DDOG-US^FE_VALUATION(EBITDA_MARGIN,MEAN,ANN_ROLL,0,NOW,,,'')":24.027456,"DDOG-US^FE_VALUATION(ROIC,MEAN,NTMA,,0,,,'')":13.954807,"DDOG-US^FE_VALUATION(ROE,MEAN,NTMA,,0,,,'')":16.43451,"DDOG-US^FE_VALUATION(DIV_YLD,MEAN,NTMA,,NOW,,,'')":0.0,"DDOG-US^FE_VALUATION(MCAP_FCF,MEAN,NTMA,,NOW,,,'')":3.0458798,"DDOG-US^FE_VALUATION(NETDEBT_EBITDA,MEAN,NTMA,,NOW,,,'')":-4.417233,"DDOG-US^FF_NET_MGN(LTM_R,0)":3.14374184090725,"DDOG-US^FF_EBITDA_OPER_MGN(LTM_R,0)":2.27908955466891,"DDOG-US^FF_GROSS_MGN(LTM_R,0)":79.9279169504295,"DDOG-US^POW(FE_ESTIMATE(EPS,MEAN,STMA,,NOW,,,'CURRENCY=USD')/FE_ESTIMATE(EPS,MEAN,LTMA,,NOW,,,'CURRENCY=USD'),0.5)-1":0.143456383077203,"DDOG-US^POW(FE_ESTIMATE(SALES,MEAN,STMA,,NOW,,,'CURRENCY=USD')/FE_ESTIMATE(SALES,MEAN,LTMA,,NOW,,,'CURRENCY=USD'),0.5)-1":0.196623625038383,"DDOG-US^FE_ACTUAL(ACTUAL,EPS,ANN_ROLL,0,,,,'CURRENCY=USD')":2.05,"DDOG-US^OS_SEC_FLT_PCT(0D,,MTD,SEC)":98.2886,"DDOG-US^AVG(P_VOLUME_FRQ(-1AM,NOW,D,,6))*P_PRICE_AVG(-1AM,NOW,,USD)":844.039394158829,"DDOG-US^FCS_EV_DAILY(MV,NOW,,,USD,M)":38912.28299106,"DDOG-US^P_DCOUNTRY":"UNITED STATES","DDOG-US^FR_RBICS_NAME_CURR(\"IND\")":"Network Infrastructure Software","VRNS-US^FE_RATING(MEAN,TEXTONLY,0,NOW,,,'')":"Overweight","VRNS-US^FG_PRICE(0,,,USD)/FG_PRICE_MAVG(0,,,USD,200)":0.47972732219457,"VRNS-US^FG_PRICE(0,,,USD)/FG_PRICE_MAVG(0,,,USD,100)":0.577597158573167,"VRNS-US^FG_PRICE(0,,,USD)/FG_PRICE_MAVG(0,,,USD,50)":0.705646799561855,"VRNS-US^RTP_PRICE_TARGET(USD)/FG_PRICE(0,,,USD)":1.59034168585905,"VRNS-US^FG_PRICE(0,,,USD)/P_PRICE_HIGH(-1AY,0,USD,,,\"PRICE\",\"INTRA\")":0.339749608763693,"VRNS-US^PERCENT_CHANGE(FE_VALUATION(FFEV_EBITDA,MEAN,NTMA,,0,,,''),MAX(FE_VALUATION(FFEV_EBITDA,MEAN,NTMA,,-1AY,0,,'')))":-52.6874111811467,"VRNS-US^PERCENT_CHANGE(FE_VALUATION(PE,MEAN,NTMA,,0,,,''),MAX(FE_VALUATION(PE,MEAN,NTMA,,-1AY,0,,'')))":-28.1941017685464,"VRNS-US^FE_VALUATION(FFEV_EBITDA,MEAN,NTMA,,0,,,'')":93.043655,"VRNS-US^FE_VALUATION(FFEV_SALES,MEAN,NTMA,,0,,,'')":2.7964485,"VRNS-US^FE_VALUATION(P_SALESPS,MEAN,NTMA,,0,,,'')":3.4203446,"VRNS-US^FE_VALUATION(PE,MEAN,NTMA,,0,,,'')":164.29173,"VRNS-US^FE_ACTUAL(ACTUAL,SALES,ANN_ROLL,0,,,,'CURRENCY=USD')":623.532,"VRNS-US^FE_ACTUAL(ACTUAL,SALES,ANN_ROLL,-1,,,,'CURRENCY=USD')":550.95,"VRNS-US^FE_VALUATION(EBITDA_MARGIN,MEAN,ANN_ROLL,0,NOW,,,'')":1.4163668,"VRNS-US^FE_VALUATION(ROIC,MEAN,NTMA,,0,,,'')":1.7536154,"VRNS-US^FE_VALUATION(ROE,MEAN,NTMA,,0,,,'')":2.6995661,"VRNS-US^FE_VALUATION(DIV_YLD,MEAN,NTMA,,NOW,,,'')":0.0,"VRNS-US^FE_VALUATION(MCAP_FCF,MEAN,NTMA,,NOW,,,'')":4.372019,"VRNS-US^FE_VALUATION(NETDEBT_EBITDA,MEAN,NTMA,,NOW,,,'')":-38.46902,"VRNS-US^FF_NET_MGN(LTM_R,0)":-20.7405554165624,"VRNS-US^FF_EBITDA_OPER_MGN(LTM_R,0)":-21.7477210471957,"VRNS-US^FF_GROSS_MGN(LTM_R,0)":78.8344463475812,"VRNS-US^POW(FE_ESTIMATE(EPS,MEAN,STMA,,NOW,,,'CURRENCY=USD')/FE_ESTIMATE(EPS,MEAN,LTMA,,NOW,,,'CURRENCY=USD'),0.5)-1":0.660106502607589,"VRNS-US^POW(FE_ESTIMATE(SALES,MEAN,STMA,,NOW,,,'CURRENCY=USD')/FE_ESTIMATE(SALES,MEAN,LTMA,,NOW,,,'CURRENCY=USD'),0.5)-1":0.170698167761443,"VRNS-US^FE_ACTUAL(ACTUAL,EPS,ANN_ROLL,0,,,,'CURRENCY=USD')":0.18,"VRNS-US^OS_SEC_FLT_PCT(0D,,MTD,SEC)":94.5823,"VRNS-US^AVG(P_VOLUME_FRQ(-1AM,NOW,D,,6))*P_PRICE_AVG(-1AM,NOW,,USD)":127.322865902532,"VRNS-US^FCS_EV_DAILY(MV,NOW,,,USD,M)":2736.014192358,"VRNS-US^P_DCOUNTRY":"UNITED STATES","VRNS-US^FR_RBICS_NAME_CURR(\"IND\")":"Network Infrastructure Software","SAP-DE^FE_RATING(MEAN,TEXTONLY,0,NOW,,,'')":"Overweight","SAP-DE^FG_PRICE(0,,,USD)/FG_PRICE_MAVG(0,,,USD,200)":0.738631380433026,"SAP-DE^FG_PRICE(0,,,USD)/FG_PRICE_MAVG(0,,,USD,100)":0.808688070930331,"SAP-DE^FG_PRICE(0,,,USD)/FG_PRICE_MAVG(0,,,USD,50)":0.866036676520547,"SAP-DE^RTP_PRICE_TARGET(USD)/FG_PRICE(0,,,USD)":1.49448954890075,"SAP-DE^FG_PRICE(0,,,USD)/P_PRICE_HIGH(-1AY,0,USD,,,\"PRICE\",\"INTRA\")":0.620606596712228,"SAP-DE^PERCENT_CHANGE(FE_VALUATION(FFEV_EBITDA,MEAN,NTMA,,0,,,''),MAX(FE_VALUATION(FFEV_EBITDA,MEAN,NTMA,,-1AY,0,,'')))":-46.4985094880183,"SAP-DE^PERCENT_CHANGE(FE_VALUATION(PE,MEAN,NTMA,,0,,,''),MAX(FE_VALUATION(PE,MEAN,NTMA,,-1AY,0,,'')))":-46.9433839389989,"SAP-DE^FE_VALUATION(FFEV_EBITDA,MEAN,NTMA,,0,,,'')":14.383009,"SAP-DE^FE_VALUATION(FFEV_SALES,MEAN,NTMA,,0,,,'')":4.714749,"SAP-DE^FE_VALUATION(P_SALESPS,MEAN,NTMA,,0,,,'')":4.960314,"SAP-DE^FE_VALUATION(PE,MEAN,NTMA,,0,,,'')":22.489258,"SAP-DE^FE_ACTUAL(ACTUAL,SALES,ANN_ROLL,0,,,,'CURRENCY=USD')":43900.56,"SAP-DE^FE_ACTUAL(ACTUAL,SALES,ANN_ROLL,-1,,,,'CURRENCY=USD')":35626.77,"SAP-DE^FE_VALUATION(EBITDA_MARGIN,MEAN,ANN_ROLL,0,NOW,,,'')":31.08609,"SAP-DE^FE_VALUATION(ROIC,MEAN,NTMA,,0,,,'')":14.444313,"SAP-DE^FE_VALUATION(ROE,MEAN,NTMA,,0,,,'')":17.383753,"SAP-DE^FE_VALUATION(DIV_YLD,MEAN,NTMA,,NOW,,,'')":1.6269106,"SAP-DE^FE_VALUATION(MCAP_FCF,MEAN,NTMA,,NOW,,,'')":5.0163445,"SAP-DE^FE_VALUATION(NETDEBT_EBITDA,MEAN,NTMA,,NOW,,,'')":-0.53080827,"SAP-DE^FF_NET_MGN(LTM_R,0)":19.9103260869565,"SAP-DE^FF_EBITDA_OPER_MGN(LTM_R,0)":31.5326086956522,"SAP-DE^FF_GROSS_MGN(LTM_R,0)":76.1576086956522,"SAP-DE^POW(FE_ESTIMATE(EPS,MEAN,STMA,,NOW,,,'CURRENCY=USD')/FE_ESTIMATE(EPS,MEAN,LTMA,,NOW,,,'CURRENCY=USD'),0.5)-1":0.163856090760365,"SAP-DE^POW(FE_ESTIMATE(SALES,MEAN,STMA,,NOW,,,'CURRENCY=USD')/FE_ESTIMATE(SALES,MEAN,LTMA,,NOW,,,'CURRENCY=USD'),0.5)-1":0.103310427758208,"SAP-DE^FE_ACTUAL(ACTUAL,EPS,ANN_ROLL,0,,,,'CURRENCY=USD')":7.3366423,"SAP-DE^OS_SEC_FLT_PCT(0D,,MTD,SEC)":89.9713,"SAP-DE^AVG(P_VOLUME_FRQ(-1AM,NOW,D,,6))*P_PRICE_AVG(-1AM,NOW,,USD)":807.732887584096,"SAP-DE^FCS_EV_DAILY(MV,NOW,,,USD,M)":239108.115505565,"SAP-DE^P_DCOUNTRY":"GERMANY","SAP-DE^FR_RBICS_NAME_CURR(\"IND\")":"General Enterprise Management Software","DSY-FR^FE_RATING(MEAN,TEXTONLY,0,NOW,,,'')":"Overweight","DSY-FR^FG_PRICE(0,,,USD)/FG_PRICE_MAVG(0,,,USD,200)":0.656598752491256,"DSY-FR^FG_PRICE(0,,,USD)/FG_PRICE_MAVG(0,,,USD,100)":0.73542590740266,"DSY-FR^FG_PRICE(0,,,USD)/FG_PRICE_MAVG(0,,,USD,50)":0.780674472037298,"DSY-FR^RTP_PRICE_TARGET(USD)/FG_PRICE(0,,,USD)":1.426046863119,"DSY-FR^FG_PRICE(0,,,USD)/P_PRICE_HIGH(-1AY,0,USD,,,\"PRICE\",\"INTRA\")":0.465203928528494,"DSY-FR^PERCENT_CHANGE(FE_VALUATION(FFEV_EBITDA,MEAN,NTMA,,0,,,''),MAX(FE_VALUATION(FFEV_EBITDA,MEAN,NTMA,,-1AY,0,,'')))":-55.1009068365681,"DSY-FR^PERCENT_CHANGE(FE_VALUATION(PE,MEAN,NTMA,,0,,,''),MAX(FE_VALUATION(PE,MEAN,NTMA,,-1AY,0,,'')))":-54.7186720279329,"DSY-FR^FE_VALUATION(FFEV_EBITDA,MEAN,NTMA,,0,,,'')":9.534137,"DSY-FR^FE_VALUATION(FFEV_SALES,MEAN,NTMA,,0,,,'')":3.372436,"DSY-FR^FE_VALUATION(P_SALESPS,MEAN,NTMA,,0,,,'')":3.6453555,"DSY-FR^FE_VALUATION(PE,MEAN,NTMA,,0,,,'')":12.929946,"DSY-FR^FE_ACTUAL(ACTUAL,SALES,ANN_ROLL,0,,,,'CURRENCY=USD')":7399.8535,"DSY-FR^FE_ACTUAL(ACTUAL,SALES,ANN_ROLL,-1,,,,'CURRENCY=USD')":6450.027,"DSY-FR^FE_VALUATION(EBITDA_MARGIN,MEAN,ANN_ROLL,0,NOW,,,'')":34.361717,"DSY-FR^FE_VALUATION(ROIC,MEAN,NTMA,,0,,,'')":13.975629,"DSY-FR^FE_VALUATION(ROE,MEAN,NTMA,,0,,,'')":17.428587,"DSY-FR^FE_VALUATION(DIV_YLD,MEAN,NTMA,,NOW,,,'')":1.5994823,"DSY-FR^FE_VALUATION(MCAP_FCF,MEAN,NTMA,,NOW,,,'')":6.4636774,"DSY-FR^FE_VALUATION(NETDEBT_EBITDA,MEAN,NTMA,,NOW,,,'')":-1.2156,"DSY-FR^FF_NET_MGN(LTM_R,0)":19.1782799044213,"DSY-FR^FF_EBITDA_OPER_MGN(LTM_R,0)":31.1400484308097,"DSY-FR^FF_GROSS_MGN(LTM_R,0)":78.3135814744135,"DSY-FR^POW(FE_ESTIMATE(EPS,MEAN,STMA,,NOW,,,'CURRENCY=USD')/FE_ESTIMATE(EPS,MEAN,LTMA,,NOW,,,'CURRENCY=USD'),0.5)-1":0.0426011701508875,"DSY-FR^POW(FE_ESTIMATE(SALES,MEAN,STMA,,NOW,,,'CURRENCY=USD')/FE_ESTIMATE(SALES,MEAN,LTMA,,NOW,,,'CURRENCY=USD'),0.5)-1":0.037831007438109,"DSY-FR^FE_ACTUAL(ACTUAL,EPS,ANN_ROLL,0,,,,'CURRENCY=USD')":1.5535945,"DSY-FR^OS_SEC_FLT_PCT(0D,,MTD,SEC)":49.186,"DSY-FR^AVG(P_VOLUME_FRQ(-1AM,NOW,D,,6))*P_PRICE_AVG(-1AM,NOW,,USD)":96.0601076082613,"DSY-FR^FCS_EV_DAILY(MV,NOW,,,USD,M)":27833.5775195779,"DSY-FR^P_DCOUNTRY":"FRANCE","DSY-FR^FR_RBICS_NAME_CURR(\"IND\")":"Computer Aided Design Software","PTC-US^FE_RATING(MEAN,TEXTONLY,0,NOW,,,'')":"Overweight","PTC-US^FG_PRICE(0,,,USD)/FG_PRICE_MAVG(0,,,USD,200)":0.833588678783385,"PTC-US^FG_PRICE(0,,,USD)/FG_PRICE_MAVG(0,,,USD,100)":0.867707320292429,"PTC-US^FG_PRICE(0,,,USD)/FG_PRICE_MAVG(0,,,USD,50)":0.928308606847976,"PTC-US^RTP_PRICE_TARGET(USD)/FG_PRICE(0,,,USD)":1.28395174838836,"PTC-US^FG_PRICE(0,,,USD)/P_PRICE_HIGH(-1AY,0,USD,,,\"PRICE\",\"INTRA\")":0.699030452000546,"PTC-US^PERCENT_CHANGE(FE_VALUATION(FFEV_EBITDA,MEAN,NTMA,,0,,,''),MAX(FE_VALUATION(FFEV_EBITDA,MEAN,NTMA,,-1AY,0,,'')))":-37.7857597787737,"PTC-US^PERCENT_CHANGE(FE_VALUATION(PE,MEAN,NTMA,,0,,,''),MAX(FE_VALUATION(PE,MEAN,NTMA,,-1AY,0,,'')))":-41.1289909498137,"PTC-US^FE_VALUATION(FFEV_EBITDA,MEAN,NTMA,,0,,,'')":13.973477,"PTC-US^FE_VALUATION(FFEV_SALES,MEAN,NTMA,,0,,,'')":6.758926,"PTC-US^FE_VALUATION(P_SALESPS,MEAN,NTMA,,0,,,'')":6.3025694,"PTC-US^FE_VALUATION(PE,MEAN,NTMA,,0,,,'')":18.446672,"PTC-US^FE_ACTUAL(ACTUAL,SALES,ANN_ROLL,0,,,,'CURRENCY=USD')":2739.226,"PTC-US^FE_ACTUAL(ACTUAL,SALES,ANN_ROLL,-1,,,,'CURRENCY=USD')":2298.472,"PTC-US^FE_VALUATION(EBITDA_MARGIN,MEAN,ANN_ROLL,0,NOW,,,'')":49.331882,"PTC-US^FE_VALUATION(ROIC,MEAN,NTMA,,0,,,'')":17.188856,"PTC-US^FE_VALUATION(ROE,MEAN,NTMA,,0,,,'')":25.468735,"PTC-US^FE_VALUATION(DIV_YLD,MEAN,NTMA,,NOW,,,'')":0.0,"PTC-US^FE_VALUATION(MCAP_FCF,MEAN,NTMA,,NOW,,,'')":5.7557173,"PTC-US^FE_VALUATION(NETDEBT_EBITDA,MEAN,NTMA,,NOW,,,'')":0.45521173,"PTC-US^FF_NET_MGN(LTM_R,0)":28.858049674764,"PTC-US^FF_EBITDA_OPER_MGN(LTM_R,0)":44.0229334845728,"PTC-US^FF_GROSS_MGN(LTM_R,0)":82.6040071708224,"PTC-US^POW(FE_ESTIMATE(EPS,MEAN,STMA,,NOW,,,'CURRENCY=USD')/FE_ESTIMATE(EPS,MEAN,LTMA,,NOW,,,'CURRENCY=USD'),0.5)-1":0.0661268217243201,"PTC-US^POW(FE_ESTIMATE(SALES,MEAN,STMA,,NOW,,,'CURRENCY=USD')/FE_ESTIMATE(SALES,MEAN,LTMA,,NOW,,,'CURRENCY=USD'),0.5)-1":0.0599498573045802,"PTC-US^FE_ACTUAL(ACTUAL,EPS,ANN_ROLL,0,,,,'CURRENCY=USD')":8.0,"PTC-US^OS_SEC_FLT_PCT(0D,,MTD,SEC)":99.6713,"PTC-US^AVG(P_VOLUME_FRQ(-1AM,NOW,D,,6))*P_PRICE_AVG(-1AM,NOW,,USD)":203.209820531301,"PTC-US^FCS_EV_DAILY(MV,NOW,,,USD,M)":18445.46408412,"PTC-US^P_DCOUNTRY":"UNITED STATES","PTC-US^FR_RBICS_NAME_CURR(\"IND\")":"Manufacturing Industry Software","S-US^FE_RATING(MEAN,TEXTONLY,0,NOW,,,'')":"Overweight","S-US^FG_PRICE(0,,,USD)/FG_PRICE_MAVG(0,,,USD,200)":0.757141967085686,"S-US^FG_PRICE(0,,,USD)/FG_PRICE_MAVG(0,,,USD,100)":0.821931926515678,"S-US^FG_PRICE(0,,,USD)/FG_PRICE_MAVG(0,,,USD,50)":0.895137076633836,"S-US^RTP_PRICE_TARGET(USD)/FG_PRICE(0,,,USD)":1.62984913793103,"S-US^FG_PRICE(0,,,USD)/P_PRICE_HIGH(-1AY,0,USD,,,\"PRICE\",\"INTRA\")":0.575682382133995,"S-US^PERCENT_CHANGE(FE_VALUATION(FFEV_EBITDA,MEAN,NTMA,,0,,,''),MAX(FE_VALUATION(FFEV_EBITDA,MEAN,NTMA,,-1AY,0,,'')))":-71.2340589170142,"S-US^PERCENT_CHANGE(FE_VALUATION(PE,MEAN,NTMA,,0,,,''),MAX(FE_VALUATION(PE,MEAN,NTMA,,-1AY,0,,'')))":-60.4765471786482,"S-US^FE_VALUATION(FFEV_EBITDA,MEAN,NTMA,,0,,,'')":26.600372,"S-US^FE_VALUATION(FFEV_SALES,MEAN,NTMA,,0,,,'')":2.9719036,"S-US^FE_VALUATION(P_SALESPS,MEAN,NTMA,,0,,,'')":3.5757177,"S-US^FE_VALUATION(PE,MEAN,NTMA,,0,,,'')":41.223732,"S-US^FE_ACTUAL(ACTUAL,SALES,ANN_ROLL,0,,,,'CURRENCY=USD')":821.461,"S-US^FE_ACTUAL(ACTUAL,SALES,ANN_ROLL,-1,,,,'CURRENCY=USD')":621.154,"S-US^FE_VALUATION(EBITDA_MARGIN,MEAN,ANN_ROLL,0,NOW,,,'')":1.377013,"S-US^FE_VALUATION(ROIC,MEAN,NTMA,,0,,,'')":6.584389,"S-US^FE_VALUATION(ROE,MEAN,NTMA,,0,,,'')":6.5612545,"S-US^FE_VALUATION(DIV_YLD,MEAN,NTMA,,NOW,,,'')":0.0,"S-US^FE_VALUATION(MCAP_FCF,MEAN,NTMA,,NOW,,,'')":3.1149848,"S-US^FE_VALUATION(NETDEBT_EBITDA,MEAN,NTMA,,NOW,,,'')":-5.5412135,"S-US^FF_NET_MGN(LTM_R,0)":-43.0380077978666,"S-US^FF_EBITDA_OPER_MGN(LTM_R,0)":-27.3174376285779,"S-US^FF_GROSS_MGN(LTM_R,0)":74.4549760057594,"S-US^POW(FE_ESTIMATE(EPS,MEAN,STMA,,NOW,,,'CURRENCY=USD')/FE_ESTIMATE(EPS,MEAN,LTMA,,NOW,,,'CURRENCY=USD'),0.5)-1":0.47965823756704,"S-US^POW(FE_ESTIMATE(SALES,MEAN,STMA,,NOW,,,'CURRENCY=USD')/FE_ESTIMATE(SALES,MEAN,LTMA,,NOW,,,'CURRENCY=USD'),0.5)-1":0.177915022401871,"S-US^FE_ACTUAL(ACTUAL,EPS,ANN_ROLL,0,,,,'CURRENCY=USD')":0.05,"S-US^OS_SEC_FLT_PCT(0D,,MTD,SEC)":95.6085,"S-US^AVG(P_VOLUME_FRQ(-1AM,NOW,D,,6))*P_PRICE_AVG(-1AM,NOW,,USD)":113.912380326877,"S-US^FCS_EV_DAILY(MV,NOW,,,USD,M)":4855.97159164,"S-US^P_DCOUNTRY":"UNITED STATES","S-US^FR_RBICS_NAME_CURR(\"IND\")":"Network Infrastructure Software","IOT-US^FE_RATING(MEAN,TEXTONLY,0,NOW,,,'')":"Buy","IOT-US^FG_PRICE(0,,,USD)/FG_PRICE_MAVG(0,,,USD,200)":0.695099905613592,"IOT-US^FG_PRICE(0,,,USD)/FG_PRICE_MAVG(0,,,USD,100)":0.73382461394689,"IOT-US^FG_PRICE(0,,,USD)/FG_PRICE_MAVG(0,,,USD,50)":0.809486548923169,"IOT-US^RTP_PRICE_TARGET(USD)/FG_PRICE(0,,,USD)":1.74731031837361,"IOT-US^FG_PRICE(0,,,USD)/P_PRICE_HIGH(-1AY,0,USD,,,\"PRICE\",\"INTRA\")":0.49188679245283,"IOT-US^PERCENT_CHANGE(FE_VALUATION(FFEV_EBITDA,MEAN,NTMA,,0,,,''),MAX(FE_VALUATION(FFEV_EBITDA,MEAN,NTMA,,-1AY,0,,'')))":-75.3656285845395,"IOT-US^PERCENT_CHANGE(FE_VALUATION(PE,MEAN,NTMA,,0,,,''),MAX(FE_VALUATION(PE,MEAN,NTMA,,-1AY,0,,'')))":-75.2999613235848,"IOT-US^FE_VALUATION(FFEV_EBITDA,MEAN,NTMA,,0,,,'')":41.5243,"IOT-US^FE_VALUATION(FFEV_SALES,MEAN,NTMA,,0,,,'')":7.504007,"IOT-US^FE_VALUATION(P_SALESPS,MEAN,NTMA,,0,,,'')":7.7412996,"IOT-US^FE_VALUATION(PE,MEAN,NTMA,,0,,,'')":43.401505,"IOT-US^FE_ACTUAL(ACTUAL,SALES,ANN_ROLL,0,,,,'CURRENCY=USD')":1249.199,"IOT-US^FE_ACTUAL(ACTUAL,SALES,ANN_ROLL,-1,,,,'CURRENCY=USD')":937.385,"IOT-US^FE_VALUATION(EBITDA_MARGIN,MEAN,ANN_ROLL,0,NOW,,,'')":10.738344,"IOT-US^FE_VALUATION(ROIC,MEAN,NTMA,,0,,,'')":19.362839,"IOT-US^FE_VALUATION(ROE,MEAN,NTMA,,0,,,'')":20.34162,"IOT-US^FE_VALUATION(DIV_YLD,MEAN,NTMA,,NOW,,,'')":0.0,"IOT-US^FE_VALUATION(MCAP_FCF,MEAN,NTMA,,NOW,,,'')":1.7803563,"IOT-US^FE_VALUATION(NETDEBT_EBITDA,MEAN,NTMA,,NOW,,,'')":-3.132902,"IOT-US^FF_NET_MGN(LTM_R,0)":-2.78549205624778,"IOT-US^FF_EBITDA_OPER_MGN(LTM_R,0)":4.94341486319148,"IOT-US^FF_GROSS_MGN(LTM_R,0)":76.9215239220086,"IOT-US^POW(FE_ESTIMATE(EPS,MEAN,STMA,,NOW,,,'CURRENCY=USD')/FE_ESTIMATE(EPS,MEAN,LTMA,,NOW,,,'CURRENCY=USD'),0.5)-1":0.201705746012725,"IOT-US^POW(FE_ESTIMATE(SALES,MEAN,STMA,,NOW,,,'CURRENCY=USD')/FE_ESTIMATE(SALES,MEAN,LTMA,,NOW,,,'CURRENCY=USD'),0.5)-1":0.203301292278871,"IOT-US^FE_ACTUAL(ACTUAL,EPS,ANN_ROLL,0,,,,'CURRENCY=USD')":0.26,"IOT-US^OS_SEC_FLT_PCT(0D,,MTD,SEC)":96.9658,"IOT-US^AVG(P_VOLUME_FRQ(-1AM,NOW,D,,6))*P_PRICE_AVG(-1AM,NOW,,USD)":243.49440929359,"IOT-US^FCS_EV_DAILY(MV,NOW,,,USD,M)":15619.34803323,"IOT-US^P_DCOUNTRY":"UNITED STATES","IOT-US^FR_RBICS_NAME_CURR(\"IND\")":"Asset Management Software","CDNS-US^FE_RATING(MEAN,TEXTONLY,0,NOW,,,'')":"Buy","CDNS-US^FG_PRICE(0,,,USD)/FG_PRICE_MAVG(0,,,USD,200)":0.89710369133336,"CDNS-US^FG_PRICE(0,,,USD)/FG_PRICE_MAVG(0,,,USD,100)":0.913794897802937,"CDNS-US^FG_PRICE(0,,,USD)/FG_PRICE_MAVG(0,,,USD,50)":0.944983326310094,"CDNS-US^RTP_PRICE_TARGET(USD)/FG_PRICE(0,,,USD)":1.28685958091044,"CDNS-US^FG_PRICE(0,,,USD)/P_PRICE_HIGH(-1AY,0,USD,,,\"PRICE\",\"INTRA\")":0.772038411985815,"CDNS-US^PERCENT_CHANGE(FE_VALUATION(FFEV_EBITDA,MEAN,NTMA,,0,,,''),MAX(FE_VALUATION(FFEV_EBITDA,MEAN,NTMA,,-1AY,0,,'')))":-28.4090788028186,"CDNS-US^PERCENT_CHANGE(FE_VALUATION(PE,MEAN,NTMA,,0,,,''),MAX(FE_VALUATION(PE,MEAN,NTMA,,-1AY,0,,'')))":-28.8102795222919,"CDNS-US^FE_VALUATION(FFEV_EBITDA,MEAN,NTMA,,0,,,'')":27.148523,"CDNS-US^FE_VALUATION(FFEV_SALES,MEAN,NTMA,,0,,,'')":12.880657,"CDNS-US^FE_VALUATION(P_SALESPS,MEAN,NTMA,,0,,,'')":12.929132,"CDNS-US^FE_VALUATION(PE,MEAN,NTMA,,0,,,'')":35.207806,"CDNS-US^FE_ACTUAL(ACTUAL,SALES,ANN_ROLL,0,,,,'CURRENCY=USD')":5297.0,"CDNS-US^FE_ACTUAL(ACTUAL,SALES,ANN_ROLL,-1,,,,'CURRENCY=USD')":4641.264,"CDNS-US^FE_VALUATION(EBITDA_MARGIN,MEAN,ANN_ROLL,0,NOW,,,'')":47.72775,"CDNS-US^FE_VALUATION(ROIC,MEAN,NTMA,,0,,,'')":23.698595,"CDNS-US^FE_VALUATION(ROE,MEAN,NTMA,,0,,,'')":33.952053,"CDNS-US^FE_VALUATION(DIV_YLD,MEAN,NTMA,,NOW,,,'')":0.0,"CDNS-US^FE_VALUATION(MCAP_FCF,MEAN,NTMA,,NOW,,,'')":2.3396225,"CDNS-US^FE_VALUATION(NETDEBT_EBITDA,MEAN,NTMA,,NOW,,,'')":-0.48486942,"CDNS-US^FF_NET_MGN(LTM_R,0)":20.9352171771455,"CDNS-US^FF_EBITDA_OPER_MGN(LTM_R,0)":35.9863267330079,"CDNS-US^FF_GROSS_MGN(LTM_R,0)":85.6103326581406,"CDNS-US^POW(FE_ESTIMATE(EPS,MEAN,STMA,,NOW,,,'CURRENCY=USD')/FE_ESTIMATE(EPS,MEAN,LTMA,,NOW,,,'CURRENCY=USD'),0.5)-1":0.140402735878865,"CDNS-US^POW(FE_ESTIMATE(SALES,MEAN,STMA,,NOW,,,'CURRENCY=USD')/FE_ESTIMATE(SALES,MEAN,LTMA,,NOW,,,'CURRENCY=USD'),0.5)-1":0.126090316093696,"CDNS-US^FE_ACTUAL(ACTUAL,EPS,ANN_ROLL,0,,,,'CURRENCY=USD')":7.14,"CDNS-US^OS_SEC_FLT_PCT(0D,,MTD,SEC)":99.5944,"CDNS-US^AVG(P_VOLUME_FRQ(-1AM,NOW,D,,6))*P_PRICE_AVG(-1AM,NOW,,USD)":866.111806999512,"CDNS-US^FCS_EV_DAILY(MV,NOW,,,USD,M)":80690.39927,"CDNS-US^P_DCOUNTRY":"UNITED STATES","CDNS-US^FR_RBICS_NAME_CURR(\"IND\")":"Electronic Design Automation Software","PCTY-US^FE_RATING(MEAN,TEXTONLY,0,NOW,,,'')":"Buy","PCTY-US^FG_PRICE(0,,,USD)/FG_PRICE_MAVG(0,,,USD,200)":0.637236560696999,"PCTY-US^FG_PRICE(0,,,USD)/FG_PRICE_MAVG(0,,,USD,100)":0.724980221901305,"PCTY-US^FG_PRICE(0,,,USD)/FG_PRICE_MAVG(0,,,USD,50)":0.755134165537943,"PCTY-US^RTP_PRICE_TARGET(USD)/FG_PRICE(0,,,USD)":1.64620389761489,"PCTY-US^FG_PRICE(0,,,USD)/P_PRICE_HIGH(-1AY,0,USD,,,\"PRICE\",\"INTRA\")":0.490325647729974,"PCTY-US^PERCENT_CHANGE(FE_VALUATION(FFEV_EBITDA,MEAN,NTMA,,0,,,''),MAX(FE_VALUATION(FFEV_EBITDA,MEAN,NTMA,,-1AY,0,,'')))":-57.0610244652107,"PCTY-US^PERCENT_CHANGE(FE_VALUATION(PE,MEAN,NTMA,,0,,,''),MAX(FE_VALUATION(PE,MEAN,NTMA,,-1AY,0,,'')))":-57.2327995146081,"PCTY-US^FE_VALUATION(FFEV_EBITDA,MEAN,NTMA,,0,,,'')":8.508057,"PCTY-US^FE_VALUATION(FFEV_SALES,MEAN,NTMA,,0,,,'')":3.071789,"PCTY-US^FE_VALUATION(P_SALESPS,MEAN,NTMA,,0,,,'')":3.0371227,"PCTY-US^FE_VALUATION(PE,MEAN,NTMA,,0,,,'')":12.641118,"PCTY-US^FE_ACTUAL(ACTUAL,SALES,ANN_ROLL,0,,,,'CURRENCY=USD')":1595.221,"PCTY-US^FE_ACTUAL(ACTUAL,SALES,ANN_ROLL,-1,,,,'CURRENCY=USD')":1402.515,"PCTY-US^FE_VALUATION(EBITDA_MARGIN,MEAN,ANN_ROLL,0,NOW,,,'')":36.546474,"PCTY-US^FE_VALUATION(ROIC,MEAN,NTMA,,0,,,'')":30.691536,"PCTY-US^FE_VALUATION(ROE,MEAN,NTMA,,0,,,'')":27.471308,"PCTY-US^FE_VALUATION(DIV_YLD,MEAN,NTMA,,NOW,,,'')":0.0,"PCTY-US^FE_VALUATION(MCAP_FCF,MEAN,NTMA,,NOW,,,'')":7.964447,"PCTY-US^FE_VALUATION(NETDEBT_EBITDA,MEAN,NTMA,,NOW,,,'')":-0.9447937,"PCTY-US^FF_NET_MGN(LTM_R,0)":14.1866085255279,"PCTY-US^FF_EBITDA_OPER_MGN(LTM_R,0)":26.9915711622651,"PCTY-US^FF_GROSS_MGN(LTM_R,0)":68.0724652608879,"PCTY-US^POW(FE_ESTIMATE(EPS,MEAN,STMA,,NOW,,,'CURRENCY=USD')/FE_ESTIMATE(EPS,MEAN,LTMA,,NOW,,,'CURRENCY=USD'),0.5)-1":0.0932490109759989,"PCTY-US^POW(FE_ESTIMATE(SALES,MEAN,STMA,,NOW,,,'CURRENCY=USD')/FE_ESTIMATE(SALES,MEAN,LTMA,,NOW,,,'CURRENCY=USD'),0.5)-1":0.0882690384275389,"PCTY-US^FE_ACTUAL(ACTUAL,EPS,ANN_ROLL,0,,,,'CURRENCY=USD')":7.17,"PCTY-US^OS_SEC_FLT_PCT(0D,,MTD,SEC)":79.9721,"PCTY-US^AVG(P_VOLUME_FRQ(-1AM,NOW,D,,6))*P_PRICE_AVG(-1AM,NOW,,USD)":125.502521546242,"PCTY-US^FCS_EV_DAILY(MV,NOW,,,USD,M)":5753.52999288,"PCTY-US^P_DCOUNTRY":"UNITED STATES","PCTY-US^FR_RBICS_NAME_CURR(\"IND\")":"Enterprise Resource Planning Software","PEGA-US^FE_RATING(MEAN,TEXTONLY,0,NOW,,,'')":"Buy","PEGA-US^FG_PRICE(0,,,USD)/FG_PRICE_MAVG(0,,,USD,200)":0.800575496877515,"PEGA-US^FG_PRICE(0,,,USD)/FG_PRICE_MAVG(0,,,USD,100)":0.788443689034749,"PEGA-US^FG_PRICE(0,,,USD)/FG_PRICE_MAVG(0,,,USD,50)":0.835895613479396,"PEGA-US^RTP_PRICE_TARGET(USD)/FG_PRICE(0,,,USD)":1.38863216266174,"PEGA-US^FG_PRICE(0,,,USD)/P_PRICE_HIGH(-1AY,0,USD,,,\"PRICE\",\"INTRA\")":0.63553597650514,"PEGA-US^PERCENT_CHANGE(FE_VALUATION(FFEV_EBITDA,MEAN,NTMA,,0,,,''),MAX(FE_VALUATION(FFEV_EBITDA,MEAN,NTMA,,-1AY,0,,'')))":-49.1614911027011,"PEGA-US^PERCENT_CHANGE(FE_VALUATION(PE,MEAN,NTMA,,0,,,''),MAX(FE_VALUATION(PE,MEAN,NTMA,,-1AY,0,,'')))":-47.7391340075068,"PEGA-US^FE_VALUATION(FFEV_EBITDA,MEAN,NTMA,,0,,,'')":12.044385,"PEGA-US^FE_VALUATION(FFEV_SALES,MEAN,NTMA,,0,,,'')":3.7742023,"PEGA-US^FE_VALUATION(P_SALESPS,MEAN,NTMA,,0,,,'')":3.61127,"PEGA-US^FE_VALUATION(PE,MEAN,NTMA,,0,,,'')":15.683477,"PEGA-US^FE_ACTUAL(ACTUAL,SALES,ANN_ROLL,0,,,,'CURRENCY=USD')":1745.812,"PEGA-US^FE_ACTUAL(ACTUAL,SALES,ANN_ROLL,-1,,,,'CURRENCY=USD')":1497.18,"PEGA-US^FE_VALUATION(EBITDA_MARGIN,MEAN,ANN_ROLL,0,NOW,,,'')":27.39696,"PEGA-US^FE_VALUATION(ROIC,MEAN,NTMA,,0,,,'')":null,"PEGA-US^FE_VALUATION(ROE,MEAN,NTMA,,0,,,'')":75.46083,"PEGA-US^FE_VALUATION(DIV_YLD,MEAN,NTMA,,NOW,,,'')":0.25732142,"PEGA-US^FE_VALUATION(MCAP_FCF,MEAN,NTMA,,NOW,,,'')":8.099814,"PEGA-US^FE_VALUATION(NETDEBT_EBITDA,MEAN,NTMA,,NOW,,,'')":-0.69515806,"PEGA-US^FF_NET_MGN(LTM_R,0)":22.5360462638589,"PEGA-US^FF_EBITDA_OPER_MGN(LTM_R,0)":17.6122056670478,"PEGA-US^FF_GROSS_MGN(LTM_R,0)":75.7289444682474,"PEGA-US^POW(FE_ESTIMATE(EPS,MEAN,STMA,,NOW,,,'CURRENCY=USD')/FE_ESTIMATE(EPS,MEAN,LTMA,,NOW,,,'CURRENCY=USD'),0.5)-1":0.191144113867,"PEGA-US^POW(FE_ESTIMATE(SALES,MEAN,STMA,,NOW,,,'CURRENCY=USD')/FE_ESTIMATE(SALES,MEAN,LTMA,,NOW,,,'CURRENCY=USD'),0.5)-1":0.129484528446494,"PEGA-US^FE_ACTUAL(ACTUAL,EPS,ANN_ROLL,0,,,,'CURRENCY=USD')":2.1,"PEGA-US^OS_SEC_FLT_PCT(0D,,MTD,SEC)":54.1906,"PEGA-US^AVG(P_VOLUME_FRQ(-1AM,NOW,D,,6))*P_PRICE_AVG(-1AM,NOW,,USD)":124.819493574062,"PEGA-US^FCS_EV_DAILY(MV,NOW,,,USD,M)":7518.24306848,"PEGA-US^P_DCOUNTRY":"UNITED STATES","PEGA-US^FR_RBICS_NAME_CURR(\"IND\")":"Customer Relationship Management Software","VEEV-US^FE_RATING(MEAN,TEXTONLY,0,NOW,,,'')":"Overweight","VEEV-US^FG_PRICE(0,,,USD)/FG_PRICE_MAVG(0,,,USD,200)":0.676733684949461,"VEEV-US^FG_PRICE(0,,,USD)/FG_PRICE_MAVG(0,,,USD,100)":0.721138561242628,"VEEV-US^FG_PRICE(0,,,USD)/FG_PRICE_MAVG(0,,,USD,50)":0.836290010285335,"VEEV-US^RTP_PRICE_TARGET(USD)/FG_PRICE(0,,,USD)":1.71795892826668,"VEEV-US^FG_PRICE(0,,,USD)/P_PRICE_HIGH(-1AY,0,USD,,,\"PRICE\",\"INTRA\")":0.566151368760064,"VEEV-US^PERCENT_CHANGE(FE_VALUATION(FFEV_EBITDA,MEAN,NTMA,,0,,,''),MAX(FE_VALUATION(FFEV_EBITDA,MEAN,NTMA,,-1AY,0,,'')))":-51.8898706768487,"VEEV-US^PERCENT_CHANGE(FE_VALUATION(PE,MEAN,NTMA,,0,,,''),MAX(FE_VALUATION(PE,MEAN,NTMA,,-1AY,0,,'')))":-45.3619642428333,"VEEV-US^FE_VALUATION(FFEV_EBITDA,MEAN,NTMA,,0,,,'')":14.144264,"VEEV-US^FE_VALUATION(FFEV_SALES,MEAN,NTMA,,0,,,'')":6.450282,"VEEV-US^FE_VALUATION(P_SALESPS,MEAN,NTMA,,0,,,'')":8.05163,"VEEV-US^FE_VALUATION(PE,MEAN,NTMA,,0,,,'')":20.28445,"VEEV-US^FE_ACTUAL(ACTUAL,SALES,ANN_ROLL,0,,,,'CURRENCY=USD')":2746.619,"VEEV-US^FE_ACTUAL(ACTUAL,SALES,ANN_ROLL,-1,,,,'CURRENCY=USD')":2363.673,"VEEV-US^FE_VALUATION(EBITDA_MARGIN,MEAN,ANN_ROLL,0,NOW,,,'')":42.722927,"VEEV-US^FE_VALUATION(ROIC,MEAN,NTMA,,0,,,'')":15.3183,"VEEV-US^FE_VALUATION(ROE,MEAN,NTMA,,0,,,'')":16.29274,"VEEV-US^FE_VALUATION(DIV_YLD,MEAN,NTMA,,NOW,,,'')":0.0,"VEEV-US^FE_VALUATION(MCAP_FCF,MEAN,NTMA,,NOW,,,'')":5.424948,"VEEV-US^FE_VALUATION(NETDEBT_EBITDA,MEAN,NTMA,,NOW,,,'')":-4.88372,"VEEV-US^FF_NET_MGN(LTM_R,0)":27.9304639954082,"VEEV-US^FF_EBITDA_OPER_MGN(LTM_R,0)":30.5733048594171,"VEEV-US^FF_GROSS_MGN(LTM_R,0)":75.3971598372338,"VEEV-US^POW(FE_ESTIMATE(EPS,MEAN,STMA,,NOW,,,'CURRENCY=USD')/FE_ESTIMATE(EPS,MEAN,LTMA,,NOW,,,'CURRENCY=USD'),0.5)-1":0.111989208580731,"VEEV-US^POW(FE_ESTIMATE(SALES,MEAN,STMA,,NOW,,,'CURRENCY=USD')/FE_ESTIMATE(SALES,MEAN,LTMA,,NOW,,,'CURRENCY=USD'),0.5)-1":0.125083996864234,"VEEV-US^FE_ACTUAL(ACTUAL,EPS,ANN_ROLL,0,,,,'CURRENCY=USD')":6.6,"VEEV-US^OS_SEC_FLT_PCT(0D,,MTD,SEC)":90.9193,"VEEV-US^AVG(P_VOLUME_FRQ(-1AM,NOW,D,,6))*P_PRICE_AVG(-1AM,NOW,,USD)":437.471857000957,"VEEV-US^FCS_EV_DAILY(MV,NOW,,,USD,M)":29096.57340786,"VEEV-US^P_DCOUNTRY":"UNITED STATES","VEEV-US^FR_RBICS_NAME_CURR(\"IND\")":"Healthcare and Pharma Industry Software","ZS-US^FE_RATING(MEAN,TEXTONLY,0,NOW,,,'')":"Buy","ZS-US^FG_PRICE(0,,,USD)/FG_PRICE_MAVG(0,,,USD,200)":0.559217443031408,"ZS-US^FG_PRICE(0,,,USD)/FG_PRICE_MAVG(0,,,USD,100)":0.595222557882863,"ZS-US^FG_PRICE(0,,,USD)/FG_PRICE_MAVG(0,,,USD,50)":0.727706793018185,"ZS-US^RTP_PRICE_TARGET(USD)/FG_PRICE(0,,,USD)":1.95345112479914,"ZS-US^FG_PRICE(0,,,USD)/P_PRICE_HIGH(-1AY,0,USD,,,\"PRICE\",\"INTRA\")":0.443217899640939,"ZS-US^PERCENT_CHANGE(FE_VALUATION(FFEV_EBITDA,MEAN,NTMA,,0,,,''),MAX(FE_VALUATION(FFEV_EBITDA,MEAN,NTMA,,-1AY,0,,'')))":-57.0476065663186,"ZS-US^PERCENT_CHANGE(FE_VALUATION(PE,MEAN,NTMA,,0,,,''),MAX(FE_VALUATION(PE,MEAN,NTMA,,-1AY,0,,'')))":-59.157045566839,"ZS-US^FE_VALUATION(FFEV_EBITDA,MEAN,NTMA,,0,,,'')":24.29258,"ZS-US^FE_VALUATION(FFEV_SALES,MEAN,NTMA,,0,,,'')":6.0586624,"ZS-US^FE_VALUATION(P_SALESPS,MEAN,NTMA,,0,,,'')":6.500209,"ZS-US^FE_VALUATION(PE,MEAN,NTMA,,0,,,'')":35.702015,"ZS-US^FE_ACTUAL(ACTUAL,SALES,ANN_ROLL,0,,,,'CURRENCY=USD')":2673.115,"ZS-US^FE_ACTUAL(ACTUAL,SALES,ANN_ROLL,-1,,,,'CURRENCY=USD')":2167.771,"ZS-US^FE_VALUATION(EBITDA_MARGIN,MEAN,ANN_ROLL,0,NOW,,,'')":25.52776,"ZS-US^FE_VALUATION(ROIC,MEAN,NTMA,,0,,,'')":14.370843,"ZS-US^FE_VALUATION(ROE,MEAN,NTMA,,0,,,'')":21.661386,"ZS-US^FE_VALUATION(DIV_YLD,MEAN,NTMA,,NOW,,,'')":0.0,"ZS-US^FE_VALUATION(MCAP_FCF,MEAN,NTMA,,NOW,,,'')":4.3493752,"ZS-US^FE_VALUATION(NETDEBT_EBITDA,MEAN,NTMA,,NOW,,,'')":-3.2682989,"ZS-US^FF_NET_MGN(LTM_R,0)":-1.44857253380544,"ZS-US^FF_EBITDA_OPER_MGN(LTM_R,0)":0.579365482735156,"ZS-US^FF_GROSS_MGN(LTM_R,0)":76.5472570229756,"ZS-US^POW(FE_ESTIMATE(EPS,MEAN,STMA,,NOW,,,'CURRENCY=USD')/FE_ESTIMATE(EPS,MEAN,LTMA,,NOW,,,'CURRENCY=USD'),0.5)-1":0.183890324312181,"ZS-US^POW(FE_ESTIMATE(SALES,MEAN,STMA,,NOW,,,'CURRENCY=USD')/FE_ESTIMATE(SALES,MEAN,LTMA,,NOW,,,'CURRENCY=USD'),0.5)-1":0.201608255630761,"ZS-US^FE_ACTUAL(ACTUAL,EPS,ANN_ROLL,0,,,,'CURRENCY=USD')":3.28,"ZS-US^OS_SEC_FLT_PCT(0D,,MTD,SEC)":64.3126,"ZS-US^AVG(P_VOLUME_FRQ(-1AM,NOW,D,,6))*P_PRICE_AVG(-1AM,NOW,,USD)":481.732682812174,"ZS-US^FCS_EV_DAILY(MV,NOW,,,USD,M)":25422.14858688,"ZS-US^P_DCOUNTRY":"UNITED STATES","ZS-US^FR_RBICS_NAME_CURR(\"IND\")":"Network Infrastructure Software","INTA-US^FE_RATING(MEAN,TEXTONLY,0,NOW,,,'')":"Overweight","INTA-US^FG_PRICE(0,,,USD)/FG_PRICE_MAVG(0,,,USD,200)":0.496190134846418,"INTA-US^FG_PRICE(0,,,USD)/FG_PRICE_MAVG(0,,,USD,100)":0.554796570253848,"INTA-US^FG_PRICE(0,,,USD)/FG_PRICE_MAVG(0,,,USD,50)":0.582793911826452,"INTA-US^RTP_PRICE_TARGET(USD)/FG_PRICE(0,,,USD)":1.99929643527205,"INTA-US^FG_PRICE(0,,,USD)/P_PRICE_HIGH(-1AY,0,USD,,,\"PRICE\",\"INTRA\")":0.314640369894289,"INTA-US^PERCENT_CHANGE(FE_VALUATION(FFEV_EBITDA,MEAN,NTMA,,0,,,''),MAX(FE_VALUATION(FFEV_EBITDA,MEAN,NTMA,,-1AY,0,,'')))":-75.5088025974669,"INTA-US^PERCENT_CHANGE(FE_VALUATION(PE,MEAN,NTMA,,0,,,''),MAX(FE_VALUATION(PE,MEAN,NTMA,,-1AY,0,,'')))":-77.6038127825626,"INTA-US^FE_VALUATION(FFEV_EBITDA,MEAN,NTMA,,0,,,'')":11.803597,"INTA-US^FE_VALUATION(FFEV_SALES,MEAN,NTMA,,0,,,'')":2.5037434,"INTA-US^FE_VALUATION(P_SALESPS,MEAN,NTMA,,0,,,'')":2.7535684,"INTA-US^FE_VALUATION(PE,MEAN,NTMA,,0,,,'')":15.418243,"INTA-US^FE_ACTUAL(ACTUAL,SALES,ANN_ROLL,0,,,,'CURRENCY=USD')":504.12,"INTA-US^FE_ACTUAL(ACTUAL,SALES,ANN_ROLL,-1,,,,'CURRENCY=USD')":430.523,"INTA-US^FE_VALUATION(EBITDA_MARGIN,MEAN,ANN_ROLL,0,NOW,,,'')":17.596657,"INTA-US^FE_VALUATION(ROIC,MEAN,NTMA,,0,,,'')":null,"INTA-US^FE_VALUATION(ROE,MEAN,NTMA,,0,,,'')":21.655949,"INTA-US^FE_VALUATION(DIV_YLD,MEAN,NTMA,,NOW,,,'')":0.0,"INTA-US^FE_VALUATION(MCAP_FCF,MEAN,NTMA,,NOW,,,'')":8.086181,"INTA-US^FE_VALUATION(NETDEBT_EBITDA,MEAN,NTMA,,NOW,,,'')":-2.1536295,"INTA-US^FF_NET_MGN(LTM_R,0)":-4.37423275622491,"INTA-US^FF_EBITDA_OPER_MGN(LTM_R,0)":-0.952072455419341,"INTA-US^FF_GROSS_MGN(LTM_R,0)":73.9068099039093,"INTA-US^POW(FE_ESTIMATE(EPS,MEAN,STMA,,NOW,,,'CURRENCY=USD')/FE_ESTIMATE(EPS,MEAN,LTMA,,NOW,,,'CURRENCY=USD'),0.5)-1":0.197385318099399,"INTA-US^POW(FE_ESTIMATE(SALES,MEAN,STMA,,NOW,,,'CURRENCY=USD')/FE_ESTIMATE(SALES,MEAN,LTMA,,NOW,,,'CURRENCY=USD'),0.5)-1":0.130896635418109,"INTA-US^FE_ACTUAL(ACTUAL,EPS,ANN_ROLL,0,,,,'CURRENCY=USD')":0.94,"INTA-US^OS_SEC_FLT_PCT(0D,,MTD,SEC)":89.6678,"INTA-US^AVG(P_VOLUME_FRQ(-1AM,NOW,D,,6))*P_PRICE_AVG(-1AM,NOW,,USD)":50.8117950132174,"INTA-US^FCS_EV_DAILY(MV,NOW,,,USD,M)":1864.95695148,"INTA-US^P_DCOUNTRY":"UNITED STATES","INTA-US^FR_RBICS_NAME_CURR(\"IND\")":"Finance Industry Software","PCOR-US^FE_RATING(MEAN,TEXTONLY,0,NOW,,,'')":"Overweight","PCOR-US^FG_PRICE(0,,,USD)/FG_PRICE_MAVG(0,,,USD,200)":0.736140765042499,"PCOR-US^FG_PRICE(0,,,USD)/FG_PRICE_MAVG(0,,,USD,100)":0.735724643233545,"PCOR-US^FG_PRICE(0,,,USD)/FG_PRICE_MAVG(0,,,USD,50)":0.790234570316746,"PCOR-US^RTP_PRICE_TARGET(USD)/FG_PRICE(0,,,USD)":1.42573314993122,"PCOR-US^FG_PRICE(0,,,USD)/P_PRICE_HIGH(-1AY,0,USD,,,\"PRICE\",\"INTRA\")":0.617484681186677,"PCOR-US^PERCENT_CHANGE(FE_VALUATION(FFEV_EBITDA,MEAN,NTMA,,0,,,''),MAX(FE_VALUATION(FFEV_EBITDA,MEAN,NTMA,,-1AY,0,,'')))":-57.4322333713446,"PCOR-US^PERCENT_CHANGE(FE_VALUATION(PE,MEAN,NTMA,,0,,,''),MAX(FE_VALUATION(PE,MEAN,NTMA,,-1AY,0,,'')))":-56.2793289552875,"PCOR-US^FE_VALUATION(FFEV_EBITDA,MEAN,NTMA,,0,,,'')":18.26477,"PCOR-US^FE_VALUATION(FFEV_SALES,MEAN,NTMA,,0,,,'')":4.5630727,"PCOR-US^FE_VALUATION(P_SALESPS,MEAN,NTMA,,0,,,'')":5.194592,"PCOR-US^FE_VALUATION(PE,MEAN,NTMA,,0,,,'')":27.195677,"PCOR-US^FE_ACTUAL(ACTUAL,SALES,ANN_ROLL,0,,,,'CURRENCY=USD')":1322.509,"PCOR-US^FE_ACTUAL(ACTUAL,SALES,ANN_ROLL,-1,,,,'CURRENCY=USD')":1151.708,"PCOR-US^FE_VALUATION(EBITDA_MARGIN,MEAN,ANN_ROLL,0,NOW,,,'')":21.153782,"PCOR-US^FE_VALUATION(ROIC,MEAN,NTMA,,0,,,'')":19.590345,"PCOR-US^FE_VALUATION(ROE,MEAN,NTMA,,0,,,'')":19.207016,"PCOR-US^FE_VALUATION(DIV_YLD,MEAN,NTMA,,NOW,,,'')":0.0,"PCOR-US^FE_VALUATION(MCAP_FCF,MEAN,NTMA,,NOW,,,'')":3.717819,"PCOR-US^FE_VALUATION(NETDEBT_EBITDA,MEAN,NTMA,,NOW,,,'')":-2.4706285,"PCOR-US^FF_NET_MGN(LTM_R,0)":-7.62059086176351,"PCOR-US^FF_EBITDA_OPER_MGN(LTM_R,0)":-0.543663596996315,"PCOR-US^FF_GROSS_MGN(LTM_R,0)":78.4378783055541,"PCOR-US^POW(FE_ESTIMATE(EPS,MEAN,STMA,,NOW,,,'CURRENCY=USD')/FE_ESTIMATE(EPS,MEAN,LTMA,,NOW,,,'CURRENCY=USD'),0.5)-1":0.280792801353911,"PCOR-US^POW(FE_ESTIMATE(SALES,MEAN,STMA,,NOW,,,'CURRENCY=USD')/FE_ESTIMATE(SALES,MEAN,LTMA,,NOW,,,'CURRENCY=USD'),0.5)-1":0.131437139217199,"PCOR-US^FE_ACTUAL(ACTUAL,EPS,ANN_ROLL,0,,,,'CURRENCY=USD')":1.36,"PCOR-US^OS_SEC_FLT_PCT(0D,,MTD,SEC)":80.4174,"PCOR-US^AVG(P_VOLUME_FRQ(-1AM,NOW,D,,6))*P_PRICE_AVG(-1AM,NOW,,USD)":176.849295034213,"PCOR-US^FCS_EV_DAILY(MV,NOW,,,USD,M)":8415.60433891,"PCOR-US^P_DCOUNTRY":"UNITED STATES","PCOR-US^FR_RBICS_NAME_CURR(\"IND\")":"Other Real Estate Investment and Services","BL-US^FE_RATING(MEAN,TEXTONLY,0,NOW,,,'')":"Overweight","BL-US^FG_PRICE(0,,,USD)/FG_PRICE_MAVG(0,,,USD,200)":0.608371005441965,"BL-US^FG_PRICE(0,,,USD)/FG_PRICE_MAVG(0,,,USD,100)":0.621655875622946,"BL-US^FG_PRICE(0,,,USD)/FG_PRICE_MAVG(0,,,USD,50)":0.647089490168299,"BL-US^RTP_PRICE_TARGET(USD)/FG_PRICE(0,,,USD)":1.71728637761378,"BL-US^FG_PRICE(0,,,USD)/P_PRICE_HIGH(-1AY,0,USD,,,\"PRICE\",\"INTRA\")":0.545912371999329,"BL-US^PERCENT_CHANGE(FE_VALUATION(FFEV_EBITDA,MEAN,NTMA,,0,,,''),MAX(FE_VALUATION(FFEV_EBITDA,MEAN,NTMA,,-1AY,0,,'')))":-47.4219386621889,"BL-US^PERCENT_CHANGE(FE_VALUATION(PE,MEAN,NTMA,,0,,,''),MAX(FE_VALUATION(PE,MEAN,NTMA,,-1AY,0,,'')))":-49.8806884843862,"BL-US^FE_VALUATION(FFEV_EBITDA,MEAN,NTMA,,0,,,'')":10.363648,"BL-US^FE_VALUATION(FFEV_SALES,MEAN,NTMA,,0,,,'')":2.9868524,"BL-US^FE_VALUATION(P_SALESPS,MEAN,NTMA,,0,,,'')":2.4851265,"BL-US^FE_VALUATION(PE,MEAN,NTMA,,0,,,'')":13.24694,"BL-US^FE_ACTUAL(ACTUAL,SALES,ANN_ROLL,0,,,,'CURRENCY=USD')":700.427,"BL-US^FE_ACTUAL(ACTUAL,SALES,ANN_ROLL,-1,,,,'CURRENCY=USD')":653.336,"BL-US^FE_VALUATION(EBITDA_MARGIN,MEAN,ANN_ROLL,0,NOW,,,'')":27.521355,"BL-US^FE_VALUATION(ROIC,MEAN,NTMA,,0,,,'')":24.307358,"BL-US^FE_VALUATION(ROE,MEAN,NTMA,,0,,,'')":29.60113,"BL-US^FE_VALUATION(DIV_YLD,MEAN,NTMA,,NOW,,,'')":0.0,"BL-US^FE_VALUATION(MCAP_FCF,MEAN,NTMA,,NOW,,,'')":8.857891,"BL-US^FE_VALUATION(NETDEBT_EBITDA,MEAN,NTMA,,NOW,,,'')":-0.3382443,"BL-US^FF_NET_MGN(LTM_R,0)":3.5004361625123,"BL-US^FF_EBITDA_OPER_MGN(LTM_R,0)":12.6395755731861,"BL-US^FF_GROSS_MGN(LTM_R,0)":75.2082658149957,"BL-US^POW(FE_ESTIMATE(EPS,MEAN,STMA,,NOW,,,'CURRENCY=USD')/FE_ESTIMATE(EPS,MEAN,LTMA,,NOW,,,'CURRENCY=USD'),0.5)-1":0.143338794933505,"BL-US^POW(FE_ESTIMATE(SALES,MEAN,STMA,,NOW,,,'CURRENCY=USD')/FE_ESTIMATE(SALES,MEAN,LTMA,,NOW,,,'CURRENCY=USD'),0.5)-1":0.10399130431358,"BL-US^FE_ACTUAL(ACTUAL,EPS,ANN_ROLL,0,,,,'CURRENCY=USD')":2.13,"BL-US^OS_SEC_FLT_PCT(0D,,MTD,SEC)":81.2979,"BL-US^AVG(P_VOLUME_FRQ(-1AM,NOW,D,,6))*P_PRICE_AVG(-1AM,NOW,,USD)":65.7054422972708,"BL-US^FCS_EV_DAILY(MV,NOW,,,USD,M)":2075.18796336,"BL-US^P_DCOUNTRY":"UNITED STATES","BL-US^FR_RBICS_NAME_CURR(\"IND\")":"Enterprise Resource Planning Software","CRM-US^FE_RATING(MEAN,TEXTONLY,0,NOW,,,'')":"Overweight","CRM-US^FG_PRICE(0,,,USD)/FG_PRICE_MAVG(0,,,USD,200)":0.74627886890172,"CRM-US^FG_PRICE(0,,,USD)/FG_PRICE_MAVG(0,,,USD,100)":0.78182746583247,"CRM-US^FG_PRICE(0,,,USD)/FG_PRICE_MAVG(0,,,USD,50)":0.807704337174525,"CRM-US^RTP_PRICE_TARGET(USD)/FG_PRICE(0,,,USD)":1.64537320677381,"CRM-US^FG_PRICE(0,,,USD)/P_PRICE_HIGH(-1AY,0,USD,,,\"PRICE\",\"INTRA\")":0.591074274784826,"CRM-US^PERCENT_CHANGE(FE_VALUATION(FFEV_EBITDA,MEAN,NTMA,,0,,,''),MAX(FE_VALUATION(FFEV_EBITDA,MEAN,NTMA,,-1AY,0,,'')))":-48.3249060621636,"CRM-US^PERCENT_CHANGE(FE_VALUATION(PE,MEAN,NTMA,,0,,,''),MAX(FE_VALUATION(PE,MEAN,NTMA,,-1AY,0,,'')))":-48.7669878467785,"CRM-US^FE_VALUATION(FFEV_EBITDA,MEAN,NTMA,,0,,,'')":9.217456,"CRM-US^FE_VALUATION(FFEV_SALES,MEAN,NTMA,,0,,,'')":3.8118722,"CRM-US^FE_VALUATION(P_SALESPS,MEAN,NTMA,,0,,,'')":3.7451916,"CRM-US^FE_VALUATION(PE,MEAN,NTMA,,0,,,'')":13.971059,"CRM-US^FE_ACTUAL(ACTUAL,SALES,ANN_ROLL,0,,,,'CURRENCY=USD')":37895.0,"CRM-US^FE_ACTUAL(ACTUAL,SALES,ANN_ROLL,-1,,,,'CURRENCY=USD')":34857.0,"CRM-US^FE_VALUATION(EBITDA_MARGIN,MEAN,ANN_ROLL,0,NOW,,,'')":40.513073,"CRM-US^FE_VALUATION(ROIC,MEAN,NTMA,,0,,,'')":16.227156,"CRM-US^FE_VALUATION(ROE,MEAN,NTMA,,0,,,'')":17.975779,"CRM-US^FE_VALUATION(DIV_YLD,MEAN,NTMA,,NOW,,,'')":0.5473147,"CRM-US^FE_VALUATION(MCAP_FCF,MEAN,NTMA,,NOW,,,'')":8.976283,"CRM-US^FE_VALUATION(NETDEBT_EBITDA,MEAN,NTMA,,NOW,,,'')":-0.85852844,"CRM-US^FF_NET_MGN(LTM_R,0)":17.9130391646204,"CRM-US^FF_EBITDA_OPER_MGN(LTM_R,0)":30.4288513530273,"CRM-US^FF_GROSS_MGN(LTM_R,0)":75.4346801597341,"CRM-US^POW(FE_ESTIMATE(EPS,MEAN,STMA,,NOW,,,'CURRENCY=USD')/FE_ESTIMATE(EPS,MEAN,LTMA,,NOW,,,'CURRENCY=USD'),0.5)-1":0.134051894756144,"CRM-US^POW(FE_ESTIMATE(SALES,MEAN,STMA,,NOW,,,'CURRENCY=USD')/FE_ESTIMATE(SALES,MEAN,LTMA,,NOW,,,'CURRENCY=USD'),0.5)-1":0.101865463656975,"CRM-US^FE_ACTUAL(ACTUAL,EPS,ANN_ROLL,0,,,,'CURRENCY=USD')":10.2,"CRM-US^OS_SEC_FLT_PCT(0D,,MTD,SEC)":97.3371,"CRM-US^AVG(P_VOLUME_FRQ(-1AM,NOW,D,,6))*P_PRICE_AVG(-1AM,NOW,,USD)":2589.93009513821,"CRM-US^FCS_EV_DAILY(MV,NOW,,,USD,M)":178559.46,"CRM-US^P_DCOUNTRY":"UNITED STATES","CRM-US^FR_RBICS_NAME_CURR(\"IND\")":"Customer Relationship Management Software","PAYC-US^FE_RATING(MEAN,TEXTONLY,0,NOW,,,'')":"Overweight","PAYC-US^FG_PRICE(0,,,USD)/FG_PRICE_MAVG(0,,,USD,200)":0.60000226245197,"PAYC-US^FG_PRICE(0,,,USD)/FG_PRICE_MAVG(0,,,USD,100)":0.730828161686086,"PAYC-US^FG_PRICE(0,,,USD)/FG_PRICE_MAVG(0,,,USD,50)":0.820935153414578,"PAYC-US^RTP_PRICE_TARGET(USD)/FG_PRICE(0,,,USD)":1.22898164906988,"PAYC-US^FG_PRICE(0,,,USD)/P_PRICE_HIGH(-1AY,0,USD,,,\"PRICE\",\"INTRA\")":0.445697639677323,"PAYC-US^PERCENT_CHANGE(FE_VALUATION(FFEV_EBITDA,MEAN,NTMA,,0,,,''),MAX(FE_VALUATION(FFEV_EBITDA,MEAN,NTMA,,-1AY,0,,'')))":-59.6108235013787,"PAYC-US^PERCENT_CHANGE(FE_VALUATION(PE,MEAN,NTMA,,0,,,''),MAX(FE_VALUATION(PE,MEAN,NTMA,,-1AY,0,,'')))":-59.467502027918,"PAYC-US^FE_VALUATION(FFEV_EBITDA,MEAN,NTMA,,0,,,'')":6.590247,"PAYC-US^FE_VALUATION(FFEV_SALES,MEAN,NTMA,,0,,,'')":2.9008596,"PAYC-US^FE_VALUATION(P_SALESPS,MEAN,NTMA,,0,,,'')":2.9279852,"PAYC-US^FE_VALUATION(PE,MEAN,NTMA,,0,,,'')":11.483673,"PAYC-US^FE_ACTUAL(ACTUAL,SALES,ANN_ROLL,0,,,,'CURRENCY=USD')":2051.7,"PAYC-US^FE_ACTUAL(ACTUAL,SALES,ANN_ROLL,-1,,,,'CURRENCY=USD')":1883.2,"PAYC-US^FE_VALUATION(EBITDA_MARGIN,MEAN,ANN_ROLL,0,NOW,,,'')":43.00336,"PAYC-US^FE_VALUATION(ROIC,MEAN,NTMA,,0,,,'')":26.904764,"PAYC-US^FE_VALUATION(ROE,MEAN,NTMA,,0,,,'')":24.74314,"PAYC-US^FE_VALUATION(DIV_YLD,MEAN,NTMA,,NOW,,,'')":0.62845653,"PAYC-US^FE_VALUATION(MCAP_FCF,MEAN,NTMA,,NOW,,,'')":7.702363,"PAYC-US^FE_VALUATION(NETDEBT_EBITDA,MEAN,NTMA,,NOW,,,'')":-0.7860109,"PAYC-US^FF_NET_MGN(LTM_R,0)":22.0987473802213,"PAYC-US^FF_EBITDA_OPER_MGN(LTM_R,0)":40.8100599502851,"PAYC-US^FF_GROSS_MGN(LTM_R,0)":74.0166691036701,"PAYC-US^POW(FE_ESTIMATE(EPS,MEAN,STMA,,NOW,,,'CURRENCY=USD')/FE_ESTIMATE(EPS,MEAN,LTMA,,NOW,,,'CURRENCY=USD'),0.5)-1":0.106061435906704,"PAYC-US^POW(FE_ESTIMATE(SALES,MEAN,STMA,,NOW,,,'CURRENCY=USD')/FE_ESTIMATE(SALES,MEAN,LTMA,,NOW,,,'CURRENCY=USD'),0.5)-1":0.072093186248285,"PAYC-US^FE_ACTUAL(ACTUAL,EPS,ANN_ROLL,0,,,,'CURRENCY=USD')":9.24,"PAYC-US^OS_SEC_FLT_PCT(0D,,MTD,SEC)":87.6616,"PAYC-US^AVG(P_VOLUME_FRQ(-1AM,NOW,D,,6))*P_PRICE_AVG(-1AM,NOW,,USD)":263.091811636955,"PAYC-US^FCS_EV_DAILY(MV,NOW,,,USD,M)":6650.99685198,"PAYC-US^P_DCOUNTRY":"UNITED STATES","PAYC-US^FR_RBICS_NAME_CURR(\"IND\")":"Enterprise Resource Planning Software","FTNT-US^FE_RATING(MEAN,TEXTONLY,0,NOW,,,'')":"Hold","FTNT-US^FG_PRICE(0,,,USD)/FG_PRICE_MAVG(0,,,USD,200)":0.854835850608828,"FTNT-US^FG_PRICE(0,,,USD)/FG_PRICE_MAVG(0,,,USD,100)":0.918324311424611,"FTNT-US^FG_PRICE(0,,,USD)/FG_PRICE_MAVG(0,,,USD,50)":0.936199550006969,"FTNT-US^RTP_PRICE_TARGET(USD)/FG_PRICE(0,,,USD)":1.18835570915858,"FTNT-US^FG_PRICE(0,,,USD)/P_PRICE_HIGH(-1AY,0,USD,,,\"PRICE\",\"INTRA\")":0.6758602102237,"FTNT-US^PERCENT_CHANGE(FE_VALUATION(FFEV_EBITDA,MEAN,NTMA,,0,,,''),MAX(FE_VALUATION(FFEV_EBITDA,MEAN,NTMA,,-1AY,0,,'')))":-42.8511829733809,"FTNT-US^PERCENT_CHANGE(FE_VALUATION(PE,MEAN,NTMA,,0,,,''),MAX(FE_VALUATION(PE,MEAN,NTMA,,-1AY,0,,'')))":-42.8647864437188,"FTNT-US^FE_VALUATION(FFEV_EBITDA,MEAN,NTMA,,0,,,'')":19.464127,"FTNT-US^FE_VALUATION(FFEV_SALES,MEAN,NTMA,,0,,,'')":7.1163616,"FTNT-US^FE_VALUATION(P_SALESPS,MEAN,NTMA,,0,,,'')":7.247199,"FTNT-US^FE_VALUATION(PE,MEAN,NTMA,,0,,,'')":24.865862,"FTNT-US^FE_ACTUAL(ACTUAL,SALES,ANN_ROLL,0,,,,'CURRENCY=USD')":6799.6,"FTNT-US^FE_ACTUAL(ACTUAL,SALES,ANN_ROLL,-1,,,,'CURRENCY=USD')":5955.8,"FTNT-US^FE_VALUATION(EBITDA_MARGIN,MEAN,ANN_ROLL,0,NOW,,,'')":37.371853,"FTNT-US^FE_VALUATION(ROIC,MEAN,NTMA,,0,,,'')":49.19408,"FTNT-US^FE_VALUATION(ROE,MEAN,NTMA,,0,,,'')":65.035736,"FTNT-US^FE_VALUATION(DIV_YLD,MEAN,NTMA,,NOW,,,'')":0.0,"FTNT-US^FE_VALUATION(MCAP_FCF,MEAN,NTMA,,NOW,,,'')":4.609079,"FTNT-US^FE_VALUATION(NETDEBT_EBITDA,MEAN,NTMA,,NOW,,,'')":-1.8245006,"FTNT-US^FF_NET_MGN(LTM_R,0)":27.257485734455,"FTNT-US^FF_EBITDA_OPER_MGN(LTM_R,0)":37.6875110300606,"FTNT-US^FF_GROSS_MGN(LTM_R,0)":82.296017412789,"FTNT-US^POW(FE_ESTIMATE(EPS,MEAN,STMA,,NOW,,,'CURRENCY=USD')/FE_ESTIMATE(EPS,MEAN,LTMA,,NOW,,,'CURRENCY=USD'),0.5)-1":0.0972368021534822,"FTNT-US^POW(FE_ESTIMATE(SALES,MEAN,STMA,,NOW,,,'CURRENCY=USD')/FE_ESTIMATE(SALES,MEAN,LTMA,,NOW,,,'CURRENCY=USD'),0.5)-1":0.108869694779328,"FTNT-US^FE_ACTUAL(ACTUAL,EPS,ANN_ROLL,0,,,,'CURRENCY=USD')":2.76,"FTNT-US^OS_SEC_FLT_PCT(0D,,MTD,SEC)":82.6272,"FTNT-US^AVG(P_VOLUME_FRQ(-1AM,NOW,D,,6))*P_PRICE_AVG(-1AM,NOW,,USD)":611.348537860256,"FTNT-US^FCS_EV_DAILY(MV,NOW,,,USD,M)":56752.21171346,"FTNT-US^P_DCOUNTRY":"UNITED STATES","FTNT-US^FR_RBICS_NAME_CURR(\"IND\")":"Network Infrastructure Software","ESTC-US^FE_RATING(MEAN,TEXTONLY,0,NOW,,,'')":"Overweight","ESTC-US^FG_PRICE(0,,,USD)/FG_PRICE_MAVG(0,,,USD,200)":0.697840074809248,"ESTC-US^FG_PRICE(0,,,USD)/FG_PRICE_MAVG(0,,,USD,100)":0.737154385336407,"ESTC-US^FG_PRICE(0,,,USD)/FG_PRICE_MAVG(0,,,USD,50)":0.806294762373292,"ESTC-US^RTP_PRICE_TARGET(USD)/FG_PRICE(0,,,USD)":1.67048272437034,"ESTC-US^FG_PRICE(0,,,USD)/P_PRICE_HIGH(-1AY,0,USD,,,\"PRICE\",\"INTRA\")":0.479870627287429,"ESTC-US^PERCENT_CHANGE(FE_VALUATION(FFEV_EBITDA,MEAN,NTMA,,0,,,''),MAX(FE_VALUATION(FFEV_EBITDA,MEAN,NTMA,,-1AY,0,,'')))":-64.7579075607484,"ESTC-US^PERCENT_CHANGE(FE_VALUATION(PE,MEAN,NTMA,,0,,,''),MAX(FE_VALUATION(PE,MEAN,NTMA,,-1AY,0,,'')))":-63.3168955709407,"ESTC-US^FE_VALUATION(FFEV_EBITDA,MEAN,NTMA,,0,,,'')":15.385044,"ESTC-US^FE_VALUATION(FFEV_SALES,MEAN,NTMA,,0,,,'')":2.7242231,"ESTC-US^FE_VALUATION(P_SALESPS,MEAN,NTMA,,0,,,'')":3.1120682,"ESTC-US^FE_VALUATION(PE,MEAN,NTMA,,0,,,'')":20.717394,"ESTC-US^FE_ACTUAL(ACTUAL,SALES,ANN_ROLL,0,,,,'CURRENCY=USD')":1483.296,"ESTC-US^FE_ACTUAL(ACTUAL,SALES,ANN_ROLL,-1,,,,'CURRENCY=USD')":1267.321,"ESTC-US^FE_VALUATION(EBITDA_MARGIN,MEAN,ANN_ROLL,0,NOW,,,'')":17.505001,"ESTC-US^FE_VALUATION(ROIC,MEAN,NTMA,,0,,,'')":16.988789,"ESTC-US^FE_VALUATION(ROE,MEAN,NTMA,,0,,,'')":25.867802,"ESTC-US^FE_VALUATION(DIV_YLD,MEAN,NTMA,,NOW,,,'')":0.04368751,"ESTC-US^FE_VALUATION(MCAP_FCF,MEAN,NTMA,,NOW,,,'')":6.3301764,"ESTC-US^FE_VALUATION(NETDEBT_EBITDA,MEAN,NTMA,,NOW,,,'')":-3.8603928,"ESTC-US^FF_NET_MGN(LTM_R,0)":-6.79333169285222,"ESTC-US^FF_EBITDA_OPER_MGN(LTM_R,0)":-1.44523900069845,"ESTC-US^FF_GROSS_MGN(LTM_R,0)":75.5350826827334,"ESTC-US^POW(FE_ESTIMATE(EPS,MEAN,STMA,,NOW,,,'CURRENCY=USD')/FE_ESTIMATE(EPS,MEAN,LTMA,,NOW,,,'CURRENCY=USD'),0.5)-1":0.156572133504867,"ESTC-US^POW(FE_ESTIMATE(SALES,MEAN,STMA,,NOW,,,'CURRENCY=USD')/FE_ESTIMATE(SALES,MEAN,LTMA,,NOW,,,'CURRENCY=USD'),0.5)-1":0.136651177802583,"ESTC-US^FE_ACTUAL(ACTUAL,EPS,ANN_ROLL,0,,,,'CURRENCY=USD')":2.04,"ESTC-US^OS_SEC_FLT_PCT(0D,,MTD,SEC)":86.9978,"ESTC-US^AVG(P_VOLUME_FRQ(-1AM,NOW,D,,6))*P_PRICE_AVG(-1AM,NOW,,USD)":130.956354852875,"ESTC-US^FCS_EV_DAILY(MV,NOW,,,USD,M)":6339.58860552,"ESTC-US^P_DCOUNTRY":"UNITED STATES","ESTC-US^FR_RBICS_NAME_CURR(\"IND\")":"Business Intelligence Software","ADSK-US^FE_RATING(MEAN,TEXTONLY,0,NOW,,,'')":"Buy","ADSK-US^FG_PRICE(0,,,USD)/FG_PRICE_MAVG(0,,,USD,200)":0.752142504702976,"ADSK-US^FG_PRICE(0,,,USD)/FG_PRICE_MAVG(0,,,USD,100)":0.774390261002224,"ADSK-US^FG_PRICE(0,,,USD)/FG_PRICE_MAVG(0,,,USD,50)":0.828227287672794,"ADSK-US^RTP_PRICE_TARGET(USD)/FG_PRICE(0,,,USD)":1.58334964465167,"ADSK-US^FG_PRICE(0,,,USD)/P_PRICE_HIGH(-1AY,0,USD,,,\"PRICE\",\"INTRA\")":0.671275335014738,"ADSK-US^PERCENT_CHANGE(FE_VALUATION(FFEV_EBITDA,MEAN,NTMA,,0,,,''),MAX(FE_VALUATION(FFEV_EBITDA,MEAN,NTMA,,-1AY,0,,'')))":-37.7411157303401,"ADSK-US^PERCENT_CHANGE(FE_VALUATION(PE,MEAN,NTMA,,0,,,''),MAX(FE_VALUATION(PE,MEAN,NTMA,,-1AY,0,,'')))":-38.8864629697472,"ADSK-US^FE_VALUATION(FFEV_EBITDA,MEAN,NTMA,,0,,,'')":14.93609,"ADSK-US^FE_VALUATION(FFEV_SALES,MEAN,NTMA,,0,,,'')":5.981354,"ADSK-US^FE_VALUATION(P_SALESPS,MEAN,NTMA,,0,,,'')":5.8431478,"ADSK-US^FE_VALUATION(PE,MEAN,NTMA,,0,,,'')":18.877138,"ADSK-US^FE_ACTUAL(ACTUAL,SALES,ANN_ROLL,0,,,,'CURRENCY=USD')":6131.0,"ADSK-US^FE_ACTUAL(ACTUAL,SALES,ANN_ROLL,-1,,,,'CURRENCY=USD')":5497.0,"ADSK-US^FE_VALUATION(EBITDA_MARGIN,MEAN,ANN_ROLL,0,NOW,,,'')":38.590767,"ADSK-US^FE_VALUATION(ROIC,MEAN,NTMA,,0,,,'')":34.820606,"ADSK-US^FE_VALUATION(ROE,MEAN,NTMA,,0,,,'')":52.529358,"ADSK-US^FE_VALUATION(DIV_YLD,MEAN,NTMA,,NOW,,,'')":0.0,"ADSK-US^FE_VALUATION(MCAP_FCF,MEAN,NTMA,,NOW,,,'')":5.5977855,"ADSK-US^FE_VALUATION(NETDEBT_EBITDA,MEAN,NTMA,,NOW,,,'')":-0.63201404,"ADSK-US^FF_NET_MGN(LTM_R,0)":16.1717612809316,"ADSK-US^FF_EBITDA_OPER_MGN(LTM_R,0)":21.7467248908297,"ADSK-US^FF_GROSS_MGN(LTM_R,0)":84.9636098981077,"ADSK-US^POW(FE_ESTIMATE(EPS,MEAN,STMA,,NOW,,,'CURRENCY=USD')/FE_ESTIMATE(EPS,MEAN,LTMA,,NOW,,,'CURRENCY=USD'),0.5)-1":0.139859596617057,"ADSK-US^POW(FE_ESTIMATE(SALES,MEAN,STMA,,NOW,,,'CURRENCY=USD')/FE_ESTIMATE(SALES,MEAN,LTMA,,NOW,,,'CURRENCY=USD'),0.5)-1":0.106749294104134,"ADSK-US^FE_ACTUAL(ACTUAL,EPS,ANN_ROLL,0,,,,'CURRENCY=USD')":8.47,"ADSK-US^OS_SEC_FLT_PCT(0D,,MTD,SEC)":99.6575,"ADSK-US^AVG(P_VOLUME_FRQ(-1AM,NOW,D,,6))*P_PRICE_AVG(-1AM,NOW,,USD)":541.29167589653,"ADSK-US^FCS_EV_DAILY(MV,NOW,,,USD,M)":47927.74996,"ADSK-US^P_DCOUNTRY":"UNITED STATES","ADSK-US^FR_RBICS_NAME_CURR(\"IND\")":"Computer Aided Design Software","AVPT-US^FE_RATING(MEAN,TEXTONLY,0,NOW,,,'')":"Buy","AVPT-US^FG_PRICE(0,,,USD)/FG_PRICE_MAVG(0,,,USD,200)":0.660824922167153,"AVPT-US^FG_PRICE(0,,,USD)/FG_PRICE_MAVG(0,,,USD,100)":0.77214779808297,"AVPT-US^FG_PRICE(0,,,USD)/FG_PRICE_MAVG(0,,,USD,50)":0.815488649170826,"AVPT-US^RTP_PRICE_TARGET(USD)/FG_PRICE(0,,,USD)":1.82462734452122,"AVPT-US^FG_PRICE(0,,,USD)/P_PRICE_HIGH(-1AY,0,USD,,,\"PRICE\",\"INTRA\")":0.50037046184243,"AVPT-US^PERCENT_CHANGE(FE_VALUATION(FFEV_EBITDA,MEAN,NTMA,,0,,,''),MAX(FE_VALUATION(FFEV_EBITDA,MEAN,NTMA,,-1AY,0,,'')))":-67.2462786612629,"AVPT-US^PERCENT_CHANGE(FE_VALUATION(PE,MEAN,NTMA,,0,,,''),MAX(FE_VALUATION(PE,MEAN,NTMA,,-1AY,0,,'')))":-66.4857735503125,"AVPT-US^FE_VALUATION(FFEV_EBITDA,MEAN,NTMA,,0,,,'')":17.858791,"AVPT-US^FE_VALUATION(FFEV_SALES,MEAN,NTMA,,0,,,'')":3.791958,"AVPT-US^FE_VALUATION(P_SALESPS,MEAN,NTMA,,0,,,'')":4.3355064,"AVPT-US^FE_VALUATION(PE,MEAN,NTMA,,0,,,'')":25.189058,"AVPT-US^FE_ACTUAL(ACTUAL,SALES,ANN_ROLL,0,,,,'CURRENCY=USD')":330.482,"AVPT-US^FE_ACTUAL(ACTUAL,SALES,ANN_ROLL,-1,,,,'CURRENCY=USD')":271.825,"AVPT-US^FE_VALUATION(EBITDA_MARGIN,MEAN,ANN_ROLL,0,NOW,,,'')":15.556446,"AVPT-US^FE_VALUATION(ROIC,MEAN,NTMA,,0,,,'')":16.40586,"AVPT-US^FE_VALUATION(ROE,MEAN,NTMA,,0,,,'')":19.618809,"AVPT-US^FE_VALUATION(DIV_YLD,MEAN,NTMA,,NOW,,,'')":0.0,"AVPT-US^FE_VALUATION(MCAP_FCF,MEAN,NTMA,,NOW,,,'')":5.131356,"AVPT-US^FE_VALUATION(NETDEBT_EBITDA,MEAN,NTMA,,NOW,,,'')":-5.4163322,"AVPT-US^FF_NET_MGN(LTM_R,0)":0.500008883406559,"AVPT-US^FF_EBITDA_OPER_MGN(LTM_R,0)":9.10346122900661,"AVPT-US^FF_GROSS_MGN(LTM_R,0)":74.4764500892148,"AVPT-US^POW(FE_ESTIMATE(EPS,MEAN,STMA,,NOW,,,'CURRENCY=USD')/FE_ESTIMATE(EPS,MEAN,LTMA,,NOW,,,'CURRENCY=USD'),0.5)-1":0.200508725499319,"AVPT-US^POW(FE_ESTIMATE(SALES,MEAN,STMA,,NOW,,,'CURRENCY=USD')/FE_ESTIMATE(SALES,MEAN,LTMA,,NOW,,,'CURRENCY=USD'),0.5)-1":0.177385833106548,"AVPT-US^FE_ACTUAL(ACTUAL,EPS,ANN_ROLL,0,,,,'CURRENCY=USD')":0.060329,"AVPT-US^OS_SEC_FLT_PCT(0D,,MTD,SEC)":63.1664,"AVPT-US^AVG(P_VOLUME_FRQ(-1AM,NOW,D,,6))*P_PRICE_AVG(-1AM,NOW,,USD)":23.9970870850612,"AVPT-US^FCS_EV_DAILY(MV,NOW,,,USD,M)":2391.6135767,"AVPT-US^P_DCOUNTRY":"UNITED STATES","AVPT-US^FR_RBICS_NAME_CURR(\"IND\")":"Data Storage Infrastructure Software","INTU-US^FE_RATING(MEAN,TEXTONLY,0,NOW,,,'')":"Buy","INTU-US^FG_PRICE(0,,,USD)/FG_PRICE_MAVG(0,,,USD,200)":0.539863934602884,"INTU-US^FG_PRICE(0,,,USD)/FG_PRICE_MAVG(0,,,USD,100)":0.593655084757334,"INTU-US^FG_PRICE(0,,,USD)/FG_PRICE_MAVG(0,,,USD,50)":0.65193057487333,"INTU-US^RTP_PRICE_TARGET(USD)/FG_PRICE(0,,,USD)":2.05365532045385,"INTU-US^FG_PRICE(0,,,USD)/P_PRICE_HIGH(-1AY,0,USD,,,\"PRICE\",\"INTRA\")":0.440838146737127,"INTU-US^PERCENT_CHANGE(FE_VALUATION(FFEV_EBITDA,MEAN,NTMA,,0,,,''),MAX(FE_VALUATION(FFEV_EBITDA,MEAN,NTMA,,-1AY,0,,'')))":-58.1516638933708,"INTU-US^PERCENT_CHANGE(FE_VALUATION(PE,MEAN,NTMA,,0,,,''),MAX(FE_VALUATION(PE,MEAN,NTMA,,-1AY,0,,'')))":-59.1501071584094,"INTU-US^FE_VALUATION(FFEV_EBITDA,MEAN,NTMA,,0,,,'')":10.691338,"INTU-US^FE_VALUATION(FFEV_SALES,MEAN,NTMA,,0,,,'')":4.568177,"INTU-US^FE_VALUATION(P_SALESPS,MEAN,NTMA,,0,,,'')":4.38614,"INTU-US^FE_VALUATION(PE,MEAN,NTMA,,0,,,'')":14.352569,"INTU-US^FE_ACTUAL(ACTUAL,SALES,ANN_ROLL,0,,,,'CURRENCY=USD')":18831.0,"INTU-US^FE_ACTUAL(ACTUAL,SALES,ANN_ROLL,-1,,,,'CURRENCY=USD')":16285.0,"INTU-US^FE_VALUATION(EBITDA_MARGIN,MEAN,ANN_ROLL,0,NOW,,,'')":41.832005,"INTU-US^FE_VALUATION(ROIC,MEAN,NTMA,,0,,,'')":22.812157,"INTU-US^FE_VALUATION(ROE,MEAN,NTMA,,0,,,'')":27.71314,"INTU-US^FE_VALUATION(DIV_YLD,MEAN,NTMA,,NOW,,,'')":1.3334625,"INTU-US^FE_VALUATION(MCAP_FCF,MEAN,NTMA,,NOW,,,'')":7.621888,"INTU-US^FE_VALUATION(NETDEBT_EBITDA,MEAN,NTMA,,NOW,,,'')":-0.4057327,"INTU-US^FF_NET_MGN(LTM_R,0)":21.1907579889878,"INTU-US^FF_EBITDA_OPER_MGN(LTM_R,0)":30.9216281582875,"INTU-US^FF_GROSS_MGN(LTM_R,0)":77.4095610559358,"INTU-US^POW(FE_ESTIMATE(EPS,MEAN,STMA,,NOW,,,'CURRENCY=USD')/FE_ESTIMATE(EPS,MEAN,LTMA,,NOW,,,'CURRENCY=USD'),0.5)-1":0.140596992806837,"INTU-US^POW(FE_ESTIMATE(SALES,MEAN,STMA,,NOW,,,'CURRENCY=USD')/FE_ESTIMATE(SALES,MEAN,LTMA,,NOW,,,'CURRENCY=USD'),0.5)-1":0.125172920043848,"INTU-US^FE_ACTUAL(ACTUAL,EPS,ANN_ROLL,0,,,,'CURRENCY=USD')":20.15,"INTU-US^OS_SEC_FLT_PCT(0D,,MTD,SEC)":97.8573,"INTU-US^AVG(P_VOLUME_FRQ(-1AM,NOW,D,,6))*P_PRICE_AVG(-1AM,NOW,,USD)":1905.33481437958,"INTU-US^FCS_EV_DAILY(MV,NOW,,,USD,M)":102867.29432067,"INTU-US^P_DCOUNTRY":"UNITED STATES","INTU-US^FR_RBICS_NAME_CURR(\"IND\")":"Enterprise Resource Planning Software","PATH-US^FE_RATING(MEAN,TEXTONLY,0,NOW,,,'')":"Hold","PATH-US^FG_PRICE(0,,,USD)/FG_PRICE_MAVG(0,,,USD,200)":0.747218276515151,"PATH-US^FG_PRICE(0,,,USD)/FG_PRICE_MAVG(0,,,USD,100)":0.678658540682556,"PATH-US^FG_PRICE(0,,,USD)/FG_PRICE_MAVG(0,,,USD,50)":0.697061299984816,"PATH-US^RTP_PRICE_TARGET(USD)/FG_PRICE(0,,,USD)":1.59123049504951,"PATH-US^FG_PRICE(0,,,USD)/P_PRICE_HIGH(-1AY,0,USD,,,\"PRICE\",\"INTRA\")":0.509072580645161,"PATH-US^PERCENT_CHANGE(FE_VALUATION(FFEV_EBITDA,MEAN,NTMA,,0,,,''),MAX(FE_VALUATION(FFEV_EBITDA,MEAN,NTMA,,-1AY,0,,'')))":-57.5623606124578,"PATH-US^PERCENT_CHANGE(FE_VALUATION(PE,MEAN,NTMA,,0,,,''),MAX(FE_VALUATION(PE,MEAN,NTMA,,-1AY,0,,'')))":-48.9807218234978,"PATH-US^FE_VALUATION(FFEV_EBITDA,MEAN,NTMA,,0,,,'')":9.617635,"PATH-US^FE_VALUATION(FFEV_SALES,MEAN,NTMA,,0,,,'')":2.3575807,"PATH-US^FE_VALUATION(P_SALESPS,MEAN,NTMA,,0,,,'')":3.0849984,"PATH-US^FE_VALUATION(PE,MEAN,NTMA,,0,,,'')":13.206933,"PATH-US^FE_ACTUAL(ACTUAL,SALES,ANN_ROLL,0,,,,'CURRENCY=USD')":1429.664,"PATH-US^FE_ACTUAL(ACTUAL,SALES,ANN_ROLL,-1,,,,'CURRENCY=USD')":1308.072,"PATH-US^FE_VALUATION(EBITDA_MARGIN,MEAN,ANN_ROLL,0,NOW,,,'')":17.70142,"PATH-US^FE_VALUATION(ROIC,MEAN,NTMA,,0,,,'')":16.627403,"PATH-US^FE_VALUATION(ROE,MEAN,NTMA,,0,,,'')":17.313625,"PATH-US^FE_VALUATION(DIV_YLD,MEAN,NTMA,,NOW,,,'')":0.0,"PATH-US^FE_VALUATION(MCAP_FCF,MEAN,NTMA,,NOW,,,'')":7.9243674,"PATH-US^FE_VALUATION(NETDEBT_EBITDA,MEAN,NTMA,,NOW,,,'')":-4.3219714,"PATH-US^FF_NET_MGN(LTM_R,0)":14.7872238365448,"PATH-US^FF_EBITDA_OPER_MGN(LTM_R,0)":2.49660198144241,"PATH-US^FF_GROSS_MGN(LTM_R,0)":83.1622466134101,"PATH-US^POW(FE_ESTIMATE(EPS,MEAN,STMA,,NOW,,,'CURRENCY=USD')/FE_ESTIMATE(EPS,MEAN,LTMA,,NOW,,,'CURRENCY=USD'),0.5)-1":0.101215328625605,"PATH-US^POW(FE_ESTIMATE(SALES,MEAN,STMA,,NOW,,,'CURRENCY=USD')/FE_ESTIMATE(SALES,MEAN,LTMA,,NOW,,,'CURRENCY=USD'),0.5)-1":0.0835932816329197,"PATH-US^FE_ACTUAL(ACTUAL,EPS,ANN_ROLL,0,,,,'CURRENCY=USD')":0.53,"PATH-US^OS_SEC_FLT_PCT(0D,,MTD,SEC)":88.6694,"PATH-US^AVG(P_VOLUME_FRQ(-1AM,NOW,D,,6))*P_PRICE_AVG(-1AM,NOW,,USD)":346.259104724454,"PATH-US^FCS_EV_DAILY(MV,NOW,,,USD,M)":5708.7981281,"PATH-US^P_DCOUNTRY":"UNITED STATES","PATH-US^FR_RBICS_NAME_CURR(\"IND\")":"Enterprise Resource Planning Software","WDAY-US^FE_RATING(MEAN,TEXTONLY,0,NOW,,,'')":"Overweight","WDAY-US^FG_PRICE(0,,,USD)/FG_PRICE_MAVG(0,,,USD,200)":0.582889161766177,"WDAY-US^FG_PRICE(0,,,USD)/FG_PRICE_MAVG(0,,,USD,100)":0.625244434902034,"WDAY-US^FG_PRICE(0,,,USD)/FG_PRICE_MAVG(0,,,USD,50)":0.697092210691745,"WDAY-US^RTP_PRICE_TARGET(USD)/FG_PRICE(0,,,USD)":1.45983483068417,"WDAY-US^FG_PRICE(0,,,USD)/P_PRICE_HIGH(-1AY,0,USD,,,\"PRICE\",\"INTRA\")":0.463451957295374,"WDAY-US^PERCENT_CHANGE(FE_VALUATION(FFEV_EBITDA,MEAN,NTMA,,0,,,''),MAX(FE_VALUATION(FFEV_EBITDA,MEAN,NTMA,,-1AY,0,,'')))":-59.9923080228917,"WDAY-US^PERCENT_CHANGE(FE_VALUATION(PE,MEAN,NTMA,,0,,,''),MAX(FE_VALUATION(PE,MEAN,NTMA,,-1AY,0,,'')))":-61.8443004367664,"WDAY-US^FE_VALUATION(FFEV_EBITDA,MEAN,NTMA,,0,,,'')":8.974191,"WDAY-US^FE_VALUATION(FFEV_SALES,MEAN,NTMA,,0,,,'')":3.0828872,"WDAY-US^FE_VALUATION(P_SALESPS,MEAN,NTMA,,0,,,'')":3.171371,"WDAY-US^FE_VALUATION(PE,MEAN,NTMA,,0,,,'')":11.98555,"WDAY-US^FE_ACTUAL(ACTUAL,SALES,ANN_ROLL,0,,,,'CURRENCY=USD')":9552.0,"WDAY-US^FE_ACTUAL(ACTUAL,SALES,ANN_ROLL,-1,,,,'CURRENCY=USD')":8446.0,"WDAY-US^FE_VALUATION(EBITDA_MARGIN,MEAN,ANN_ROLL,0,NOW,,,'')":32.816296,"WDAY-US^FE_VALUATION(ROIC,MEAN,NTMA,,0,,,'')":21.25536,"WDAY-US^FE_VALUATION(ROE,MEAN,NTMA,,0,,,'')":28.069597,"WDAY-US^FE_VALUATION(DIV_YLD,MEAN,NTMA,,NOW,,,'')":0.0,"WDAY-US^FE_VALUATION(MCAP_FCF,MEAN,NTMA,,NOW,,,'')":9.449008,"WDAY-US^FE_VALUATION(NETDEBT_EBITDA,MEAN,NTMA,,NOW,,,'')":-0.2774144,"WDAY-US^FF_NET_MGN(LTM_R,0)":7.26948494702612,"WDAY-US^FF_EBITDA_OPER_MGN(LTM_R,0)":14.4970103849785,"WDAY-US^FF_GROSS_MGN(LTM_R,0)":75.6529948599601,"WDAY-US^POW(FE_ESTIMATE(EPS,MEAN,STMA,,NOW,,,'CURRENCY=USD')/FE_ESTIMATE(EPS,MEAN,LTMA,,NOW,,,'CURRENCY=USD'),0.5)-1":0.165620821708329,"WDAY-US^POW(FE_ESTIMATE(SALES,MEAN,STMA,,NOW,,,'CURRENCY=USD')/FE_ESTIMATE(SALES,MEAN,LTMA,,NOW,,,'CURRENCY=USD'),0.5)-1":0.114747415336766,"WDAY-US^FE_ACTUAL(ACTUAL,EPS,ANN_ROLL,0,,,,'CURRENCY=USD')":9.23,"WDAY-US^OS_SEC_FLT_PCT(0D,,MTD,SEC)":99.2681,"WDAY-US^AVG(P_VOLUME_FRQ(-1AM,NOW,D,,6))*P_PRICE_AVG(-1AM,NOW,,USD)":817.448703731788,"WDAY-US^FCS_EV_DAILY(MV,NOW,,,USD,M)":36218.23336,"WDAY-US^P_DCOUNTRY":"UNITED STATES","WDAY-US^FR_RBICS_NAME_CURR(\"IND\")":"Enterprise Resource Planning Software","CVLT-US^FE_RATING(MEAN,TEXTONLY,0,NOW,,,'')":"Buy","CVLT-US^FG_PRICE(0,,,USD)/FG_PRICE_MAVG(0,,,USD,200)":0.575544827748584,"CVLT-US^FG_PRICE(0,,,USD)/FG_PRICE_MAVG(0,,,USD,100)":0.694614792571256,"CVLT-US^FG_PRICE(0,,,USD)/FG_PRICE_MAVG(0,,,USD,50)":0.80656775296732,"CVLT-US^RTP_PRICE_TARGET(USD)/FG_PRICE(0,,,USD)":1.58586653859193,"CVLT-US^FG_PRICE(0,,,USD)/P_PRICE_HIGH(-1AY,0,USD,,,\"PRICE\",\"INTRA\")":0.440940660120408,"CVLT-US^PERCENT_CHANGE(FE_VALUATION(FFEV_EBITDA,MEAN,NTMA,,0,,,''),MAX(FE_VALUATION(FFEV_EBITDA,MEAN,NTMA,,-1AY,0,,'')))":-56.0766591570747,"CVLT-US^PERCENT_CHANGE(FE_VALUATION(PE,MEAN,NTMA,,0,,,''),MAX(FE_VALUATION(PE,MEAN,NTMA,,-1AY,0,,'')))":-58.8336876411676,"CVLT-US^FE_VALUATION(FFEV_EBITDA,MEAN,NTMA,,0,,,'')":14.2976,"CVLT-US^FE_VALUATION(FFEV_SALES,MEAN,NTMA,,0,,,'')":2.9504561,"CVLT-US^FE_VALUATION(P_SALESPS,MEAN,NTMA,,0,,,'')":2.989787,"CVLT-US^FE_VALUATION(PE,MEAN,NTMA,,0,,,'')":18.581944,"CVLT-US^FE_ACTUAL(ACTUAL,SALES,ANN_ROLL,0,,,,'CURRENCY=USD')":995.619,"CVLT-US^FE_ACTUAL(ACTUAL,SALES,ANN_ROLL,-1,,,,'CURRENCY=USD')":839.247,"CVLT-US^FE_VALUATION(EBITDA_MARGIN,MEAN,ANN_ROLL,0,NOW,,,'')":21.986856,"CVLT-US^FE_VALUATION(ROIC,MEAN,NTMA,,0,,,'')":19.34519,"CVLT-US^FE_VALUATION(ROE,MEAN,NTMA,,0,,,'')":49.05138,"CVLT-US^FE_VALUATION(DIV_YLD,MEAN,NTMA,,NOW,,,'')":null,"CVLT-US^FE_VALUATION(MCAP_FCF,MEAN,NTMA,,NOW,,,'')":6.67095,"CVLT-US^FE_VALUATION(NETDEBT_EBITDA,MEAN,NTMA,,NOW,,,'')":-1.3269114,"CVLT-US^FF_NET_MGN(LTM_R,0)":7.58484687067636,"CVLT-US^FF_EBITDA_OPER_MGN(LTM_R,0)":9.55217660807803,"CVLT-US^FF_GROSS_MGN(LTM_R,0)":80.5526761560438,"CVLT-US^POW(FE_ESTIMATE(EPS,MEAN,STMA,,NOW,,,'CURRENCY=USD')/FE_ESTIMATE(EPS,MEAN,LTMA,,NOW,,,'CURRENCY=USD'),0.5)-1":0.162659838473833,"CVLT-US^POW(FE_ESTIMATE(SALES,MEAN,STMA,,NOW,,,'CURRENCY=USD')/FE_ESTIMATE(SALES,MEAN,LTMA,,NOW,,,'CURRENCY=USD'),0.5)-1":0.12304082739676,"CVLT-US^FE_ACTUAL(ACTUAL,EPS,ANN_ROLL,0,,,,'CURRENCY=USD')":3.65,"CVLT-US^OS_SEC_FLT_PCT(0D,,MTD,SEC)":98.5375,"CVLT-US^AVG(P_VOLUME_FRQ(-1AM,NOW,D,,6))*P_PRICE_AVG(-1AM,NOW,,USD)":119.704772674184,"CVLT-US^FCS_EV_DAILY(MV,NOW,,,USD,M)":4029.69186563,"CVLT-US^P_DCOUNTRY":"UNITED STATES","CVLT-US^FR_RBICS_NAME_CURR(\"IND\")":"Data Storage Infrastructure Software","DOCU-US^FE_RATING(MEAN,TEXTONLY,0,NOW,,,'')":"Overweight","DOCU-US^FG_PRICE(0,,,USD)/FG_PRICE_MAVG(0,,,USD,200)":0.599900179970054,"DOCU-US^FG_PRICE(0,,,USD)/FG_PRICE_MAVG(0,,,USD,100)":0.672615824130976,"DOCU-US^FG_PRICE(0,,,USD)/FG_PRICE_MAVG(0,,,USD,50)":0.734954865023867,"DOCU-US^RTP_PRICE_TARGET(USD)/FG_PRICE(0,,,USD)":1.84801633605601,"DOCU-US^FG_PRICE(0,,,USD)/P_PRICE_HIGH(-1AY,0,USD,,,\"PRICE\",\"INTRA\")":0.452624907573677,"DOCU-US^PERCENT_CHANGE(FE_VALUATION(FFEV_EBITDA,MEAN,NTMA,,0,,,''),MAX(FE_VALUATION(FFEV_EBITDA,MEAN,NTMA,,-1AY,0,,'')))":-61.6947707610521,"DOCU-US^PERCENT_CHANGE(FE_VALUATION(PE,MEAN,NTMA,,0,,,''),MAX(FE_VALUATION(PE,MEAN,NTMA,,-1AY,0,,'')))":-60.2473475558844,"DOCU-US^FE_VALUATION(FFEV_EBITDA,MEAN,NTMA,,0,,,'')":6.8800344,"DOCU-US^FE_VALUATION(FFEV_SALES,MEAN,NTMA,,0,,,'')":2.3926935,"DOCU-US^FE_VALUATION(P_SALESPS,MEAN,NTMA,,0,,,'')":2.496073,"DOCU-US^FE_VALUATION(PE,MEAN,NTMA,,0,,,'')":10.345724,"DOCU-US^FE_ACTUAL(ACTUAL,SALES,ANN_ROLL,0,,,,'CURRENCY=USD')":2976.739,"DOCU-US^FE_ACTUAL(ACTUAL,SALES,ANN_ROLL,-1,,,,'CURRENCY=USD')":2761.882,"DOCU-US^FE_VALUATION(EBITDA_MARGIN,MEAN,ANN_ROLL,0,NOW,,,'')":30.930975,"DOCU-US^FE_VALUATION(ROIC,MEAN,NTMA,,0,,,'')":26.94141,"DOCU-US^FE_VALUATION(ROE,MEAN,NTMA,,0,,,'')":27.819582,"DOCU-US^FE_VALUATION(DIV_YLD,MEAN,NTMA,,NOW,,,'')":0.0,"DOCU-US^FE_VALUATION(MCAP_FCF,MEAN,NTMA,,NOW,,,'')":12.631592,"DOCU-US^FE_VALUATION(NETDEBT_EBITDA,MEAN,NTMA,,NOW,,,'')":-1.5786965,"DOCU-US^FF_NET_MGN(LTM_R,0)":9.56895645688425,"DOCU-US^FF_EBITDA_OPER_MGN(LTM_R,0)":12.335369490315,"DOCU-US^FF_GROSS_MGN(LTM_R,0)":78.8872490734093,"DOCU-US^POW(FE_ESTIMATE(EPS,MEAN,STMA,,NOW,,,'CURRENCY=USD')/FE_ESTIMATE(EPS,MEAN,LTMA,,NOW,,,'CURRENCY=USD'),0.5)-1":0.0890463718317966,"DOCU-US^POW(FE_ESTIMATE(SALES,MEAN,STMA,,NOW,,,'CURRENCY=USD')/FE_ESTIMATE(SALES,MEAN,LTMA,,NOW,,,'CURRENCY=USD'),0.5)-1":0.0664473732913407,"DOCU-US^FE_ACTUAL(ACTUAL,EPS,ANN_ROLL,0,,,,'CURRENCY=USD')":3.55,"DOCU-US^OS_SEC_FLT_PCT(0D,,MTD,SEC)":98.991,"DOCU-US^AVG(P_VOLUME_FRQ(-1AM,NOW,D,,6))*P_PRICE_AVG(-1AM,NOW,,USD)":231.988588799243,"DOCU-US^FCS_EV_DAILY(MV,NOW,,,USD,M)":9687.682249,"DOCU-US^P_DCOUNTRY":"UNITED STATES","DOCU-US^FR_RBICS_NAME_CURR(\"IND\")":"Content Management Software","FICO-US^FE_RATING(MEAN,TEXTONLY,0,NOW,,,'')":"Overweight","FICO-US^FG_PRICE(0,,,USD)/FG_PRICE_MAVG(0,,,USD,200)":0.752264274840108,"FICO-US^FG_PRICE(0,,,USD)/FG_PRICE_MAVG(0,,,USD,100)":0.75186349001285,"FICO-US^FG_PRICE(0,,,USD)/FG_PRICE_MAVG(0,,,USD,50)":0.788904150488079,"FICO-US^RTP_PRICE_TARGET(USD)/FG_PRICE(0,,,USD)":1.57985190977738,"FICO-US^FG_PRICE(0,,,USD)/P_PRICE_HIGH(-1AY,0,USD,,,\"PRICE\",\"INTRA\")":0.553584956709957,"FICO-US^PERCENT_CHANGE(FE_VALUATION(FFEV_EBITDA,MEAN,NTMA,,0,,,''),MAX(FE_VALUATION(FFEV_EBITDA,MEAN,NTMA,,-1AY,0,,'')))":-56.4800382381157,"FICO-US^PERCENT_CHANGE(FE_VALUATION(PE,MEAN,NTMA,,0,,,''),MAX(FE_VALUATION(PE,MEAN,NTMA,,-1AY,0,,'')))":-59.4154038879885,"FICO-US^FE_VALUATION(FFEV_EBITDA,MEAN,NTMA,,0,,,'')":19.825321,"FICO-US^FE_VALUATION(FFEV_SALES,MEAN,NTMA,,0,,,'')":12.193437,"FICO-US^FE_VALUATION(P_SALESPS,MEAN,NTMA,,0,,,'')":10.938102,"FICO-US^FE_VALUATION(PE,MEAN,NTMA,,0,,,'')":26.600693,"FICO-US^FE_ACTUAL(ACTUAL,SALES,ANN_ROLL,0,,,,'CURRENCY=USD')":1990.869,"FICO-US^FE_ACTUAL(ACTUAL,SALES,ANN_ROLL,-1,,,,'CURRENCY=USD')":1717.526,"FICO-US^FE_VALUATION(EBITDA_MARGIN,MEAN,ANN_ROLL,0,NOW,,,'')":55.16587,"FICO-US^FE_VALUATION(ROIC,MEAN,NTMA,,0,,,'')":61.22264,"FICO-US^FE_VALUATION(ROE,MEAN,NTMA,,0,,,'')":null,"FICO-US^FE_VALUATION(DIV_YLD,MEAN,NTMA,,NOW,,,'')":0.0,"FICO-US^FE_VALUATION(MCAP_FCF,MEAN,NTMA,,NOW,,,'')":3.8997357,"FICO-US^FE_VALUATION(NETDEBT_EBITDA,MEAN,NTMA,,NOW,,,'')":1.762651,"FICO-US^FF_NET_MGN(LTM_R,0)":31.8873311809817,"FICO-US^FF_EBITDA_OPER_MGN(LTM_R,0)":48.7540114210368,"FICO-US^FF_GROSS_MGN(LTM_R,0)":82.8569074004053,"FICO-US^POW(FE_ESTIMATE(EPS,MEAN,STMA,,NOW,,,'CURRENCY=USD')/FE_ESTIMATE(EPS,MEAN,LTMA,,NOW,,,'CURRENCY=USD'),0.5)-1":0.276731725931489,"FICO-US^POW(FE_ESTIMATE(SALES,MEAN,STMA,,NOW,,,'CURRENCY=USD')/FE_ESTIMATE(SALES,MEAN,LTMA,,NOW,,,'CURRENCY=USD'),0.5)-1":0.183275031427605,"FICO-US^FE_ACTUAL(ACTUAL,EPS,ANN_ROLL,0,,,,'CURRENCY=USD')":29.88,"FICO-US^OS_SEC_FLT_PCT(0D,,MTD,SEC)":96.9984,"FICO-US^AVG(P_VOLUME_FRQ(-1AM,NOW,D,,6))*P_PRICE_AVG(-1AM,NOW,,USD)":466.769721826477,"FICO-US^FCS_EV_DAILY(MV,NOW,,,USD,M)":29497.05217242,"FICO-US^P_DCOUNTRY":"UNITED STATES","FICO-US^FR_RBICS_NAME_CURR(\"IND\")":"Other Business Administrative Services","TENB-US^FE_RATING(MEAN,TEXTONLY,0,NOW,,,'')":"Overweight","TENB-US^FG_PRICE(0,,,USD)/FG_PRICE_MAVG(0,,,USD,200)":0.640455497272199,"TENB-US^FG_PRICE(0,,,USD)/FG_PRICE_MAVG(0,,,USD,100)":0.720244623269533,"TENB-US^FG_PRICE(0,,,USD)/FG_PRICE_MAVG(0,,,USD,50)":0.805067213648728,"TENB-US^RTP_PRICE_TARGET(USD)/FG_PRICE(0,,,USD)":1.6797277747403,"TENB-US^FG_PRICE(0,,,USD)/P_PRICE_HIGH(-1AY,0,USD,,,\"PRICE\",\"INTRA\")":0.467476038338658,"TENB-US^PERCENT_CHANGE(FE_VALUATION(FFEV_EBITDA,MEAN,NTMA,,0,,,''),MAX(FE_VALUATION(FFEV_EBITDA,MEAN,NTMA,,-1AY,0,,'')))":-56.1931071077541,"TENB-US^PERCENT_CHANGE(FE_VALUATION(PE,MEAN,NTMA,,0,,,''),MAX(FE_VALUATION(PE,MEAN,NTMA,,-1AY,0,,'')))":-61.6334284668068,"TENB-US^FE_VALUATION(FFEV_EBITDA,MEAN,NTMA,,0,,,'')":8.11703,"TENB-US^FE_VALUATION(FFEV_SALES,MEAN,NTMA,,0,,,'')":2.0413074,"TENB-US^FE_VALUATION(P_SALESPS,MEAN,NTMA,,0,,,'')":2.016584,"TENB-US^FE_VALUATION(PE,MEAN,NTMA,,0,,,'')":9.616364,"TENB-US^FE_ACTUAL(ACTUAL,SALES,ANN_ROLL,0,,,,'CURRENCY=USD')":999.405,"TENB-US^FE_ACTUAL(ACTUAL,SALES,ANN_ROLL,-1,,,,'CURRENCY=USD')":900.021,"TENB-US^FE_VALUATION(EBITDA_MARGIN,MEAN,ANN_ROLL,0,NOW,,,'')":23.54739,"TENB-US^FE_VALUATION(ROIC,MEAN,NTMA,,0,,,'')":26.39757,"TENB-US^FE_VALUATION(ROE,MEAN,NTMA,,0,,,'')":46.280136,"TENB-US^FE_VALUATION(DIV_YLD,MEAN,NTMA,,NOW,,,'')":0.0,"TENB-US^FE_VALUATION(MCAP_FCF,MEAN,NTMA,,NOW,,,'')":12.4334955,"TENB-US^FE_VALUATION(NETDEBT_EBITDA,MEAN,NTMA,,NOW,,,'')":-0.88758624,"TENB-US^FF_NET_MGN(LTM_R,0)":-3.61395030042875,"TENB-US^FF_EBITDA_OPER_MGN(LTM_R,0)":4.31816931073989,"TENB-US^FF_GROSS_MGN(LTM_R,0)":81.955463500783,"TENB-US^POW(FE_ESTIMATE(EPS,MEAN,STMA,,NOW,,,'CURRENCY=USD')/FE_ESTIMATE(EPS,MEAN,LTMA,,NOW,,,'CURRENCY=USD'),0.5)-1":0.144816928596009,"TENB-US^POW(FE_ESTIMATE(SALES,MEAN,STMA,,NOW,,,'CURRENCY=USD')/FE_ESTIMATE(SALES,MEAN,LTMA,,NOW,,,'CURRENCY=USD'),0.5)-1":0.0717901846910149,"TENB-US^FE_ACTUAL(ACTUAL,EPS,ANN_ROLL,0,,,,'CURRENCY=USD')":1.59,"TENB-US^OS_SEC_FLT_PCT(0D,,MTD,SEC)":97.952,"TENB-US^AVG(P_VOLUME_FRQ(-1AM,NOW,D,,6))*P_PRICE_AVG(-1AM,NOW,,USD)":69.85151180581,"TENB-US^FCS_EV_DAILY(MV,NOW,,,USD,M)":2365.72861514,"TENB-US^P_DCOUNTRY":"UNITED STATES","TENB-US^FR_RBICS_NAME_CURR(\"IND\")":"Network Infrastructure Software","NOW-US^FE_RATING(MEAN,TEXTONLY,0,NOW,,,'')":"Buy","NOW-US^FG_PRICE(0,,,USD)/FG_PRICE_MAVG(0,,,USD,200)":0.592353718569968,"NOW-US^FG_PRICE(0,,,USD)/FG_PRICE_MAVG(0,,,USD,100)":0.666761909074207,"NOW-US^FG_PRICE(0,,,USD)/FG_PRICE_MAVG(0,,,USD,50)":0.777244666519646,"NOW-US^RTP_PRICE_TARGET(USD)/FG_PRICE(0,,,USD)":1.83132305590789,"NOW-US^FG_PRICE(0,,,USD)/P_PRICE_HIGH(-1AY,0,USD,,,\"PRICE\",\"INTRA\")":0.484636745631862,"NOW-US^PERCENT_CHANGE(FE_VALUATION(FFEV_EBITDA,MEAN,NTMA,,0,,,''),MAX(FE_VALUATION(FFEV_EBITDA,MEAN,NTMA,,-1AY,0,,'')))":-60.5755626204031,"NOW-US^PERCENT_CHANGE(FE_VALUATION(PE,MEAN,NTMA,,0,,,''),MAX(FE_VALUATION(PE,MEAN,NTMA,,-1AY,0,,'')))":-59.3569384155704,"NOW-US^FE_VALUATION(FFEV_EBITDA,MEAN,NTMA,,0,,,'')":17.151566,"NOW-US^FE_VALUATION(FFEV_SALES,MEAN,NTMA,,0,,,'')":6.2981114,"NOW-US^FE_VALUATION(P_SALESPS,MEAN,NTMA,,0,,,'')":6.5305815,"NOW-US^FE_VALUATION(PE,MEAN,NTMA,,0,,,'')":23.757355,"NOW-US^FE_ACTUAL(ACTUAL,SALES,ANN_ROLL,0,,,,'CURRENCY=USD')":13278.0,"NOW-US^FE_ACTUAL(ACTUAL,SALES,ANN_ROLL,-1,,,,'CURRENCY=USD')":10984.0,"NOW-US^FE_VALUATION(EBITDA_MARGIN,MEAN,ANN_ROLL,0,NOW,,,'')":37.320713,"NOW-US^FE_VALUATION(ROIC,MEAN,NTMA,,0,,,'')":24.644463,"NOW-US^FE_VALUATION(ROE,MEAN,NTMA,,0,,,'')":27.540297,"NOW-US^FE_VALUATION(DIV_YLD,MEAN,NTMA,,NOW,,,'')":0.0,"NOW-US^FE_VALUATION(MCAP_FCF,MEAN,NTMA,,NOW,,,'')":5.4903965,"NOW-US^FE_VALUATION(NETDEBT_EBITDA,MEAN,NTMA,,NOW,,,'')":-1.4570582,"NOW-US^FF_NET_MGN(LTM_R,0)":13.1646332278958,"NOW-US^FF_EBITDA_OPER_MGN(LTM_R,0)":19.596324747703,"NOW-US^FF_GROSS_MGN(LTM_R,0)":77.534267208917,"NOW-US^POW(FE_ESTIMATE(EPS,MEAN,STMA,,NOW,,,'CURRENCY=USD')/FE_ESTIMATE(EPS,MEAN,LTMA,,NOW,,,'CURRENCY=USD'),0.5)-1":0.20121788198478,"NOW-US^POW(FE_ESTIMATE(SALES,MEAN,STMA,,NOW,,,'CURRENCY=USD')/FE_ESTIMATE(SALES,MEAN,LTMA,,NOW,,,'CURRENCY=USD'),0.5)-1":0.19397127268624,"NOW-US^FE_ACTUAL(ACTUAL,EPS,ANN_ROLL,0,,,,'CURRENCY=USD')":3.51,"NOW-US^OS_SEC_FLT_PCT(0D,,MTD,SEC)":99.3365,"NOW-US^AVG(P_VOLUME_FRQ(-1AM,NOW,D,,6))*P_PRICE_AVG(-1AM,NOW,,USD)":2659.88597483556,"NOW-US^FCS_EV_DAILY(MV,NOW,,,USD,M)":109870.40739,"NOW-US^P_DCOUNTRY":"UNITED STATES","NOW-US^FR_RBICS_NAME_CURR(\"IND\")":"General Enterprise Management Software","DT-US^FE_RATING(MEAN,TEXTONLY,0,NOW,,,'')":"Overweight","DT-US^FG_PRICE(0,,,USD)/FG_PRICE_MAVG(0,,,USD,200)":0.717694576429234,"DT-US^FG_PRICE(0,,,USD)/FG_PRICE_MAVG(0,,,USD,100)":0.783374617747495,"DT-US^FG_PRICE(0,,,USD)/FG_PRICE_MAVG(0,,,USD,50)":0.852392922027824,"DT-US^RTP_PRICE_TARGET(USD)/FG_PRICE(0,,,USD)":1.46082724087591,"DT-US^FG_PRICE(0,,,USD)/P_PRICE_HIGH(-1AY,0,USD,,,\"PRICE\",\"INTRA\")":0.569883527454243,"DT-US^PERCENT_CHANGE(FE_VALUATION(FFEV_EBITDA,MEAN,NTMA,,0,,,''),MAX(FE_VALUATION(FFEV_EBITDA,MEAN,NTMA,,-1AY,0,,'')))":-54.5239045113024,"DT-US^PERCENT_CHANGE(FE_VALUATION(PE,MEAN,NTMA,,0,,,''),MAX(FE_VALUATION(PE,MEAN,NTMA,,-1AY,0,,'')))":-53.0021220432597,"DT-US^FE_VALUATION(FFEV_EBITDA,MEAN,NTMA,,0,,,'')":13.261618,"DT-US^FE_VALUATION(FFEV_SALES,MEAN,NTMA,,0,,,'')":4.078665,"DT-US^FE_VALUATION(P_SALESPS,MEAN,NTMA,,0,,,'')":4.487807,"DT-US^FE_VALUATION(PE,MEAN,NTMA,,0,,,'')":18.10821,"DT-US^FE_ACTUAL(ACTUAL,SALES,ANN_ROLL,0,,,,'CURRENCY=USD')":1698.683,"DT-US^FE_ACTUAL(ACTUAL,SALES,ANN_ROLL,-1,,,,'CURRENCY=USD')":1430.53,"DT-US^FE_VALUATION(EBITDA_MARGIN,MEAN,ANN_ROLL,0,NOW,,,'')":30.83196,"DT-US^FE_VALUATION(ROIC,MEAN,NTMA,,0,,,'')":16.54999,"DT-US^FE_VALUATION(ROE,MEAN,NTMA,,0,,,'')":17.984053,"DT-US^FE_VALUATION(DIV_YLD,MEAN,NTMA,,NOW,,,'')":0.0,"DT-US^FE_VALUATION(MCAP_FCF,MEAN,NTMA,,NOW,,,'')":5.884752,"DT-US^FE_VALUATION(NETDEBT_EBITDA,MEAN,NTMA,,NOW,,,'')":-2.5842223,"DT-US^FF_NET_MGN(LTM_R,0)":9.55345070699583,"DT-US^FF_EBITDA_OPER_MGN(LTM_R,0)":14.2615108114768,"DT-US^FF_GROSS_MGN(LTM_R,0)":81.5744193606497,"DT-US^POW(FE_ESTIMATE(EPS,MEAN,STMA,,NOW,,,'CURRENCY=USD')/FE_ESTIMATE(EPS,MEAN,LTMA,,NOW,,,'CURRENCY=USD'),0.5)-1":0.145458379863712,"DT-US^POW(FE_ESTIMATE(SALES,MEAN,STMA,,NOW,,,'CURRENCY=USD')/FE_ESTIMATE(SALES,MEAN,LTMA,,NOW,,,'CURRENCY=USD'),0.5)-1":0.147540631088939,"DT-US^FE_ACTUAL(ACTUAL,EPS,ANN_ROLL,0,,,,'CURRENCY=USD')":1.39,"DT-US^OS_SEC_FLT_PCT(0D,,MTD,SEC)":98.8897,"DT-US^AVG(P_VOLUME_FRQ(-1AM,NOW,D,,6))*P_PRICE_AVG(-1AM,NOW,,USD)":235.062033517141,"DT-US^FCS_EV_DAILY(MV,NOW,,,USD,M)":10620.5814745,"DT-US^P_DCOUNTRY":"UNITED STATES","DT-US^FR_RBICS_NAME_CURR(\"IND\")":"Network Infrastructure Software","PLTR-US^FE_RATING(MEAN,TEXTONLY,0,NOW,,,'')":"Overweight","PLTR-US^FG_PRICE(0,,,USD)/FG_PRICE_MAVG(0,,,USD,200)":0.799057454550506,"PLTR-US^FG_PRICE(0,,,USD)/FG_PRICE_MAVG(0,,,USD,100)":0.750178723501381,"PLTR-US^FG_PRICE(0,,,USD)/FG_PRICE_MAVG(0,,,USD,50)":0.785542697574597,"PLTR-US^RTP_PRICE_TARGET(USD)/FG_PRICE(0,,,USD)":1.45431480906551,"PLTR-US^FG_PRICE(0,,,USD)/P_PRICE_HIGH(-1AY,0,USD,,,\"PRICE\",\"INTRA\")":0.620855821125675,"PLTR-US^PERCENT_CHANGE(FE_VALUATION(FFEV_EBITDA,MEAN,NTMA,,0,,,''),MAX(FE_VALUATION(FFEV_EBITDA,MEAN,NTMA,,-1AY,0,,'')))":-63.7034644148117,"PLTR-US^PERCENT_CHANGE(FE_VALUATION(PE,MEAN,NTMA,,0,,,''),MAX(FE_VALUATION(PE,MEAN,NTMA,,-1AY,0,,'')))":-63.1153685080073,"PLTR-US^FE_VALUATION(FFEV_EBITDA,MEAN,NTMA,,0,,,'')":74.32565,"PLTR-US^FE_VALUATION(FFEV_SALES,MEAN,NTMA,,0,,,'')":42.356777,"PLTR-US^FE_VALUATION(P_SALESPS,MEAN,NTMA,,0,,,'')":40.327347,"PLTR-US^FE_VALUATION(PE,MEAN,NTMA,,0,,,'')":94.17743,"PLTR-US^FE_ACTUAL(ACTUAL,SALES,ANN_ROLL,0,,,,'CURRENCY=USD')":4475.446,"PLTR-US^FE_ACTUAL(ACTUAL,SALES,ANN_ROLL,-1,,,,'CURRENCY=USD')":2865.507,"PLTR-US^FE_VALUATION(EBITDA_MARGIN,MEAN,ANN_ROLL,0,NOW,,,'')":50.94611,"PLTR-US^FE_VALUATION(ROIC,MEAN,NTMA,,0,,,'')":null,"PLTR-US^FE_VALUATION(ROE,MEAN,NTMA,,0,,,'')":28.090036,"PLTR-US^FE_VALUATION(DIV_YLD,MEAN,NTMA,,NOW,,,'')":0.0,"PLTR-US^FE_VALUATION(MCAP_FCF,MEAN,NTMA,,NOW,,,'')":1.3955652,"PLTR-US^FE_VALUATION(NETDEBT_EBITDA,MEAN,NTMA,,NOW,,,'')":-2.7048798,"PLTR-US^FF_NET_MGN(LTM_R,0)":36.3099677663411,"PLTR-US^FF_EBITDA_OPER_MGN(LTM_R,0)":32.1791392410946,"PLTR-US^FF_GROSS_MGN(LTM_R,0)":82.3665172141503,"PLTR-US^POW(FE_ESTIMATE(EPS,MEAN,STMA,,NOW,,,'CURRENCY=USD')/FE_ESTIMATE(EPS,MEAN,LTMA,,NOW,,,'CURRENCY=USD'),0.5)-1":0.525675391425057,"PLTR-US^POW(FE_ESTIMATE(SALES,MEAN,STMA,,NOW,,,'CURRENCY=USD')/FE_ESTIMATE(SALES,MEAN,LTMA,,NOW,,,'CURRENCY=USD'),0.5)-1":0.491881262031265,"PLTR-US^FE_ACTUAL(ACTUAL,EPS,ANN_ROLL,0,,,,'CURRENCY=USD')":0.75,"PLTR-US^OS_SEC_FLT_PCT(0D,,MTD,SEC)":95.4558,"PLTR-US^AVG(P_VOLUME_FRQ(-1AM,NOW,D,,6))*P_PRICE_AVG(-1AM,NOW,,USD)":7934.69612107092,"PLTR-US^FCS_EV_DAILY(MV,NOW,,,USD,M)":331614.84955884,"PLTR-US^P_DCOUNTRY":"UNITED STATES","PLTR-US^FR_RBICS_NAME_CURR(\"IND\")":"Government and Not-For-Profit Industry Software","WK-US^FE_RATING(MEAN,TEXTONLY,0,NOW,,,'')":"Buy","WK-US^FG_PRICE(0,,,USD)/FG_PRICE_MAVG(0,,,USD,200)":0.737336846651826,"WK-US^FG_PRICE(0,,,USD)/FG_PRICE_MAVG(0,,,USD,100)":0.687715283488874,"WK-US^FG_PRICE(0,,,USD)/FG_PRICE_MAVG(0,,,USD,50)":0.731381461698174,"WK-US^RTP_PRICE_TARGET(USD)/FG_PRICE(0,,,USD)":1.55033871750433,"WK-US^FG_PRICE(0,,,USD)/P_PRICE_HIGH(-1AY,0,USD,,,\"PRICE\",\"INTRA\")":0.594263350326999,"WK-US^PERCENT_CHANGE(FE_VALUATION(FFEV_EBITDA,MEAN,NTMA,,0,,,''),MAX(FE_VALUATION(FFEV_EBITDA,MEAN,NTMA,,-1AY,0,,'')))":-77.4428074352973,"WK-US^PERCENT_CHANGE(FE_VALUATION(PE,MEAN,NTMA,,0,,,''),MAX(FE_VALUATION(PE,MEAN,NTMA,,-1AY,0,,'')))":-73.1452825851411,"WK-US^FE_VALUATION(FFEV_EBITDA,MEAN,NTMA,,0,,,'')":18.165535,"WK-US^FE_VALUATION(FFEV_SALES,MEAN,NTMA,,0,,,'')":2.9676418,"WK-US^FE_VALUATION(P_SALESPS,MEAN,NTMA,,0,,,'')":3.087611,"WK-US^FE_VALUATION(PE,MEAN,NTMA,,0,,,'')":20.549168,"WK-US^FE_ACTUAL(ACTUAL,SALES,ANN_ROLL,0,,,,'CURRENCY=USD')":884.568,"WK-US^FE_ACTUAL(ACTUAL,SALES,ANN_ROLL,-1,,,,'CURRENCY=USD')":738.68,"WK-US^FE_VALUATION(EBITDA_MARGIN,MEAN,ANN_ROLL,0,NOW,,,'')":10.500719,"WK-US^FE_VALUATION(ROIC,MEAN,NTMA,,0,,,'')":26.25933,"WK-US^FE_VALUATION(ROE,MEAN,NTMA,,0,,,'')":308.23563,"WK-US^FE_VALUATION(DIV_YLD,MEAN,NTMA,,NOW,,,'')":0.0,"WK-US^FE_VALUATION(MCAP_FCF,MEAN,NTMA,,NOW,,,'')":6.3010397,"WK-US^FE_VALUATION(NETDEBT_EBITDA,MEAN,NTMA,,NOW,,,'')":-2.0960221,"WK-US^FF_NET_MGN(LTM_R,0)":-2.95839324958624,"WK-US^FF_EBITDA_OPER_MGN(LTM_R,0)":-3.55552088703186,"WK-US^FF_GROSS_MGN(LTM_R,0)":78.4719772815657,"WK-US^POW(FE_ESTIMATE(EPS,MEAN,STMA,,NOW,,,'CURRENCY=USD')/FE_ESTIMATE(EPS,MEAN,LTMA,,NOW,,,'CURRENCY=USD'),0.5)-1":0.357513351683879,"WK-US^POW(FE_ESTIMATE(SALES,MEAN,STMA,,NOW,,,'CURRENCY=USD')/FE_ESTIMATE(SALES,MEAN,LTMA,,NOW,,,'CURRENCY=USD'),0.5)-1":0.164636423953845,"WK-US^FE_ACTUAL(ACTUAL,EPS,ANN_ROLL,0,,,,'CURRENCY=USD')":1.78,"WK-US^OS_SEC_FLT_PCT(0D,,MTD,SEC)":94.5492,"WK-US^AVG(P_VOLUME_FRQ(-1AM,NOW,D,,6))*P_PRICE_AVG(-1AM,NOW,,USD)":79.7488164151445,"WK-US^FCS_EV_DAILY(MV,NOW,,,USD,M)":3464.56080472,"WK-US^P_DCOUNTRY":"UNITED STATES","WK-US^FR_RBICS_NAME_CURR(\"IND\")":"Enterprise Resource Planning Software","QLYS-US^FE_RATING(MEAN,TEXTONLY,0,NOW,,,'')":"Hold","QLYS-US^FG_PRICE(0,,,USD)/FG_PRICE_MAVG(0,,,USD,200)":0.646419052112781,"QLYS-US^FG_PRICE(0,,,USD)/FG_PRICE_MAVG(0,,,USD,100)":0.657662031549297,"QLYS-US^FG_PRICE(0,,,USD)/FG_PRICE_MAVG(0,,,USD,50)":0.680329140464501,"QLYS-US^RTP_PRICE_TARGET(USD)/FG_PRICE(0,,,USD)":1.59066739606127,"QLYS-US^FG_PRICE(0,,,USD)/P_PRICE_HIGH(-1AY,0,USD,,,\"PRICE\",\"INTRA\")":0.558500032160545,"QLYS-US^PERCENT_CHANGE(FE_VALUATION(FFEV_EBITDA,MEAN,NTMA,,0,,,''),MAX(FE_VALUATION(FFEV_EBITDA,MEAN,NTMA,,-1AY,0,,'')))":-51.9847894873894,"QLYS-US^PERCENT_CHANGE(FE_VALUATION(PE,MEAN,NTMA,,0,,,''),MAX(FE_VALUATION(PE,MEAN,NTMA,,-1AY,0,,'')))":-50.4367053328652,"QLYS-US^FE_VALUATION(FFEV_EBITDA,MEAN,NTMA,,0,,,'')":8.539159,"QLYS-US^FE_VALUATION(FFEV_SALES,MEAN,NTMA,,0,,,'')":3.802272,"QLYS-US^FE_VALUATION(P_SALESPS,MEAN,NTMA,,0,,,'')":4.249773,"QLYS-US^FE_VALUATION(PE,MEAN,NTMA,,0,,,'')":11.629527,"QLYS-US^FE_ACTUAL(ACTUAL,SALES,ANN_ROLL,0,,,,'CURRENCY=USD')":669.125,"QLYS-US^FE_ACTUAL(ACTUAL,SALES,ANN_ROLL,-1,,,,'CURRENCY=USD')":607.571,"QLYS-US^FE_VALUATION(EBITDA_MARGIN,MEAN,ANN_ROLL,0,NOW,,,'')":46.844574,"QLYS-US^FE_VALUATION(ROIC,MEAN,NTMA,,0,,,'')":35.78148,"QLYS-US^FE_VALUATION(ROE,MEAN,NTMA,,0,,,'')":36.514206,"QLYS-US^FE_VALUATION(DIV_YLD,MEAN,NTMA,,NOW,,,'')":0.0,"QLYS-US^FE_VALUATION(MCAP_FCF,MEAN,NTMA,,NOW,,,'')":9.681528,"QLYS-US^FE_VALUATION(NETDEBT_EBITDA,MEAN,NTMA,,NOW,,,'')":-2.324673,"QLYS-US^FF_NET_MGN(LTM_R,0)":29.646638144185,"QLYS-US^FF_EBITDA_OPER_MGN(LTM_R,0)":35.5318665482715,"QLYS-US^FF_GROSS_MGN(LTM_R,0)":82.8927895525199,"QLYS-US^POW(FE_ESTIMATE(EPS,MEAN,STMA,,NOW,,,'CURRENCY=USD')/FE_ESTIMATE(EPS,MEAN,LTMA,,NOW,,,'CURRENCY=USD'),0.5)-1":0.0633741110258421,"QLYS-US^POW(FE_ESTIMATE(SALES,MEAN,STMA,,NOW,,,'CURRENCY=USD')/FE_ESTIMATE(SALES,MEAN,LTMA,,NOW,,,'CURRENCY=USD'),0.5)-1":0.0735310894426859,"QLYS-US^FE_ACTUAL(ACTUAL,EPS,ANN_ROLL,0,,,,'CURRENCY=USD')":7.07,"QLYS-US^OS_SEC_FLT_PCT(0D,,MTD,SEC)":98.6738,"QLYS-US^AVG(P_VOLUME_FRQ(-1AM,NOW,D,,6))*P_PRICE_AVG(-1AM,NOW,,USD)":90.6999462786238,"QLYS-US^FCS_EV_DAILY(MV,NOW,,,USD,M)":3197.42149458,"QLYS-US^P_DCOUNTRY":"UNITED STATES","QLYS-US^FR_RBICS_NAME_CURR(\"IND\")":"Network Infrastructure Software","APP-US^FE_RATING(MEAN,TEXTONLY,0,NOW,,,'')":"Buy","APP-US^FG_PRICE(0,,,USD)/FG_PRICE_MAVG(0,,,USD,200)":0.775440989910906,"APP-US^FG_PRICE(0,,,USD)/FG_PRICE_MAVG(0,,,USD,100)":0.670247878706031,"APP-US^FG_PRICE(0,,,USD)/FG_PRICE_MAVG(0,,,USD,50)":0.699067098672427,"APP-US^RTP_PRICE_TARGET(USD)/FG_PRICE(0,,,USD)":1.70164284624383,"APP-US^FG_PRICE(0,,,USD)/P_PRICE_HIGH(-1AY,0,USD,,,\"PRICE\",\"INTRA\")":0.527380265822615,"APP-US^PERCENT_CHANGE(FE_VALUATION(FFEV_EBITDA,MEAN,NTMA,,0,,,''),MAX(FE_VALUATION(FFEV_EBITDA,MEAN,NTMA,,-1AY,0,,'')))":-55.7313307614555,"APP-US^PERCENT_CHANGE(FE_VALUATION(PE,MEAN,NTMA,,0,,,''),MAX(FE_VALUATION(PE,MEAN,NTMA,,-1AY,0,,'')))":-58.2313538353142,"APP-US^FE_VALUATION(FFEV_EBITDA,MEAN,NTMA,,0,,,'')":19.3847,"APP-US^FE_VALUATION(FFEV_SALES,MEAN,NTMA,,0,,,'')":16.355515,"APP-US^FE_VALUATION(P_SALESPS,MEAN,NTMA,,0,,,'')":16.01234,"APP-US^FE_VALUATION(PE,MEAN,NTMA,,0,,,'')":24.144264,"APP-US^FE_ACTUAL(ACTUAL,SALES,ANN_ROLL,0,,,,'CURRENCY=USD')":5480.717,"APP-US^FE_ACTUAL(ACTUAL,SALES,ANN_ROLL,-1,,,,'CURRENCY=USD')":4709.248,"APP-US^FE_VALUATION(EBITDA_MARGIN,MEAN,ANN_ROLL,0,NOW,,,'')":82.33325,"APP-US^FE_VALUATION(ROIC,MEAN,NTMA,,0,,,'')":54.05012,"APP-US^FE_VALUATION(ROE,MEAN,NTMA,,0,,,'')":103.1667,"APP-US^FE_VALUATION(DIV_YLD,MEAN,NTMA,,NOW,,,'')":0.0,"APP-US^FE_VALUATION(MCAP_FCF,MEAN,NTMA,,NOW,,,'')":4.0581355,"APP-US^FE_VALUATION(NETDEBT_EBITDA,MEAN,NTMA,,NOW,,,'')":-0.42884582,"APP-US^FF_NET_MGN(LTM_R,0)":56.5922762275559,"APP-US^FF_EBITDA_OPER_MGN(LTM_R,0)":75.7358376950906,"APP-US^FF_GROSS_MGN(LTM_R,0)":85.470904432216,"APP-US^POW(FE_ESTIMATE(EPS,MEAN,STMA,,NOW,,,'CURRENCY=USD')/FE_ESTIMATE(EPS,MEAN,LTMA,,NOW,,,'CURRENCY=USD'),0.5)-1":0.420910975395714,"APP-US^POW(FE_ESTIMATE(SALES,MEAN,STMA,,NOW,,,'CURRENCY=USD')/FE_ESTIMATE(SALES,MEAN,LTMA,,NOW,,,'CURRENCY=USD'),0.5)-1":0.348427936524603,"APP-US^FE_ACTUAL(ACTUAL,EPS,ANN_ROLL,0,,,,'CURRENCY=USD')":9.75,"APP-US^OS_SEC_FLT_PCT(0D,,MTD,SEC)":72.6322,"APP-US^AVG(P_VOLUME_FRQ(-1AM,NOW,D,,6))*P_PRICE_AVG(-1AM,NOW,,USD)":3372.03979317258,"APP-US^FCS_EV_DAILY(MV,NOW,,,USD,M)":133672.51070704,"APP-US^P_DCOUNTRY":"UNITED STATES","APP-US^FR_RBICS_NAME_CURR(\"IND\")":"Customer Relationship Management Software","NTNX-US^FE_RATING(MEAN,TEXTONLY,0,NOW,,,'')":"Overweight","NTNX-US^FG_PRICE(0,,,USD)/FG_PRICE_MAVG(0,,,USD,200)":0.584449115028879,"NTNX-US^FG_PRICE(0,,,USD)/FG_PRICE_MAVG(0,,,USD,100)":0.689338737341184,"NTNX-US^FG_PRICE(0,,,USD)/FG_PRICE_MAVG(0,,,USD,50)":0.825952266678302,"NTNX-US^RTP_PRICE_TARGET(USD)/FG_PRICE(0,,,USD)":1.60104022715267,"NTNX-US^FG_PRICE(0,,,USD)/P_PRICE_HIGH(-1AY,0,USD,,,\"PRICE\",\"INTRA\")":0.454174664107486,"NTNX-US^PERCENT_CHANGE(FE_VALUATION(FFEV_EBITDA,MEAN,NTMA,,0,,,''),MAX(FE_VALUATION(FFEV_EBITDA,MEAN,NTMA,,-1AY,0,,'')))":-63.9101111755098,"NTNX-US^PERCENT_CHANGE(FE_VALUATION(PE,MEAN,NTMA,,0,,,''),MAX(FE_VALUATION(PE,MEAN,NTMA,,-1AY,0,,'')))":-58.102081072477,"NTNX-US^FE_VALUATION(FFEV_EBITDA,MEAN,NTMA,,0,,,'')":13.97298,"NTNX-US^FE_VALUATION(FFEV_SALES,MEAN,NTMA,,0,,,'')":3.4821198,"NTNX-US^FE_VALUATION(P_SALESPS,MEAN,NTMA,,0,,,'')":3.3473253,"NTNX-US^FE_VALUATION(PE,MEAN,NTMA,,0,,,'')":19.05695,"NTNX-US^FE_ACTUAL(ACTUAL,SALES,ANN_ROLL,0,,,,'CURRENCY=USD')":2537.927,"NTNX-US^FE_ACTUAL(ACTUAL,SALES,ANN_ROLL,-1,,,,'CURRENCY=USD')":2148.816,"NTNX-US^FE_VALUATION(EBITDA_MARGIN,MEAN,ANN_ROLL,0,NOW,,,'')":23.989534,"NTNX-US^FE_VALUATION(ROIC,MEAN,NTMA,,0,,,'')":44.851734,"NTNX-US^FE_VALUATION(ROE,MEAN,NTMA,,0,,,'')":1583.1248,"NTNX-US^FE_VALUATION(DIV_YLD,MEAN,NTMA,,NOW,,,'')":0.0,"NTNX-US^FE_VALUATION(MCAP_FCF,MEAN,NTMA,,NOW,,,'')":8.521549,"NTNX-US^FE_VALUATION(NETDEBT_EBITDA,MEAN,NTMA,,NOW,,,'')":-2.2384424,"NTNX-US^FF_NET_MGN(LTM_R,0)":8.42529284096904,"NTNX-US^FF_EBITDA_OPER_MGN(LTM_R,0)":10.7718027603707,"NTNX-US^FF_GROSS_MGN(LTM_R,0)":87.0132226852087,"NTNX-US^POW(FE_ESTIMATE(EPS,MEAN,STMA,,NOW,,,'CURRENCY=USD')/FE_ESTIMATE(EPS,MEAN,LTMA,,NOW,,,'CURRENCY=USD'),0.5)-1":0.147733244268894,"NTNX-US^POW(FE_ESTIMATE(SALES,MEAN,STMA,,NOW,,,'CURRENCY=USD')/FE_ESTIMATE(SALES,MEAN,LTMA,,NOW,,,'CURRENCY=USD'),0.5)-1":0.127627465078782,"NTNX-US^FE_ACTUAL(ACTUAL,EPS,ANN_ROLL,0,,,,'CURRENCY=USD')":1.78,"NTNX-US^OS_SEC_FLT_PCT(0D,,MTD,SEC)":97.5413,"NTNX-US^AVG(P_VOLUME_FRQ(-1AM,NOW,D,,6))*P_PRICE_AVG(-1AM,NOW,,USD)":167.960632676743,"NTNX-US^FCS_EV_DAILY(MV,NOW,,,USD,M)":10743.04584264,"NTNX-US^P_DCOUNTRY":"UNITED STATES","NTNX-US^FR_RBICS_NAME_CURR(\"IND\")":"Data Storage Infrastructure Software","HUBS-US^FE_RATING(MEAN,TEXTONLY,0,NOW,,,'')":"Buy","HUBS-US^FG_PRICE(0,,,USD)/FG_PRICE_MAVG(0,,,USD,200)":0.512324363435327,"HUBS-US^FG_PRICE(0,,,USD)/FG_PRICE_MAVG(0,,,USD,100)":0.627100557704305,"HUBS-US^FG_PRICE(0,,,USD)/FG_PRICE_MAVG(0,,,USD,50)":0.724801614381859,"HUBS-US^RTP_PRICE_TARGET(USD)/FG_PRICE(0,,,USD)":1.51851633705933,"HUBS-US^FG_PRICE(0,,,USD)/P_PRICE_HIGH(-1AY,0,USD,,,\"PRICE\",\"INTRA\")":0.31494570368565,"HUBS-US^PERCENT_CHANGE(FE_VALUATION(FFEV_EBITDA,MEAN,NTMA,,0,,,''),MAX(FE_VALUATION(FFEV_EBITDA,MEAN,NTMA,,-1AY,0,,'')))":-78.2996517637306,"HUBS-US^PERCENT_CHANGE(FE_VALUATION(PE,MEAN,NTMA,,0,,,''),MAX(FE_VALUATION(PE,MEAN,NTMA,,-1AY,0,,'')))":-76.062537579343,"HUBS-US^FE_VALUATION(FFEV_EBITDA,MEAN,NTMA,,0,,,'')":11.89469,"HUBS-US^FE_VALUATION(FFEV_SALES,MEAN,NTMA,,0,,,'')":2.8859944,"HUBS-US^FE_VALUATION(P_SALESPS,MEAN,NTMA,,0,,,'')":3.238714,"HUBS-US^FE_VALUATION(PE,MEAN,NTMA,,0,,,'')":18.106287,"HUBS-US^FE_ACTUAL(ACTUAL,SALES,ANN_ROLL,0,,,,'CURRENCY=USD')":3131.266,"HUBS-US^FE_ACTUAL(ACTUAL,SALES,ANN_ROLL,-1,,,,'CURRENCY=USD')":2627.543,"HUBS-US^FE_VALUATION(EBITDA_MARGIN,MEAN,ANN_ROLL,0,NOW,,,'')":22.74478,"HUBS-US^FE_VALUATION(ROIC,MEAN,NTMA,,0,,,'')":23.986855,"HUBS-US^FE_VALUATION(ROE,MEAN,NTMA,,0,,,'')":25.60649,"HUBS-US^FE_VALUATION(DIV_YLD,MEAN,NTMA,,NOW,,,'')":0.0,"HUBS-US^FE_VALUATION(MCAP_FCF,MEAN,NTMA,,NOW,,,'')":6.2337174,"HUBS-US^FE_VALUATION(NETDEBT_EBITDA,MEAN,NTMA,,NOW,,,'')":-2.2464297,"HUBS-US^FF_NET_MGN(LTM_R,0)":1.46639517706711,"HUBS-US^FF_EBITDA_OPER_MGN(LTM_R,0)":5.60629217071905,"HUBS-US^FF_GROSS_MGN(LTM_R,0)":83.75894917555,"HUBS-US^POW(FE_ESTIMATE(EPS,MEAN,STMA,,NOW,,,'CURRENCY=USD')/FE_ESTIMATE(EPS,MEAN,LTMA,,NOW,,,'CURRENCY=USD'),0.5)-1":0.247642697249497,"HUBS-US^POW(FE_ESTIMATE(SALES,MEAN,STMA,,NOW,,,'CURRENCY=USD')/FE_ESTIMATE(SALES,MEAN,LTMA,,NOW,,,'CURRENCY=USD'),0.5)-1":0.168945379391184,"HUBS-US^FE_ACTUAL(ACTUAL,EPS,ANN_ROLL,0,,,,'CURRENCY=USD')":9.7,"HUBS-US^OS_SEC_FLT_PCT(0D,,MTD,SEC)":96.2729,"HUBS-US^AVG(P_VOLUME_FRQ(-1AM,NOW,D,,6))*P_PRICE_AVG(-1AM,NOW,,USD)":578.235085777142,"HUBS-US^FCS_EV_DAILY(MV,NOW,,,USD,M)":12609.6032736,"HUBS-US^P_DCOUNTRY":"UNITED STATES","HUBS-US^FR_RBICS_NAME_CURR(\"IND\")":"Customer Relationship Management Software","600588-CN^STRING_ARRAY NAME= TRANSPOSE(TRANSPOSE(SA_SUBARRAY(FR_RBICS_REV_MATRIX_CURRENT(\"IND\"),1,9))[14:14]);FLOAT_ARRAY PCT=TRANSPOSE(TRANSPOSE(SA_SUBARRAY(FR_RBICS_REV_MATRIX_CURRENT(\"IND\"),1,9))[14:14]);SORT_INDIRECT(NAME,PCT,2)[0:4]":["95.172406","3.014072","1.813522",null,null],"600588-CN^STRING_ARRAY NAME= TRANSPOSE(TRANSPOSE(SA_SUBARRAY(FR_RBICS_REV_MATRIX_CURRENT(\"IND\"),1,9))[13:13]);FLOAT_ARRAY PCT=TRANSPOSE(TRANSPOSE(SA_SUBARRAY(FR_RBICS_REV_MATRIX_CURRENT(\"IND\"),1,9))[14:14]);SORT_INDIRECT(NAME,PCT,2)[0:4]":["General Enterprise Management Software","General and Mixed-Type Software","Enterprise Resource Planning Software",null,null],"WTC-AU^STRING_ARRAY NAME= TRANSPOSE(TRANSPOSE(SA_SUBARRAY(FR_RBICS_REV_MATRIX_CURRENT(\"IND\"),1,9))[14:14]);FLOAT_ARRAY PCT=TRANSPOSE(TRANSPOSE(SA_SUBARRAY(FR_RBICS_REV_MATRIX_CURRENT(\"IND\"),1,9))[14:14]);SORT_INDIRECT(NAME,PCT,2)[0:4]":["100.000000",null,null,null,null],"WTC-AU^STRING_ARRAY NAME= TRANSPOSE(TRANSPOSE(SA_SUBARRAY(FR_RBICS_REV_MATRIX_CURRENT(\"IND\"),1,9))[13:13]);FLOAT_ARRAY PCT=TRANSPOSE(TRANSPOSE(SA_SUBARRAY(FR_RBICS_REV_MATRIX_CURRENT(\"IND\"),1,9))[14:14]);SORT_INDIRECT(NAME,PCT,2)[0:4]":["Enterprise Resource Planning Software",null,null,null,null],"PSN-US^STRING_ARRAY NAME= TRANSPOSE(TRANSPOSE(SA_SUBARRAY(FR_RBICS_REV_MATRIX_CURRENT(\"IND\"),1,9))[14:14]);FLOAT_ARRAY PCT=TRANSPOSE(TRANSPOSE(SA_SUBARRAY(FR_RBICS_REV_MATRIX_CURRENT(\"IND\"),1,9))[14:14]);SORT_INDIRECT(NAME,PCT,2)[0:4]":["59.359586","40.640414",null,null,null],"PSN-US^STRING_ARRAY NAME= TRANSPOSE(TRANSPOSE(SA_SUBARRAY(FR_RBICS_REV_MATRIX_CURRENT(\"IND\"),1,9))[13:13]);FLOAT_ARRAY PCT=TRANSPOSE(TRANSPOSE(SA_SUBARRAY(FR_RBICS_REV_MATRIX_CURRENT(\"IND\"),1,9))[14:14]);SORT_INDIRECT(NAME,PCT,2)[0:4]":["Industry-Specific Software","General Transportation and Related Services",null,null,null],"TNE-AU^STRING_ARRAY NAME= TRANSPOSE(TRANSPOSE(SA_SUBARRAY(FR_RBICS_REV_MATRIX_CURRENT(\"IND\"),1,9))[14:14]);FLOAT_ARRAY PCT=TRANSPOSE(TRANSPOSE(SA_SUBARRAY(FR_RBICS_REV_MATRIX_CURRENT(\"IND\"),1,9))[14:14]);SORT_INDIRECT(NAME,PCT,2)[0:4]":["100.000000",null,null,null,null],"TNE-AU^STRING_ARRAY NAME= TRANSPOSE(TRANSPOSE(SA_SUBARRAY(FR_RBICS_REV_MATRIX_CURRENT(\"IND\"),1,9))[13:13]);FLOAT_ARRAY PCT=TRANSPOSE(TRANSPOSE(SA_SUBARRAY(FR_RBICS_REV_MATRIX_CURRENT(\"IND\"),1,9))[14:14]);SORT_INDIRECT(NAME,PCT,2)[0:4]":["General Enterprise Management Software",null,null,null,null],"MANH-US^STRING_ARRAY NAME= TRANSPOSE(TRANSPOSE(SA_SUBARRAY(FR_RBICS_REV_MATRIX_CURRENT(\"IND\"),1,9))[14:14]);FLOAT_ARRAY PCT=TRANSPOSE(TRANSPOSE(SA_SUBARRAY(FR_RBICS_REV_MATRIX_CURRENT(\"IND\"),1,9))[14:14]);SORT_INDIRECT(NAME,PCT,2)[0:4]":["97.649419","2.350581",null,null,null],"MANH-US^STRING_ARRAY NAME= TRANSPOSE(TRANSPOSE(SA_SUBARRAY(FR_RBICS_REV_MATRIX_CURRENT(\"IND\"),1,9))[13:13]);FLOAT_ARRAY PCT=TRANSPOSE(TRANSPOSE(SA_SUBARRAY(FR_RBICS_REV_MATRIX_CURRENT(\"IND\"),1,9))[14:14]);SORT_INDIRECT(NAME,PCT,2)[0:4]":["Enterprise Resource Planning Software","Design, Integration and Implementation Consulting",null,null,null],"SGE-GB^STRING_ARRAY NAME= TRANSPOSE(TRANSPOSE(SA_SUBARRAY(FR_RBICS_REV_MATRIX_CURRENT(\"IND\"),1,9))[14:14]);FLOAT_ARRAY PCT=TRANSPOSE(TRANSPOSE(SA_SUBARRAY(FR_RBICS_REV_MATRIX_CURRENT(\"IND\"),1,9))[14:14]);SORT_INDIRECT(NAME,PCT,2)[0:4]":["100.000000",null,null,null,null],"SGE-GB^STRING_ARRAY NAME= TRANSPOSE(TRANSPOSE(SA_SUBARRAY(FR_RBICS_REV_MATRIX_CURRENT(\"IND\"),1,9))[13:13]);FLOAT_ARRAY PCT=TRANSPOSE(TRANSPOSE(SA_SUBARRAY(FR_RBICS_REV_MATRIX_CURRENT(\"IND\"),1,9))[14:14]);SORT_INDIRECT(NAME,PCT,2)[0:4]":["Enterprise Resource Planning Software",null,null,null,null],"HEXA.B-SE^STRING_ARRAY NAME= TRANSPOSE(TRANSPOSE(SA_SUBARRAY(FR_RBICS_REV_MATRIX_CURRENT(\"IND\"),1,9))[14:14]);FLOAT_ARRAY PCT=TRANSPOSE(TRANSPOSE(SA_SUBARRAY(FR_RBICS_REV_MATRIX_CURRENT(\"IND\"),1,9))[14:14]);SORT_INDIRECT(NAME,PCT,2)[0:4]":["60.975171","15.398900","10.931663","10.331229","2.303790"],"HEXA.B-SE^STRING_ARRAY NAME= TRANSPOSE(TRANSPOSE(SA_SUBARRAY(FR_RBICS_REV_MATRIX_CURRENT(\"IND\"),1,9))[13:13]);FLOAT_ARRAY PCT=TRANSPOSE(TRANSPOSE(SA_SUBARRAY(FR_RBICS_REV_MATRIX_CURRENT(\"IND\"),1,9))[14:14]);SORT_INDIRECT(NAME,PCT,2)[0:4]":["Computer Aided Design Software","Asset Management Software","Specialized Design and Engineering Software","Global Positioning Systems (GPS) Manufacturing","Industry-Specific Software"],"XRO-AU^STRING_ARRAY NAME= TRANSPOSE(TRANSPOSE(SA_SUBARRAY(FR_RBICS_REV_MATRIX_CURRENT(\"IND\"),1,9))[14:14]);FLOAT_ARRAY PCT=TRANSPOSE(TRANSPOSE(SA_SUBARRAY(FR_RBICS_REV_MATRIX_CURRENT(\"IND\"),1,9))[14:14]);SORT_INDIRECT(NAME,PCT,2)[0:4]":["100.000000",null,null,null,null],"XRO-AU^STRING_ARRAY NAME= TRANSPOSE(TRANSPOSE(SA_SUBARRAY(FR_RBICS_REV_MATRIX_CURRENT(\"IND\"),1,9))[13:13]);FLOAT_ARRAY PCT=TRANSPOSE(TRANSPOSE(SA_SUBARRAY(FR_RBICS_REV_MATRIX_CURRENT(\"IND\"),1,9))[14:14]);SORT_INDIRECT(NAME,PCT,2)[0:4]":["Enterprise Resource Planning Software",null,null,null,null],"TYL-US^STRING_ARRAY NAME= TRANSPOSE(TRANSPOSE(SA_SUBARRAY(FR_RBICS_REV_MATRIX_CURRENT(\"IND\"),1,9))[14:14]);FLOAT_ARRAY PCT=TRANSPOSE(TRANSPOSE(SA_SUBARRAY(FR_RBICS_REV_MATRIX_CURRENT(\"IND\"),1,9))[14:14]);SORT_INDIRECT(NAME,PCT,2)[0:4]":["100.000000",null,null,null,null],"TYL-US^STRING_ARRAY NAME= TRANSPOSE(TRANSPOSE(SA_SUBARRAY(FR_RBICS_REV_MATRIX_CURRENT(\"IND\"),1,9))[13:13]);FLOAT_ARRAY PCT=TRANSPOSE(TRANSPOSE(SA_SUBARRAY(FR_RBICS_REV_MATRIX_CURRENT(\"IND\"),1,9))[14:14]);SORT_INDIRECT(NAME,PCT,2)[0:4]":["Government and Not-For-Profit Industry Software",null,null,null,null],"AGYS-US^STRING_ARRAY NAME= TRANSPOSE(TRANSPOSE(SA_SUBARRAY(FR_RBICS_REV_MATRIX_CURRENT(\"IND\"),1,9))[14:14]);FLOAT_ARRAY PCT=TRANSPOSE(TRANSPOSE(SA_SUBARRAY(FR_RBICS_REV_MATRIX_CURRENT(\"IND\"),1,9))[14:14]);SORT_INDIRECT(NAME,PCT,2)[0:4]":["100.000000",null,null,null,null],"AGYS-US^STRING_ARRAY NAME= TRANSPOSE(TRANSPOSE(SA_SUBARRAY(FR_RBICS_REV_MATRIX_CURRENT(\"IND\"),1,9))[13:13]);FLOAT_ARRAY PCT=TRANSPOSE(TRANSPOSE(SA_SUBARRAY(FR_RBICS_REV_MATRIX_CURRENT(\"IND\"),1,9))[14:14]);SORT_INDIRECT(NAME,PCT,2)[0:4]":["Hospitality Industry Software",null,null,null,null],"DOX-US^STRING_ARRAY NAME= TRANSPOSE(TRANSPOSE(SA_SUBARRAY(FR_RBICS_REV_MATRIX_CURRENT(\"IND\"),1,9))[14:14]);FLOAT_ARRAY PCT=TRANSPOSE(TRANSPOSE(SA_SUBARRAY(FR_RBICS_REV_MATRIX_CURRENT(\"IND\"),1,9))[14:14]);SORT_INDIRECT(NAME,PCT,2)[0:4]":["66.089135","33.910865",null,null,null],"DOX-US^STRING_ARRAY NAME= TRANSPOSE(TRANSPOSE(SA_SUBARRAY(FR_RBICS_REV_MATRIX_CURRENT(\"IND\"),1,9))[13:13]);FLOAT_ARRAY PCT=TRANSPOSE(TRANSPOSE(SA_SUBARRAY(FR_RBICS_REV_MATRIX_CURRENT(\"IND\"),1,9))[14:14]);SORT_INDIRECT(NAME,PCT,2)[0:4]":["Design, Integration and Implementation Consulting","Telecommunications Industry Software",null,null,null],"ACIW-US^STRING_ARRAY NAME= TRANSPOSE(TRANSPOSE(SA_SUBARRAY(FR_RBICS_REV_MATRIX_CURRENT(\"IND\"),1,9))[14:14]);FLOAT_ARRAY PCT=TRANSPOSE(TRANSPOSE(SA_SUBARRAY(FR_RBICS_REV_MATRIX_CURRENT(\"IND\"),1,9))[14:14]);SORT_INDIRECT(NAME,PCT,2)[0:4]":["55.976587","40.735927","3.287486",null,null],"ACIW-US^STRING_ARRAY NAME= TRANSPOSE(TRANSPOSE(SA_SUBARRAY(FR_RBICS_REV_MATRIX_CURRENT(\"IND\"),1,9))[13:13]);FLOAT_ARRAY PCT=TRANSPOSE(TRANSPOSE(SA_SUBARRAY(FR_RBICS_REV_MATRIX_CURRENT(\"IND\"),1,9))[14:14]);SORT_INDIRECT(NAME,PCT,2)[0:4]":["Enterprise Resource Planning Software","Finance Industry Software","Other Enterprise Management Software",null,null],"SSNC-US^STRING_ARRAY NAME= TRANSPOSE(TRANSPOSE(SA_SUBARRAY(FR_RBICS_REV_MATRIX_CURRENT(\"IND\"),1,9))[14:14]);FLOAT_ARRAY PCT=TRANSPOSE(TRANSPOSE(SA_SUBARRAY(FR_RBICS_REV_MATRIX_CURRENT(\"IND\"),1,9))[14:14]);SORT_INDIRECT(NAME,PCT,2)[0:4]":["100.000000",null,null,null,null],"SSNC-US^STRING_ARRAY NAME= TRANSPOSE(TRANSPOSE(SA_SUBARRAY(FR_RBICS_REV_MATRIX_CURRENT(\"IND\"),1,9))[13:13]);FLOAT_ARRAY PCT=TRANSPOSE(TRANSPOSE(SA_SUBARRAY(FR_RBICS_REV_MATRIX_CURRENT(\"IND\"),1,9))[14:14]);SORT_INDIRECT(NAME,PCT,2)[0:4]":["Finance Industry Software",null,null,null,null],"CFLT-US^STRING_ARRAY NAME= TRANSPOSE(TRANSPOSE(SA_SUBARRAY(FR_RBICS_REV_MATRIX_CURRENT(\"IND\"),1,9))[14:14]);FLOAT_ARRAY PCT=TRANSPOSE(TRANSPOSE(SA_SUBARRAY(FR_RBICS_REV_MATRIX_CURRENT(\"IND\"),1,9))[14:14]);SORT_INDIRECT(NAME,PCT,2)[0:4]":["100.000000",null,null,null,null],"CFLT-US^STRING_ARRAY NAME= TRANSPOSE(TRANSPOSE(SA_SUBARRAY(FR_RBICS_REV_MATRIX_CURRENT(\"IND\"),1,9))[13:13]);FLOAT_ARRAY PCT=TRANSPOSE(TRANSPOSE(SA_SUBARRAY(FR_RBICS_REV_MATRIX_CURRENT(\"IND\"),1,9))[14:14]);SORT_INDIRECT(NAME,PCT,2)[0:4]":["Data Storage Infrastructure Software",null,null,null,null],"TRMB-US^STRING_ARRAY NAME= TRANSPOSE(TRANSPOSE(SA_SUBARRAY(FR_RBICS_REV_MATRIX_CURRENT(\"IND\"),1,9))[14:14]);FLOAT_ARRAY PCT=TRANSPOSE(TRANSPOSE(SA_SUBARRAY(FR_RBICS_REV_MATRIX_CURRENT(\"IND\"),1,9))[14:14]);SORT_INDIRECT(NAME,PCT,2)[0:4]":["41.699020","36.885402","21.415578",null,null],"TRMB-US^STRING_ARRAY NAME= TRANSPOSE(TRANSPOSE(SA_SUBARRAY(FR_RBICS_REV_MATRIX_CURRENT(\"IND\"),1,9))[13:13]);FLOAT_ARRAY PCT=TRANSPOSE(TRANSPOSE(SA_SUBARRAY(FR_RBICS_REV_MATRIX_CURRENT(\"IND\"),1,9))[14:14]);SORT_INDIRECT(NAME,PCT,2)[0:4]":["Global Positioning Systems (GPS) Manufacturing","Other Real Estate Investment and Services","General Transportation and Related Services",null,null],"RMBS-US^STRING_ARRAY NAME= TRANSPOSE(TRANSPOSE(SA_SUBARRAY(FR_RBICS_REV_MATRIX_CURRENT(\"IND\"),1,9))[14:14]);FLOAT_ARRAY PCT=TRANSPOSE(TRANSPOSE(SA_SUBARRAY(FR_RBICS_REV_MATRIX_CURRENT(\"IND\"),1,9))[14:14]);SORT_INDIRECT(NAME,PCT,2)[0:4]":["59.360402","40.639598",null,null,null],"RMBS-US^STRING_ARRAY NAME= TRANSPOSE(TRANSPOSE(SA_SUBARRAY(FR_RBICS_REV_MATRIX_CURRENT(\"IND\"),1,9))[13:13]);FLOAT_ARRAY PCT=TRANSPOSE(TRANSPOSE(SA_SUBARRAY(FR_RBICS_REV_MATRIX_CURRENT(\"IND\"),1,9))[14:14]);SORT_INDIRECT(NAME,PCT,2)[0:4]":["Electronic Design Automation Software","Other Memory Semiconductors",null,null,null],"NCNO-US^STRING_ARRAY NAME= TRANSPOSE(TRANSPOSE(SA_SUBARRAY(FR_RBICS_REV_MATRIX_CURRENT(\"IND\"),1,9))[14:14]);FLOAT_ARRAY PCT=TRANSPOSE(TRANSPOSE(SA_SUBARRAY(FR_RBICS_REV_MATRIX_CURRENT(\"IND\"),1,9))[14:14]);SORT_INDIRECT(NAME,PCT,2)[0:4]":["100.000000",null,null,null,null],"NCNO-US^STRING_ARRAY NAME= TRANSPOSE(TRANSPOSE(SA_SUBARRAY(FR_RBICS_REV_MATRIX_CURRENT(\"IND\"),1,9))[13:13]);FLOAT_ARRAY PCT=TRANSPOSE(TRANSPOSE(SA_SUBARRAY(FR_RBICS_REV_MATRIX_CURRENT(\"IND\"),1,9))[14:14]);SORT_INDIRECT(NAME,PCT,2)[0:4]":["Finance Industry Software",null,null,null,null],"TTAN-US^STRING_ARRAY NAME= TRANSPOSE(TRANSPOSE(SA_SUBARRAY(FR_RBICS_REV_MATRIX_CURRENT(\"IND\"),1,9))[14:14]);FLOAT_ARRAY PCT=TRANSPOSE(TRANSPOSE(SA_SUBARRAY(FR_RBICS_REV_MATRIX_CURRENT(\"IND\"),1,9))[14:14]);SORT_INDIRECT(NAME,PCT,2)[0:4]":["95.803482","4.196518",null,null,null],"TTAN-US^STRING_ARRAY NAME= TRANSPOSE(TRANSPOSE(SA_SUBARRAY(FR_RBICS_REV_MATRIX_CURRENT(\"IND\"),1,9))[13:13]);FLOAT_ARRAY PCT=TRANSPOSE(TRANSPOSE(SA_SUBARRAY(FR_RBICS_REV_MATRIX_CURRENT(\"IND\"),1,9))[14:14]);SORT_INDIRECT(NAME,PCT,2)[0:4]":["General Enterprise Management Software","Business Process Outsourcing Services",null,null,null],"MDB-US^STRING_ARRAY NAME= TRANSPOSE(TRANSPOSE(SA_SUBARRAY(FR_RBICS_REV_MATRIX_CURRENT(\"IND\"),1,9))[14:14]);FLOAT_ARRAY PCT=TRANSPOSE(TRANSPOSE(SA_SUBARRAY(FR_RBICS_REV_MATRIX_CURRENT(\"IND\"),1,9))[14:14]);SORT_INDIRECT(NAME,PCT,2)[0:4]":["100.000000",null,null,null,null],"MDB-US^STRING_ARRAY NAME= TRANSPOSE(TRANSPOSE(SA_SUBARRAY(FR_RBICS_REV_MATRIX_CURRENT(\"IND\"),1,9))[13:13]);FLOAT_ARRAY PCT=TRANSPOSE(TRANSPOSE(SA_SUBARRAY(FR_RBICS_REV_MATRIX_CURRENT(\"IND\"),1,9))[14:14]);SORT_INDIRECT(NAME,PCT,2)[0:4]":["Data Storage Infrastructure Software",null,null,null,null],"SNPS-US^STRING_ARRAY NAME= TRANSPOSE(TRANSPOSE(SA_SUBARRAY(FR_RBICS_REV_MATRIX_CURRENT(\"IND\"),1,9))[14:14]);FLOAT_ARRAY PCT=TRANSPOSE(TRANSPOSE(SA_SUBARRAY(FR_RBICS_REV_MATRIX_CURRENT(\"IND\"),1,9))[14:14]);SORT_INDIRECT(NAME,PCT,2)[0:4]":["97.500000","2.500000",null,null,null],"SNPS-US^STRING_ARRAY NAME= TRANSPOSE(TRANSPOSE(SA_SUBARRAY(FR_RBICS_REV_MATRIX_CURRENT(\"IND\"),1,9))[13:13]);FLOAT_ARRAY PCT=TRANSPOSE(TRANSPOSE(SA_SUBARRAY(FR_RBICS_REV_MATRIX_CURRENT(\"IND\"),1,9))[14:14]);SORT_INDIRECT(NAME,PCT,2)[0:4]":["Electronic Design Automation Software","Multi-Industry-Specific IT Services",null,null,null],"SNOW-US^STRING_ARRAY NAME= TRANSPOSE(TRANSPOSE(SA_SUBARRAY(FR_RBICS_REV_MATRIX_CURRENT(\"IND\"),1,9))[14:14]);FLOAT_ARRAY PCT=TRANSPOSE(TRANSPOSE(SA_SUBARRAY(FR_RBICS_REV_MATRIX_CURRENT(\"IND\"),1,9))[14:14]);SORT_INDIRECT(NAME,PCT,2)[0:4]":["100.000000",null,null,null,null],"SNOW-US^STRING_ARRAY NAME= TRANSPOSE(TRANSPOSE(SA_SUBARRAY(FR_RBICS_REV_MATRIX_CURRENT(\"IND\"),1,9))[13:13]);FLOAT_ARRAY PCT=TRANSPOSE(TRANSPOSE(SA_SUBARRAY(FR_RBICS_REV_MATRIX_CURRENT(\"IND\"),1,9))[14:14]);SORT_INDIRECT(NAME,PCT,2)[0:4]":["Business Intelligence Software",null,null,null,null],"GWRE-US^STRING_ARRAY NAME= TRANSPOSE(TRANSPOSE(SA_SUBARRAY(FR_RBICS_REV_MATRIX_CURRENT(\"IND\"),1,9))[14:14]);FLOAT_ARRAY PCT=TRANSPOSE(TRANSPOSE(SA_SUBARRAY(FR_RBICS_REV_MATRIX_CURRENT(\"IND\"),1,9))[14:14]);SORT_INDIRECT(NAME,PCT,2)[0:4]":["100.000000",null,null,null,null],"GWRE-US^STRING_ARRAY NAME= TRANSPOSE(TRANSPOSE(SA_SUBARRAY(FR_RBICS_REV_MATRIX_CURRENT(\"IND\"),1,9))[13:13]);FLOAT_ARRAY PCT=TRANSPOSE(TRANSPOSE(SA_SUBARRAY(FR_RBICS_REV_MATRIX_CURRENT(\"IND\"),1,9))[14:14]);SORT_INDIRECT(NAME,PCT,2)[0:4]":["Finance Industry Software",null,null,null,null],"SAIL-US^STRING_ARRAY NAME= TRANSPOSE(TRANSPOSE(SA_SUBARRAY(FR_RBICS_REV_MATRIX_CURRENT(\"IND\"),1,9))[14:14]);FLOAT_ARRAY PCT=TRANSPOSE(TRANSPOSE(SA_SUBARRAY(FR_RBICS_REV_MATRIX_CURRENT(\"IND\"),1,9))[14:14]);SORT_INDIRECT(NAME,PCT,2)[0:4]":["100.000000",null,null,null,null],"SAIL-US^STRING_ARRAY NAME= TRANSPOSE(TRANSPOSE(SA_SUBARRAY(FR_RBICS_REV_MATRIX_CURRENT(\"IND\"),1,9))[13:13]);FLOAT_ARRAY PCT=TRANSPOSE(TRANSPOSE(SA_SUBARRAY(FR_RBICS_REV_MATRIX_CURRENT(\"IND\"),1,9))[14:14]);SORT_INDIRECT(NAME,PCT,2)[0:4]":["Network Infrastructure Software",null,null,null,null],"ALRM-US^STRING_ARRAY NAME= TRANSPOSE(TRANSPOSE(SA_SUBARRAY(FR_RBICS_REV_MATRIX_CURRENT(\"IND\"),1,9))[14:14]);FLOAT_ARRAY PCT=TRANSPOSE(TRANSPOSE(SA_SUBARRAY(FR_RBICS_REV_MATRIX_CURRENT(\"IND\"),1,9))[14:14]);SORT_INDIRECT(NAME,PCT,2)[0:4]":["67.161084","32.272429","0.566487",null,null],"ALRM-US^STRING_ARRAY NAME= TRANSPOSE(TRANSPOSE(SA_SUBARRAY(FR_RBICS_REV_MATRIX_CURRENT(\"IND\"),1,9))[13:13]);FLOAT_ARRAY PCT=TRANSPOSE(TRANSPOSE(SA_SUBARRAY(FR_RBICS_REV_MATRIX_CURRENT(\"IND\"),1,9))[14:14]);SORT_INDIRECT(NAME,PCT,2)[0:4]":["Other Enterprise Management Software","Building/Physical Electronic Security Equipment","Monitoring and Control Sensor/Instrument Products",null,null],"ROP-US^STRING_ARRAY NAME= TRANSPOSE(TRANSPOSE(SA_SUBARRAY(FR_RBICS_REV_MATRIX_CURRENT(\"IND\"),1,9))[14:14]);FLOAT_ARRAY PCT=TRANSPOSE(TRANSPOSE(SA_SUBARRAY(FR_RBICS_REV_MATRIX_CURRENT(\"IND\"),1,9))[14:14]);SORT_INDIRECT(NAME,PCT,2)[0:4]":["100.000000",null,null,null,null],"ROP-US^STRING_ARRAY NAME= TRANSPOSE(TRANSPOSE(SA_SUBARRAY(FR_RBICS_REV_MATRIX_CURRENT(\"IND\"),1,9))[13:13]);FLOAT_ARRAY PCT=TRANSPOSE(TRANSPOSE(SA_SUBARRAY(FR_RBICS_REV_MATRIX_CURRENT(\"IND\"),1,9))[14:14]);SORT_INDIRECT(NAME,PCT,2)[0:4]":["Industry-Specific Software",null,null,null,null],"7203-SA^STRING_ARRAY NAME= TRANSPOSE(TRANSPOSE(SA_SUBARRAY(FR_RBICS_REV_MATRIX_CURRENT(\"IND\"),1,9))[14:14]);FLOAT_ARRAY PCT=TRANSPOSE(TRANSPOSE(SA_SUBARRAY(FR_RBICS_REV_MATRIX_CURRENT(\"IND\"),1,9))[14:14]);SORT_INDIRECT(NAME,PCT,2)[0:4]":["73.843792","24.096315","2.059893",null,null],"7203-SA^STRING_ARRAY NAME= TRANSPOSE(TRANSPOSE(SA_SUBARRAY(FR_RBICS_REV_MATRIX_CURRENT(\"IND\"),1,9))[13:13]);FLOAT_ARRAY PCT=TRANSPOSE(TRANSPOSE(SA_SUBARRAY(FR_RBICS_REV_MATRIX_CURRENT(\"IND\"),1,9))[14:14]);SORT_INDIRECT(NAME,PCT,2)[0:4]":["Industry-Specific Software","Business Process Outsourcing Services","Information Technology Consulting",null,null],"CWAN-US^STRING_ARRAY NAME= TRANSPOSE(TRANSPOSE(SA_SUBARRAY(FR_RBICS_REV_MATRIX_CURRENT(\"IND\"),1,9))[14:14]);FLOAT_ARRAY PCT=TRANSPOSE(TRANSPOSE(SA_SUBARRAY(FR_RBICS_REV_MATRIX_CURRENT(\"IND\"),1,9))[14:14]);SORT_INDIRECT(NAME,PCT,2)[0:4]":["100.000000",null,null,null,null],"CWAN-US^STRING_ARRAY NAME= TRANSPOSE(TRANSPOSE(SA_SUBARRAY(FR_RBICS_REV_MATRIX_CURRENT(\"IND\"),1,9))[13:13]);FLOAT_ARRAY PCT=TRANSPOSE(TRANSPOSE(SA_SUBARRAY(FR_RBICS_REV_MATRIX_CURRENT(\"IND\"),1,9))[14:14]);SORT_INDIRECT(NAME,PCT,2)[0:4]":["Finance Industry Software",null,null,null,null],"CRWV-US^STRING_ARRAY NAME= TRANSPOSE(TRANSPOSE(SA_SUBARRAY(FR_RBICS_REV_MATRIX_CURRENT(\"IND\"),1,9))[14:14]);FLOAT_ARRAY PCT=TRANSPOSE(TRANSPOSE(SA_SUBARRAY(FR_RBICS_REV_MATRIX_CURRENT(\"IND\"),1,9))[14:14]);SORT_INDIRECT(NAME,PCT,2)[0:4]":["100.000000",null,null,null,null],"CRWV-US^STRING_ARRAY NAME= TRANSPOSE(TRANSPOSE(SA_SUBARRAY(FR_RBICS_REV_MATRIX_CURRENT(\"IND\"),1,9))[13:13]);FLOAT_ARRAY PCT=TRANSPOSE(TRANSPOSE(SA_SUBARRAY(FR_RBICS_REV_MATRIX_CURRENT(\"IND\"),1,9))[14:14]);SORT_INDIRECT(NAME,PCT,2)[0:4]":["Colocation and Data Center Services",null,null,null,null],"PRESIGHT-AE^STRING_ARRAY NAME= TRANSPOSE(TRANSPOSE(SA_SUBARRAY(FR_RBICS_REV_MATRIX_CURRENT(\"IND\"),1,9))[14:14]);FLOAT_ARRAY PCT=TRANSPOSE(TRANSPOSE(SA_SUBARRAY(FR_RBICS_REV_MATRIX_CURRENT(\"IND\"),1,9))[14:14]);SORT_INDIRECT(NAME,PCT,2)[0:4]":["89.465358","10.534642",null,null,null],"PRESIGHT-AE^STRING_ARRAY NAME= TRANSPOSE(TRANSPOSE(SA_SUBARRAY(FR_RBICS_REV_MATRIX_CURRENT(\"IND\"),1,9))[13:13]);FLOAT_ARRAY PCT=TRANSPOSE(TRANSPOSE(SA_SUBARRAY(FR_RBICS_REV_MATRIX_CURRENT(\"IND\"),1,9))[14:14]);SORT_INDIRECT(NAME,PCT,2)[0:4]":["Business Intelligence Software","Design, Integration and Implementation Consulting",null,null,null],"OTEX-US^STRING_ARRAY NAME= TRANSPOSE(TRANSPOSE(SA_SUBARRAY(FR_RBICS_REV_MATRIX_CURRENT(\"IND\"),1,9))[14:14]);FLOAT_ARRAY PCT=TRANSPOSE(TRANSPOSE(SA_SUBARRAY(FR_RBICS_REV_MATRIX_CURRENT(\"IND\"),1,9))[14:14]);SORT_INDIRECT(NAME,PCT,2)[0:4]":["100.000000",null,null,null,null],"OTEX-US^STRING_ARRAY NAME= TRANSPOSE(TRANSPOSE(SA_SUBARRAY(FR_RBICS_REV_MATRIX_CURRENT(\"IND\"),1,9))[13:13]);FLOAT_ARRAY PCT=TRANSPOSE(TRANSPOSE(SA_SUBARRAY(FR_RBICS_REV_MATRIX_CURRENT(\"IND\"),1,9))[14:14]);SORT_INDIRECT(NAME,PCT,2)[0:4]":["General Enterprise Management Software",null,null,null,null],"CCC-US^STRING_ARRAY NAME= TRANSPOSE(TRANSPOSE(SA_SUBARRAY(FR_RBICS_REV_MATRIX_CURRENT(\"IND\"),1,9))[14:14]);FLOAT_ARRAY PCT=TRANSPOSE(TRANSPOSE(SA_SUBARRAY(FR_RBICS_REV_MATRIX_CURRENT(\"IND\"),1,9))[14:14]);SORT_INDIRECT(NAME,PCT,2)[0:4]":["100.000000",null,null,null,null],"CCC-US^STRING_ARRAY NAME= TRANSPOSE(TRANSPOSE(SA_SUBARRAY(FR_RBICS_REV_MATRIX_CURRENT(\"IND\"),1,9))[13:13]);FLOAT_ARRAY PCT=TRANSPOSE(TRANSPOSE(SA_SUBARRAY(FR_RBICS_REV_MATRIX_CURRENT(\"IND\"),1,9))[14:14]);SORT_INDIRECT(NAME,PCT,2)[0:4]":["Finance Industry Software",null,null,null,null],"ORCL-US^STRING_ARRAY NAME= TRANSPOSE(TRANSPOSE(SA_SUBARRAY(FR_RBICS_REV_MATRIX_CURRENT(\"IND\"),1,9))[14:14]);FLOAT_ARRAY PCT=TRANSPOSE(TRANSPOSE(SA_SUBARRAY(FR_RBICS_REV_MATRIX_CURRENT(\"IND\"),1,9))[14:14]);SORT_INDIRECT(NAME,PCT,2)[0:4]":["76.706911","9.116884","9.061133","5.115072",null],"ORCL-US^STRING_ARRAY NAME= TRANSPOSE(TRANSPOSE(SA_SUBARRAY(FR_RBICS_REV_MATRIX_CURRENT(\"IND\"),1,9))[13:13]);FLOAT_ARRAY PCT=TRANSPOSE(TRANSPOSE(SA_SUBARRAY(FR_RBICS_REV_MATRIX_CURRENT(\"IND\"),1,9))[14:14]);SORT_INDIRECT(NAME,PCT,2)[0:4]":["Diversified Hosting Services","Information Technology Consulting","Diversified IT Infrastructure Software","Server Computer Systems",null],"CRWD-US^STRING_ARRAY NAME= TRANSPOSE(TRANSPOSE(SA_SUBARRAY(FR_RBICS_REV_MATRIX_CURRENT(\"IND\"),1,9))[14:14]);FLOAT_ARRAY PCT=TRANSPOSE(TRANSPOSE(SA_SUBARRAY(FR_RBICS_REV_MATRIX_CURRENT(\"IND\"),1,9))[14:14]);SORT_INDIRECT(NAME,PCT,2)[0:4]":["95.140054","4.859946",null,null,null],"CRWD-US^STRING_ARRAY NAME= TRANSPOSE(TRANSPOSE(SA_SUBARRAY(FR_RBICS_REV_MATRIX_CURRENT(\"IND\"),1,9))[13:13]);FLOAT_ARRAY PCT=TRANSPOSE(TRANSPOSE(SA_SUBARRAY(FR_RBICS_REV_MATRIX_CURRENT(\"IND\"),1,9))[14:14]);SORT_INDIRECT(NAME,PCT,2)[0:4]":["Network Infrastructure Software","Security and Management Consulting",null,null,null],"BLKB-US^STRING_ARRAY NAME= TRANSPOSE(TRANSPOSE(SA_SUBARRAY(FR_RBICS_REV_MATRIX_CURRENT(\"IND\"),1,9))[14:14]);FLOAT_ARRAY PCT=TRANSPOSE(TRANSPOSE(SA_SUBARRAY(FR_RBICS_REV_MATRIX_CURRENT(\"IND\"),1,9))[14:14]);SORT_INDIRECT(NAME,PCT,2)[0:4]":["97.716909","2.283091",null,null,null],"BLKB-US^STRING_ARRAY NAME= TRANSPOSE(TRANSPOSE(SA_SUBARRAY(FR_RBICS_REV_MATRIX_CURRENT(\"IND\"),1,9))[13:13]);FLOAT_ARRAY PCT=TRANSPOSE(TRANSPOSE(SA_SUBARRAY(FR_RBICS_REV_MATRIX_CURRENT(\"IND\"),1,9))[14:14]);SORT_INDIRECT(NAME,PCT,2)[0:4]":["Government and Not-For-Profit Industry Software","General Enterprise and Technology Consulting",null,null,null],"ALKT-US^STRING_ARRAY NAME= TRANSPOSE(TRANSPOSE(SA_SUBARRAY(FR_RBICS_REV_MATRIX_CURRENT(\"IND\"),1,9))[14:14]);FLOAT_ARRAY PCT=TRANSPOSE(TRANSPOSE(SA_SUBARRAY(FR_RBICS_REV_MATRIX_CURRENT(\"IND\"),1,9))[14:14]);SORT_INDIRECT(NAME,PCT,2)[0:4]":["100.000000",null,null,null,null],"ALKT-US^STRING_ARRAY NAME= TRANSPOSE(TRANSPOSE(SA_SUBARRAY(FR_RBICS_REV_MATRIX_CURRENT(\"IND\"),1,9))[13:13]);FLOAT_ARRAY PCT=TRANSPOSE(TRANSPOSE(SA_SUBARRAY(FR_RBICS_REV_MATRIX_CURRENT(\"IND\"),1,9))[14:14]);SORT_INDIRECT(NAME,PCT,2)[0:4]":["Finance Industry Software",null,null,null,null],"300033-CN^STRING_ARRAY NAME= TRANSPOSE(TRANSPOSE(SA_SUBARRAY(FR_RBICS_REV_MATRIX_CURRENT(\"IND\"),1,9))[14:14]);FLOAT_ARRAY PCT=TRANSPOSE(TRANSPOSE(SA_SUBARRAY(FR_RBICS_REV_MATRIX_CURRENT(\"IND\"),1,9))[14:14]);SORT_INDIRECT(NAME,PCT,2)[0:4]":["100.000000",null,null,null,null],"300033-CN^STRING_ARRAY NAME= TRANSPOSE(TRANSPOSE(SA_SUBARRAY(FR_RBICS_REV_MATRIX_CURRENT(\"IND\"),1,9))[13:13]);FLOAT_ARRAY PCT=TRANSPOSE(TRANSPOSE(SA_SUBARRAY(FR_RBICS_REV_MATRIX_CURRENT(\"IND\"),1,9))[14:14]);SORT_INDIRECT(NAME,PCT,2)[0:4]":["Finance Industry Software",null,null,null,null],"RBRK-US^STRING_ARRAY NAME= TRANSPOSE(TRANSPOSE(SA_SUBARRAY(FR_RBICS_REV_MATRIX_CURRENT(\"IND\"),1,9))[14:14]);FLOAT_ARRAY PCT=TRANSPOSE(TRANSPOSE(SA_SUBARRAY(FR_RBICS_REV_MATRIX_CURRENT(\"IND\"),1,9))[14:14]);SORT_INDIRECT(NAME,PCT,2)[0:4]":["100.000000",null,null,null,null],"RBRK-US^STRING_ARRAY NAME= TRANSPOSE(TRANSPOSE(SA_SUBARRAY(FR_RBICS_REV_MATRIX_CURRENT(\"IND\"),1,9))[13:13]);FLOAT_ARRAY PCT=TRANSPOSE(TRANSPOSE(SA_SUBARRAY(FR_RBICS_REV_MATRIX_CURRENT(\"IND\"),1,9))[14:14]);SORT_INDIRECT(NAME,PCT,2)[0:4]":["Network Infrastructure Software",null,null,null,null],"MSFT-US^STRING_ARRAY NAME= TRANSPOSE(TRANSPOSE(SA_SUBARRAY(FR_RBICS_REV_MATRIX_CURRENT(\"IND\"),1,9))[14:14]);FLOAT_ARRAY PCT=TRANSPOSE(TRANSPOSE(SA_SUBARRAY(FR_RBICS_REV_MATRIX_CURRENT(\"IND\"),1,9))[14:14]);SORT_INDIRECT(NAME,PCT,2)[0:4]":["34.940226","33.781644","8.325524","6.322500","6.145731"],"MSFT-US^STRING_ARRAY NAME= TRANSPOSE(TRANSPOSE(SA_SUBARRAY(FR_RBICS_REV_MATRIX_CURRENT(\"IND\"),1,9))[13:13]);FLOAT_ARRAY PCT=TRANSPOSE(TRANSPOSE(SA_SUBARRAY(FR_RBICS_REV_MATRIX_CURRENT(\"IND\"),1,9))[14:14]);SORT_INDIRECT(NAME,PCT,2)[0:4]":["Diversified IT Infrastructure Software","Productivity Software","Electronic Gaming/Entertainment Electronics Makers","Consumer Content Providers","Multi-Type Home and Office Software"],"VERX-US^STRING_ARRAY NAME= TRANSPOSE(TRANSPOSE(SA_SUBARRAY(FR_RBICS_REV_MATRIX_CURRENT(\"IND\"),1,9))[14:14]);FLOAT_ARRAY PCT=TRANSPOSE(TRANSPOSE(SA_SUBARRAY(FR_RBICS_REV_MATRIX_CURRENT(\"IND\"),1,9))[14:14]);SORT_INDIRECT(NAME,PCT,2)[0:4]":["100.000000",null,null,null,null],"VERX-US^STRING_ARRAY NAME= TRANSPOSE(TRANSPOSE(SA_SUBARRAY(FR_RBICS_REV_MATRIX_CURRENT(\"IND\"),1,9))[13:13]);FLOAT_ARRAY PCT=TRANSPOSE(TRANSPOSE(SA_SUBARRAY(FR_RBICS_REV_MATRIX_CURRENT(\"IND\"),1,9))[14:14]);SORT_INDIRECT(NAME,PCT,2)[0:4]":["Enterprise Resource Planning Software",null,null,null,null],"QTWO-US^STRING_ARRAY NAME= TRANSPOSE(TRANSPOSE(SA_SUBARRAY(FR_RBICS_REV_MATRIX_CURRENT(\"IND\"),1,9))[14:14]);FLOAT_ARRAY PCT=TRANSPOSE(TRANSPOSE(SA_SUBARRAY(FR_RBICS_REV_MATRIX_CURRENT(\"IND\"),1,9))[14:14]);SORT_INDIRECT(NAME,PCT,2)[0:4]":["100.000000",null,null,null,null],"QTWO-US^STRING_ARRAY NAME= TRANSPOSE(TRANSPOSE(SA_SUBARRAY(FR_RBICS_REV_MATRIX_CURRENT(\"IND\"),1,9))[13:13]);FLOAT_ARRAY PCT=TRANSPOSE(TRANSPOSE(SA_SUBARRAY(FR_RBICS_REV_MATRIX_CURRENT(\"IND\"),1,9))[14:14]);SORT_INDIRECT(NAME,PCT,2)[0:4]":["Finance Industry Software",null,null,null,null],"APPF-US^STRING_ARRAY NAME= TRANSPOSE(TRANSPOSE(SA_SUBARRAY(FR_RBICS_REV_MATRIX_CURRENT(\"IND\"),1,9))[14:14]);FLOAT_ARRAY PCT=TRANSPOSE(TRANSPOSE(SA_SUBARRAY(FR_RBICS_REV_MATRIX_CURRENT(\"IND\"),1,9))[14:14]);SORT_INDIRECT(NAME,PCT,2)[0:4]":["98.126253","1.873747",null,null,null],"APPF-US^STRING_ARRAY NAME= TRANSPOSE(TRANSPOSE(SA_SUBARRAY(FR_RBICS_REV_MATRIX_CURRENT(\"IND\"),1,9))[13:13]);FLOAT_ARRAY PCT=TRANSPOSE(TRANSPOSE(SA_SUBARRAY(FR_RBICS_REV_MATRIX_CURRENT(\"IND\"),1,9))[14:14]);SORT_INDIRECT(NAME,PCT,2)[0:4]":["Other Real Estate Investment and Services","General or Multi-Industry Revenue",null,null,null],"PAYX-US^STRING_ARRAY NAME= TRANSPOSE(TRANSPOSE(SA_SUBARRAY(FR_RBICS_REV_MATRIX_CURRENT(\"IND\"),1,9))[14:14]);FLOAT_ARRAY PCT=TRANSPOSE(TRANSPOSE(SA_SUBARRAY(FR_RBICS_REV_MATRIX_CURRENT(\"IND\"),1,9))[14:14]);SORT_INDIRECT(NAME,PCT,2)[0:4]":["97.097834","2.902166",null,null,null],"PAYX-US^STRING_ARRAY NAME= TRANSPOSE(TRANSPOSE(SA_SUBARRAY(FR_RBICS_REV_MATRIX_CURRENT(\"IND\"),1,9))[13:13]);FLOAT_ARRAY PCT=TRANSPOSE(TRANSPOSE(SA_SUBARRAY(FR_RBICS_REV_MATRIX_CURRENT(\"IND\"),1,9))[14:14]);SORT_INDIRECT(NAME,PCT,2)[0:4]":["Enterprise Resource Planning Software","Corporate or Other Unallocated Revenue",null,null,null],"SPSC-US^STRING_ARRAY NAME= TRANSPOSE(TRANSPOSE(SA_SUBARRAY(FR_RBICS_REV_MATRIX_CURRENT(\"IND\"),1,9))[14:14]);FLOAT_ARRAY PCT=TRANSPOSE(TRANSPOSE(SA_SUBARRAY(FR_RBICS_REV_MATRIX_CURRENT(\"IND\"),1,9))[14:14]);SORT_INDIRECT(NAME,PCT,2)[0:4]":["91.263710","8.736290",null,null,null],"SPSC-US^STRING_ARRAY NAME= TRANSPOSE(TRANSPOSE(SA_SUBARRAY(FR_RBICS_REV_MATRIX_CURRENT(\"IND\"),1,9))[13:13]);FLOAT_ARRAY PCT=TRANSPOSE(TRANSPOSE(SA_SUBARRAY(FR_RBICS_REV_MATRIX_CURRENT(\"IND\"),1,9))[14:14]);SORT_INDIRECT(NAME,PCT,2)[0:4]":["Enterprise Resource Planning Software","Retail Industry Software",null,null,null],"PANW-US^STRING_ARRAY NAME= TRANSPOSE(TRANSPOSE(SA_SUBARRAY(FR_RBICS_REV_MATRIX_CURRENT(\"IND\"),1,9))[14:14]);FLOAT_ARRAY PCT=TRANSPOSE(TRANSPOSE(SA_SUBARRAY(FR_RBICS_REV_MATRIX_CURRENT(\"IND\"),1,9))[14:14]);SORT_INDIRECT(NAME,PCT,2)[0:4]":["53.943502","46.056498",null,null,null],"PANW-US^STRING_ARRAY NAME= TRANSPOSE(TRANSPOSE(SA_SUBARRAY(FR_RBICS_REV_MATRIX_CURRENT(\"IND\"),1,9))[13:13]);FLOAT_ARRAY PCT=TRANSPOSE(TRANSPOSE(SA_SUBARRAY(FR_RBICS_REV_MATRIX_CURRENT(\"IND\"),1,9))[14:14]);SORT_INDIRECT(NAME,PCT,2)[0:4]":["Network Infrastructure Software","Customer Premises Network Security Equipment",null,null,null],"301269-CN^STRING_ARRAY NAME= TRANSPOSE(TRANSPOSE(SA_SUBARRAY(FR_RBICS_REV_MATRIX_CURRENT(\"IND\"),1,9))[14:14]);FLOAT_ARRAY PCT=TRANSPOSE(TRANSPOSE(SA_SUBARRAY(FR_RBICS_REV_MATRIX_CURRENT(\"IND\"),1,9))[14:14]);SORT_INDIRECT(NAME,PCT,2)[0:4]":["90.586389","9.413611",null,null,null],"301269-CN^STRING_ARRAY NAME= TRANSPOSE(TRANSPOSE(SA_SUBARRAY(FR_RBICS_REV_MATRIX_CURRENT(\"IND\"),1,9))[13:13]);FLOAT_ARRAY PCT=TRANSPOSE(TRANSPOSE(SA_SUBARRAY(FR_RBICS_REV_MATRIX_CURRENT(\"IND\"),1,9))[14:14]);SORT_INDIRECT(NAME,PCT,2)[0:4]":["Electronic Design Automation Software","Other Design and Engineering Software",null,null,null],"OS-US^STRING_ARRAY NAME= TRANSPOSE(TRANSPOSE(SA_SUBARRAY(FR_RBICS_REV_MATRIX_CURRENT(\"IND\"),1,9))[14:14]);FLOAT_ARRAY PCT=TRANSPOSE(TRANSPOSE(SA_SUBARRAY(FR_RBICS_REV_MATRIX_CURRENT(\"IND\"),1,9))[14:14]);SORT_INDIRECT(NAME,PCT,2)[0:4]":["100.000000",null,null,null,null],"OS-US^STRING_ARRAY NAME= TRANSPOSE(TRANSPOSE(SA_SUBARRAY(FR_RBICS_REV_MATRIX_CURRENT(\"IND\"),1,9))[13:13]);FLOAT_ARRAY PCT=TRANSPOSE(TRANSPOSE(SA_SUBARRAY(FR_RBICS_REV_MATRIX_CURRENT(\"IND\"),1,9))[14:14]);SORT_INDIRECT(NAME,PCT,2)[0:4]":["Enterprise Resource Planning Software",null,null,null,null],"BSY-US^STRING_ARRAY NAME= TRANSPOSE(TRANSPOSE(SA_SUBARRAY(FR_RBICS_REV_MATRIX_CURRENT(\"IND\"),1,9))[14:14]);FLOAT_ARRAY PCT=TRANSPOSE(TRANSPOSE(SA_SUBARRAY(FR_RBICS_REV_MATRIX_CURRENT(\"IND\"),1,9))[14:14]);SORT_INDIRECT(NAME,PCT,2)[0:4]":["100.000000",null,null,null,null],"BSY-US^STRING_ARRAY NAME= TRANSPOSE(TRANSPOSE(SA_SUBARRAY(FR_RBICS_REV_MATRIX_CURRENT(\"IND\"),1,9))[13:13]);FLOAT_ARRAY PCT=TRANSPOSE(TRANSPOSE(SA_SUBARRAY(FR_RBICS_REV_MATRIX_CURRENT(\"IND\"),1,9))[14:14]);SORT_INDIRECT(NAME,PCT,2)[0:4]":["Computer Aided Design Software",null,null,null,null],"4684-JP^STRING_ARRAY NAME= TRANSPOSE(TRANSPOSE(SA_SUBARRAY(FR_RBICS_REV_MATRIX_CURRENT(\"IND\"),1,9))[14:14]);FLOAT_ARRAY PCT=TRANSPOSE(TRANSPOSE(SA_SUBARRAY(FR_RBICS_REV_MATRIX_CURRENT(\"IND\"),1,9))[14:14]);SORT_INDIRECT(NAME,PCT,2)[0:4]":["93.498792","6.501208",null,null,null],"4684-JP^STRING_ARRAY NAME= TRANSPOSE(TRANSPOSE(SA_SUBARRAY(FR_RBICS_REV_MATRIX_CURRENT(\"IND\"),1,9))[13:13]);FLOAT_ARRAY PCT=TRANSPOSE(TRANSPOSE(SA_SUBARRAY(FR_RBICS_REV_MATRIX_CURRENT(\"IND\"),1,9))[14:14]);SORT_INDIRECT(NAME,PCT,2)[0:4]":["Enterprise Resource Planning Software","Diversified Hardware Distributors",null,null,null],"NICE-US^STRING_ARRAY NAME= TRANSPOSE(TRANSPOSE(SA_SUBARRAY(FR_RBICS_REV_MATRIX_CURRENT(\"IND\"),1,9))[14:14]);FLOAT_ARRAY PCT=TRANSPOSE(TRANSPOSE(SA_SUBARRAY(FR_RBICS_REV_MATRIX_CURRENT(\"IND\"),1,9))[14:14]);SORT_INDIRECT(NAME,PCT,2)[0:4]":["83.420625","16.579375",null,null,null],"NICE-US^STRING_ARRAY NAME= TRANSPOSE(TRANSPOSE(SA_SUBARRAY(FR_RBICS_REV_MATRIX_CURRENT(\"IND\"),1,9))[13:13]);FLOAT_ARRAY PCT=TRANSPOSE(TRANSPOSE(SA_SUBARRAY(FR_RBICS_REV_MATRIX_CURRENT(\"IND\"),1,9))[14:14]);SORT_INDIRECT(NAME,PCT,2)[0:4]":["Customer Relationship Management Software","Enterprise Resource Planning Software",null,null,null],"TOST-US^STRING_ARRAY NAME= TRANSPOSE(TRANSPOSE(SA_SUBARRAY(FR_RBICS_REV_MATRIX_CURRENT(\"IND\"),1,9))[14:14]);FLOAT_ARRAY PCT=TRANSPOSE(TRANSPOSE(SA_SUBARRAY(FR_RBICS_REV_MATRIX_CURRENT(\"IND\"),1,9))[14:14]);SORT_INDIRECT(NAME,PCT,2)[0:4]":["95.947581","4.052419",null,null,null],"TOST-US^STRING_ARRAY NAME= TRANSPOSE(TRANSPOSE(SA_SUBARRAY(FR_RBICS_REV_MATRIX_CURRENT(\"IND\"),1,9))[13:13]);FLOAT_ARRAY PCT=TRANSPOSE(TRANSPOSE(SA_SUBARRAY(FR_RBICS_REV_MATRIX_CURRENT(\"IND\"),1,9))[14:14]);SORT_INDIRECT(NAME,PCT,2)[0:4]":["Retail Industry Software","Point-of-Sale (POS) Terminal Manufacturing",null,null,null],"DDOG-US^STRING_ARRAY NAME= TRANSPOSE(TRANSPOSE(SA_SUBARRAY(FR_RBICS_REV_MATRIX_CURRENT(\"IND\"),1,9))[14:14]);FLOAT_ARRAY PCT=TRANSPOSE(TRANSPOSE(SA_SUBARRAY(FR_RBICS_REV_MATRIX_CURRENT(\"IND\"),1,9))[14:14]);SORT_INDIRECT(NAME,PCT,2)[0:4]":["100.000000",null,null,null,null],"DDOG-US^STRING_ARRAY NAME= TRANSPOSE(TRANSPOSE(SA_SUBARRAY(FR_RBICS_REV_MATRIX_CURRENT(\"IND\"),1,9))[13:13]);FLOAT_ARRAY PCT=TRANSPOSE(TRANSPOSE(SA_SUBARRAY(FR_RBICS_REV_MATRIX_CURRENT(\"IND\"),1,9))[14:14]);SORT_INDIRECT(NAME,PCT,2)[0:4]":["Network Infrastructure Software",null,null,null,null],"VRNS-US^STRING_ARRAY NAME= TRANSPOSE(TRANSPOSE(SA_SUBARRAY(FR_RBICS_REV_MATRIX_CURRENT(\"IND\"),1,9))[14:14]);FLOAT_ARRAY PCT=TRANSPOSE(TRANSPOSE(SA_SUBARRAY(FR_RBICS_REV_MATRIX_CURRENT(\"IND\"),1,9))[14:14]);SORT_INDIRECT(NAME,PCT,2)[0:4]":["100.000000",null,null,null,null],"VRNS-US^STRING_ARRAY NAME= TRANSPOSE(TRANSPOSE(SA_SUBARRAY(FR_RBICS_REV_MATRIX_CURRENT(\"IND\"),1,9))[13:13]);FLOAT_ARRAY PCT=TRANSPOSE(TRANSPOSE(SA_SUBARRAY(FR_RBICS_REV_MATRIX_CURRENT(\"IND\"),1,9))[14:14]);SORT_INDIRECT(NAME,PCT,2)[0:4]":["Network Infrastructure Software",null,null,null,null],"SAP-DE^STRING_ARRAY NAME= TRANSPOSE(TRANSPOSE(SA_SUBARRAY(FR_RBICS_REV_MATRIX_CURRENT(\"IND\"),1,9))[14:14]);FLOAT_ARRAY PCT=TRANSPOSE(TRANSPOSE(SA_SUBARRAY(FR_RBICS_REV_MATRIX_CURRENT(\"IND\"),1,9))[14:14]);SORT_INDIRECT(NAME,PCT,2)[0:4]":["100.000000",null,null,null,null],"SAP-DE^STRING_ARRAY NAME= TRANSPOSE(TRANSPOSE(SA_SUBARRAY(FR_RBICS_REV_MATRIX_CURRENT(\"IND\"),1,9))[13:13]);FLOAT_ARRAY PCT=TRANSPOSE(TRANSPOSE(SA_SUBARRAY(FR_RBICS_REV_MATRIX_CURRENT(\"IND\"),1,9))[14:14]);SORT_INDIRECT(NAME,PCT,2)[0:4]":["General Enterprise Management Software",null,null,null,null],"DSY-FR^STRING_ARRAY NAME= TRANSPOSE(TRANSPOSE(SA_SUBARRAY(FR_RBICS_REV_MATRIX_CURRENT(\"IND\"),1,9))[14:14]);FLOAT_ARRAY PCT=TRANSPOSE(TRANSPOSE(SA_SUBARRAY(FR_RBICS_REV_MATRIX_CURRENT(\"IND\"),1,9))[14:14]);SORT_INDIRECT(NAME,PCT,2)[0:4]":["100.000000",null,null,null,null],"DSY-FR^STRING_ARRAY NAME= TRANSPOSE(TRANSPOSE(SA_SUBARRAY(FR_RBICS_REV_MATRIX_CURRENT(\"IND\"),1,9))[13:13]);FLOAT_ARRAY PCT=TRANSPOSE(TRANSPOSE(SA_SUBARRAY(FR_RBICS_REV_MATRIX_CURRENT(\"IND\"),1,9))[14:14]);SORT_INDIRECT(NAME,PCT,2)[0:4]":["Computer Aided Design Software",null,null,null,null],"PTC-US^STRING_ARRAY NAME= TRANSPOSE(TRANSPOSE(SA_SUBARRAY(FR_RBICS_REV_MATRIX_CURRENT(\"IND\"),1,9))[14:14]);FLOAT_ARRAY PCT=TRANSPOSE(TRANSPOSE(SA_SUBARRAY(FR_RBICS_REV_MATRIX_CURRENT(\"IND\"),1,9))[14:14]);SORT_INDIRECT(NAME,PCT,2)[0:4]":["63.569417","36.430583",null,null,null],"PTC-US^STRING_ARRAY NAME= TRANSPOSE(TRANSPOSE(SA_SUBARRAY(FR_RBICS_REV_MATRIX_CURRENT(\"IND\"),1,9))[13:13]);FLOAT_ARRAY PCT=TRANSPOSE(TRANSPOSE(SA_SUBARRAY(FR_RBICS_REV_MATRIX_CURRENT(\"IND\"),1,9))[14:14]);SORT_INDIRECT(NAME,PCT,2)[0:4]":["Manufacturing Industry Software","Computer Aided Design Software",null,null,null],"S-US^STRING_ARRAY NAME= TRANSPOSE(TRANSPOSE(SA_SUBARRAY(FR_RBICS_REV_MATRIX_CURRENT(\"IND\"),1,9))[14:14]);FLOAT_ARRAY PCT=TRANSPOSE(TRANSPOSE(SA_SUBARRAY(FR_RBICS_REV_MATRIX_CURRENT(\"IND\"),1,9))[14:14]);SORT_INDIRECT(NAME,PCT,2)[0:4]":["100.000000",null,null,null,null],"S-US^STRING_ARRAY NAME= TRANSPOSE(TRANSPOSE(SA_SUBARRAY(FR_RBICS_REV_MATRIX_CURRENT(\"IND\"),1,9))[13:13]);FLOAT_ARRAY PCT=TRANSPOSE(TRANSPOSE(SA_SUBARRAY(FR_RBICS_REV_MATRIX_CURRENT(\"IND\"),1,9))[14:14]);SORT_INDIRECT(NAME,PCT,2)[0:4]":["Network Infrastructure Software",null,null,null,null],"IOT-US^STRING_ARRAY NAME= TRANSPOSE(TRANSPOSE(SA_SUBARRAY(FR_RBICS_REV_MATRIX_CURRENT(\"IND\"),1,9))[14:14]);FLOAT_ARRAY PCT=TRANSPOSE(TRANSPOSE(SA_SUBARRAY(FR_RBICS_REV_MATRIX_CURRENT(\"IND\"),1,9))[14:14]);SORT_INDIRECT(NAME,PCT,2)[0:4]":["98.125039","1.874961",null,null,null],"IOT-US^STRING_ARRAY NAME= TRANSPOSE(TRANSPOSE(SA_SUBARRAY(FR_RBICS_REV_MATRIX_CURRENT(\"IND\"),1,9))[13:13]);FLOAT_ARRAY PCT=TRANSPOSE(TRANSPOSE(SA_SUBARRAY(FR_RBICS_REV_MATRIX_CURRENT(\"IND\"),1,9))[14:14]);SORT_INDIRECT(NAME,PCT,2)[0:4]":["Asset Management Software","Automotive and Marine Electronics Manufacturing",null,null,null],"CDNS-US^STRING_ARRAY NAME= TRANSPOSE(TRANSPOSE(SA_SUBARRAY(FR_RBICS_REV_MATRIX_CURRENT(\"IND\"),1,9))[14:14]);FLOAT_ARRAY PCT=TRANSPOSE(TRANSPOSE(SA_SUBARRAY(FR_RBICS_REV_MATRIX_CURRENT(\"IND\"),1,9))[14:14]);SORT_INDIRECT(NAME,PCT,2)[0:4]":["84.000000","16.000000",null,null,null],"CDNS-US^STRING_ARRAY NAME= TRANSPOSE(TRANSPOSE(SA_SUBARRAY(FR_RBICS_REV_MATRIX_CURRENT(\"IND\"),1,9))[13:13]);FLOAT_ARRAY PCT=TRANSPOSE(TRANSPOSE(SA_SUBARRAY(FR_RBICS_REV_MATRIX_CURRENT(\"IND\"),1,9))[14:14]);SORT_INDIRECT(NAME,PCT,2)[0:4]":["Electronic Design Automation Software","Other Design and Engineering Software",null,null,null],"PCTY-US^STRING_ARRAY NAME= TRANSPOSE(TRANSPOSE(SA_SUBARRAY(FR_RBICS_REV_MATRIX_CURRENT(\"IND\"),1,9))[14:14]);FLOAT_ARRAY PCT=TRANSPOSE(TRANSPOSE(SA_SUBARRAY(FR_RBICS_REV_MATRIX_CURRENT(\"IND\"),1,9))[14:14]);SORT_INDIRECT(NAME,PCT,2)[0:4]":["92.263141","7.736859",null,null,null],"PCTY-US^STRING_ARRAY NAME= TRANSPOSE(TRANSPOSE(SA_SUBARRAY(FR_RBICS_REV_MATRIX_CURRENT(\"IND\"),1,9))[13:13]);FLOAT_ARRAY PCT=TRANSPOSE(TRANSPOSE(SA_SUBARRAY(FR_RBICS_REV_MATRIX_CURRENT(\"IND\"),1,9))[14:14]);SORT_INDIRECT(NAME,PCT,2)[0:4]":["Enterprise Resource Planning Software","Proprietary Trading",null,null,null],"PEGA-US^STRING_ARRAY NAME= TRANSPOSE(TRANSPOSE(SA_SUBARRAY(FR_RBICS_REV_MATRIX_CURRENT(\"IND\"),1,9))[14:14]);FLOAT_ARRAY PCT=TRANSPOSE(TRANSPOSE(SA_SUBARRAY(FR_RBICS_REV_MATRIX_CURRENT(\"IND\"),1,9))[14:14]);SORT_INDIRECT(NAME,PCT,2)[0:4]":["100.000000",null,null,null,null],"PEGA-US^STRING_ARRAY NAME= TRANSPOSE(TRANSPOSE(SA_SUBARRAY(FR_RBICS_REV_MATRIX_CURRENT(\"IND\"),1,9))[13:13]);FLOAT_ARRAY PCT=TRANSPOSE(TRANSPOSE(SA_SUBARRAY(FR_RBICS_REV_MATRIX_CURRENT(\"IND\"),1,9))[14:14]);SORT_INDIRECT(NAME,PCT,2)[0:4]":["Customer Relationship Management Software",null,null,null,null],"VEEV-US^STRING_ARRAY NAME= TRANSPOSE(TRANSPOSE(SA_SUBARRAY(FR_RBICS_REV_MATRIX_CURRENT(\"IND\"),1,9))[14:14]);FLOAT_ARRAY PCT=TRANSPOSE(TRANSPOSE(SA_SUBARRAY(FR_RBICS_REV_MATRIX_CURRENT(\"IND\"),1,9))[14:14]);SORT_INDIRECT(NAME,PCT,2)[0:4]":["100.000000",null,null,null,null],"VEEV-US^STRING_ARRAY NAME= TRANSPOSE(TRANSPOSE(SA_SUBARRAY(FR_RBICS_REV_MATRIX_CURRENT(\"IND\"),1,9))[13:13]);FLOAT_ARRAY PCT=TRANSPOSE(TRANSPOSE(SA_SUBARRAY(FR_RBICS_REV_MATRIX_CURRENT(\"IND\"),1,9))[14:14]);SORT_INDIRECT(NAME,PCT,2)[0:4]":["Healthcare and Pharma Industry Software",null,null,null,null],"ZS-US^STRING_ARRAY NAME= TRANSPOSE(TRANSPOSE(SA_SUBARRAY(FR_RBICS_REV_MATRIX_CURRENT(\"IND\"),1,9))[14:14]);FLOAT_ARRAY PCT=TRANSPOSE(TRANSPOSE(SA_SUBARRAY(FR_RBICS_REV_MATRIX_CURRENT(\"IND\"),1,9))[14:14]);SORT_INDIRECT(NAME,PCT,2)[0:4]":["100.000000",null,null,null,null],"ZS-US^STRING_ARRAY NAME= TRANSPOSE(TRANSPOSE(SA_SUBARRAY(FR_RBICS_REV_MATRIX_CURRENT(\"IND\"),1,9))[13:13]);FLOAT_ARRAY PCT=TRANSPOSE(TRANSPOSE(SA_SUBARRAY(FR_RBICS_REV_MATRIX_CURRENT(\"IND\"),1,9))[14:14]);SORT_INDIRECT(NAME,PCT,2)[0:4]":["Network Infrastructure Software",null,null,null,null],"INTA-US^STRING_ARRAY NAME= TRANSPOSE(TRANSPOSE(SA_SUBARRAY(FR_RBICS_REV_MATRIX_CURRENT(\"IND\"),1,9))[14:14]);FLOAT_ARRAY PCT=TRANSPOSE(TRANSPOSE(SA_SUBARRAY(FR_RBICS_REV_MATRIX_CURRENT(\"IND\"),1,9))[14:14]);SORT_INDIRECT(NAME,PCT,2)[0:4]":["100.000000",null,null,null,null],"INTA-US^STRING_ARRAY NAME= TRANSPOSE(TRANSPOSE(SA_SUBARRAY(FR_RBICS_REV_MATRIX_CURRENT(\"IND\"),1,9))[13:13]);FLOAT_ARRAY PCT=TRANSPOSE(TRANSPOSE(SA_SUBARRAY(FR_RBICS_REV_MATRIX_CURRENT(\"IND\"),1,9))[14:14]);SORT_INDIRECT(NAME,PCT,2)[0:4]":["Finance Industry Software",null,null,null,null],"PCOR-US^STRING_ARRAY NAME= TRANSPOSE(TRANSPOSE(SA_SUBARRAY(FR_RBICS_REV_MATRIX_CURRENT(\"IND\"),1,9))[14:14]);FLOAT_ARRAY PCT=TRANSPOSE(TRANSPOSE(SA_SUBARRAY(FR_RBICS_REV_MATRIX_CURRENT(\"IND\"),1,9))[14:14]);SORT_INDIRECT(NAME,PCT,2)[0:4]":["100.000000",null,null,null,null],"PCOR-US^STRING_ARRAY NAME= TRANSPOSE(TRANSPOSE(SA_SUBARRAY(FR_RBICS_REV_MATRIX_CURRENT(\"IND\"),1,9))[13:13]);FLOAT_ARRAY PCT=TRANSPOSE(TRANSPOSE(SA_SUBARRAY(FR_RBICS_REV_MATRIX_CURRENT(\"IND\"),1,9))[14:14]);SORT_INDIRECT(NAME,PCT,2)[0:4]":["Other Real Estate Investment and Services",null,null,null,null],"BL-US^STRING_ARRAY NAME= TRANSPOSE(TRANSPOSE(SA_SUBARRAY(FR_RBICS_REV_MATRIX_CURRENT(\"IND\"),1,9))[14:14]);FLOAT_ARRAY PCT=TRANSPOSE(TRANSPOSE(SA_SUBARRAY(FR_RBICS_REV_MATRIX_CURRENT(\"IND\"),1,9))[14:14]);SORT_INDIRECT(NAME,PCT,2)[0:4]":["100.000000",null,null,null,null],"BL-US^STRING_ARRAY NAME= TRANSPOSE(TRANSPOSE(SA_SUBARRAY(FR_RBICS_REV_MATRIX_CURRENT(\"IND\"),1,9))[13:13]);FLOAT_ARRAY PCT=TRANSPOSE(TRANSPOSE(SA_SUBARRAY(FR_RBICS_REV_MATRIX_CURRENT(\"IND\"),1,9))[14:14]);SORT_INDIRECT(NAME,PCT,2)[0:4]":["Enterprise Resource Planning Software",null,null,null,null],"CRM-US^STRING_ARRAY NAME= TRANSPOSE(TRANSPOSE(SA_SUBARRAY(FR_RBICS_REV_MATRIX_CURRENT(\"IND\"),1,9))[14:14]);FLOAT_ARRAY PCT=TRANSPOSE(TRANSPOSE(SA_SUBARRAY(FR_RBICS_REV_MATRIX_CURRENT(\"IND\"),1,9))[14:14]);SORT_INDIRECT(NAME,PCT,2)[0:4]":["80.876105","19.123895",null,null,null],"CRM-US^STRING_ARRAY NAME= TRANSPOSE(TRANSPOSE(SA_SUBARRAY(FR_RBICS_REV_MATRIX_CURRENT(\"IND\"),1,9))[13:13]);FLOAT_ARRAY PCT=TRANSPOSE(TRANSPOSE(SA_SUBARRAY(FR_RBICS_REV_MATRIX_CURRENT(\"IND\"),1,9))[14:14]);SORT_INDIRECT(NAME,PCT,2)[0:4]":["Customer Relationship Management Software","Specialized Design and Engineering Software",null,null,null],"PAYC-US^STRING_ARRAY NAME= TRANSPOSE(TRANSPOSE(SA_SUBARRAY(FR_RBICS_REV_MATRIX_CURRENT(\"IND\"),1,9))[14:14]);FLOAT_ARRAY PCT=TRANSPOSE(TRANSPOSE(SA_SUBARRAY(FR_RBICS_REV_MATRIX_CURRENT(\"IND\"),1,9))[14:14]);SORT_INDIRECT(NAME,PCT,2)[0:4]":["100.000000",null,null,null,null],"PAYC-US^STRING_ARRAY NAME= TRANSPOSE(TRANSPOSE(SA_SUBARRAY(FR_RBICS_REV_MATRIX_CURRENT(\"IND\"),1,9))[13:13]);FLOAT_ARRAY PCT=TRANSPOSE(TRANSPOSE(SA_SUBARRAY(FR_RBICS_REV_MATRIX_CURRENT(\"IND\"),1,9))[14:14]);SORT_INDIRECT(NAME,PCT,2)[0:4]":["Enterprise Resource Planning Software",null,null,null,null],"FTNT-US^STRING_ARRAY NAME= TRANSPOSE(TRANSPOSE(SA_SUBARRAY(FR_RBICS_REV_MATRIX_CURRENT(\"IND\"),1,9))[14:14]);FLOAT_ARRAY PCT=TRANSPOSE(TRANSPOSE(SA_SUBARRAY(FR_RBICS_REV_MATRIX_CURRENT(\"IND\"),1,9))[14:14]);SORT_INDIRECT(NAME,PCT,2)[0:4]":["67.952248","32.047752",null,null,null],"FTNT-US^STRING_ARRAY NAME= TRANSPOSE(TRANSPOSE(SA_SUBARRAY(FR_RBICS_REV_MATRIX_CURRENT(\"IND\"),1,9))[13:13]);FLOAT_ARRAY PCT=TRANSPOSE(TRANSPOSE(SA_SUBARRAY(FR_RBICS_REV_MATRIX_CURRENT(\"IND\"),1,9))[14:14]);SORT_INDIRECT(NAME,PCT,2)[0:4]":["Network Infrastructure Software","Customer Premises Network Security Equipment",null,null,null],"ESTC-US^STRING_ARRAY NAME= TRANSPOSE(TRANSPOSE(SA_SUBARRAY(FR_RBICS_REV_MATRIX_CURRENT(\"IND\"),1,9))[14:14]);FLOAT_ARRAY PCT=TRANSPOSE(TRANSPOSE(SA_SUBARRAY(FR_RBICS_REV_MATRIX_CURRENT(\"IND\"),1,9))[14:14]);SORT_INDIRECT(NAME,PCT,2)[0:4]":["100.000000",null,null,null,null],"ESTC-US^STRING_ARRAY NAME= TRANSPOSE(TRANSPOSE(SA_SUBARRAY(FR_RBICS_REV_MATRIX_CURRENT(\"IND\"),1,9))[13:13]);FLOAT_ARRAY PCT=TRANSPOSE(TRANSPOSE(SA_SUBARRAY(FR_RBICS_REV_MATRIX_CURRENT(\"IND\"),1,9))[14:14]);SORT_INDIRECT(NAME,PCT,2)[0:4]":["Business Intelligence Software",null,null,null,null],"ADSK-US^STRING_ARRAY NAME= TRANSPOSE(TRANSPOSE(SA_SUBARRAY(FR_RBICS_REV_MATRIX_CURRENT(\"IND\"),1,9))[14:14]);FLOAT_ARRAY PCT=TRANSPOSE(TRANSPOSE(SA_SUBARRAY(FR_RBICS_REV_MATRIX_CURRENT(\"IND\"),1,9))[14:14]);SORT_INDIRECT(NAME,PCT,2)[0:4]":["92.937531","5.137824","1.924645",null,null],"ADSK-US^STRING_ARRAY NAME= TRANSPOSE(TRANSPOSE(SA_SUBARRAY(FR_RBICS_REV_MATRIX_CURRENT(\"IND\"),1,9))[13:13]);FLOAT_ARRAY PCT=TRANSPOSE(TRANSPOSE(SA_SUBARRAY(FR_RBICS_REV_MATRIX_CURRENT(\"IND\"),1,9))[14:14]);SORT_INDIRECT(NAME,PCT,2)[0:4]":["Computer Aided Design Software","Specialized Design and Engineering Software","Other Design and Engineering Software",null,null],"AVPT-US^STRING_ARRAY NAME= TRANSPOSE(TRANSPOSE(SA_SUBARRAY(FR_RBICS_REV_MATRIX_CURRENT(\"IND\"),1,9))[14:14]);FLOAT_ARRAY PCT=TRANSPOSE(TRANSPOSE(SA_SUBARRAY(FR_RBICS_REV_MATRIX_CURRENT(\"IND\"),1,9))[14:14]);SORT_INDIRECT(NAME,PCT,2)[0:4]":["86.675220","13.324780",null,null,null],"AVPT-US^STRING_ARRAY NAME= TRANSPOSE(TRANSPOSE(SA_SUBARRAY(FR_RBICS_REV_MATRIX_CURRENT(\"IND\"),1,9))[13:13]);FLOAT_ARRAY PCT=TRANSPOSE(TRANSPOSE(SA_SUBARRAY(FR_RBICS_REV_MATRIX_CURRENT(\"IND\"),1,9))[14:14]);SORT_INDIRECT(NAME,PCT,2)[0:4]":["Data Storage Infrastructure Software","Software Design and Engineering Consulting",null,null,null],"INTU-US^STRING_ARRAY NAME= TRANSPOSE(TRANSPOSE(SA_SUBARRAY(FR_RBICS_REV_MATRIX_CURRENT(\"IND\"),1,9))[14:14]);FLOAT_ARRAY PCT=TRANSPOSE(TRANSPOSE(SA_SUBARRAY(FR_RBICS_REV_MATRIX_CURRENT(\"IND\"),1,9))[14:14]);SORT_INDIRECT(NAME,PCT,2)[0:4]":["58.823217","37.879029","3.297754",null,null],"INTU-US^STRING_ARRAY NAME= TRANSPOSE(TRANSPOSE(SA_SUBARRAY(FR_RBICS_REV_MATRIX_CURRENT(\"IND\"),1,9))[13:13]);FLOAT_ARRAY PCT=TRANSPOSE(TRANSPOSE(SA_SUBARRAY(FR_RBICS_REV_MATRIX_CURRENT(\"IND\"),1,9))[14:14]);SORT_INDIRECT(NAME,PCT,2)[0:4]":["Enterprise Resource Planning Software","Productivity Software","Accounting, Tax Preparers and Bookkeeping Services",null,null],"PATH-US^STRING_ARRAY NAME= TRANSPOSE(TRANSPOSE(SA_SUBARRAY(FR_RBICS_REV_MATRIX_CURRENT(\"IND\"),1,9))[14:14]);FLOAT_ARRAY PCT=TRANSPOSE(TRANSPOSE(SA_SUBARRAY(FR_RBICS_REV_MATRIX_CURRENT(\"IND\"),1,9))[14:14]);SORT_INDIRECT(NAME,PCT,2)[0:4]":["100.000000",null,null,null,null],"PATH-US^STRING_ARRAY NAME= TRANSPOSE(TRANSPOSE(SA_SUBARRAY(FR_RBICS_REV_MATRIX_CURRENT(\"IND\"),1,9))[13:13]);FLOAT_ARRAY PCT=TRANSPOSE(TRANSPOSE(SA_SUBARRAY(FR_RBICS_REV_MATRIX_CURRENT(\"IND\"),1,9))[14:14]);SORT_INDIRECT(NAME,PCT,2)[0:4]":["Enterprise Resource Planning Software",null,null,null,null],"WDAY-US^STRING_ARRAY NAME= TRANSPOSE(TRANSPOSE(SA_SUBARRAY(FR_RBICS_REV_MATRIX_CURRENT(\"IND\"),1,9))[14:14]);FLOAT_ARRAY PCT=TRANSPOSE(TRANSPOSE(SA_SUBARRAY(FR_RBICS_REV_MATRIX_CURRENT(\"IND\"),1,9))[14:14]);SORT_INDIRECT(NAME,PCT,2)[0:4]":["100.000000",null,null,null,null],"WDAY-US^STRING_ARRAY NAME= TRANSPOSE(TRANSPOSE(SA_SUBARRAY(FR_RBICS_REV_MATRIX_CURRENT(\"IND\"),1,9))[13:13]);FLOAT_ARRAY PCT=TRANSPOSE(TRANSPOSE(SA_SUBARRAY(FR_RBICS_REV_MATRIX_CURRENT(\"IND\"),1,9))[14:14]);SORT_INDIRECT(NAME,PCT,2)[0:4]":["Enterprise Resource Planning Software",null,null,null,null],"CVLT-US^STRING_ARRAY NAME= TRANSPOSE(TRANSPOSE(SA_SUBARRAY(FR_RBICS_REV_MATRIX_CURRENT(\"IND\"),1,9))[14:14]);FLOAT_ARRAY PCT=TRANSPOSE(TRANSPOSE(SA_SUBARRAY(FR_RBICS_REV_MATRIX_CURRENT(\"IND\"),1,9))[14:14]);SORT_INDIRECT(NAME,PCT,2)[0:4]":["100.000000",null,null,null,null],"CVLT-US^STRING_ARRAY NAME= TRANSPOSE(TRANSPOSE(SA_SUBARRAY(FR_RBICS_REV_MATRIX_CURRENT(\"IND\"),1,9))[13:13]);FLOAT_ARRAY PCT=TRANSPOSE(TRANSPOSE(SA_SUBARRAY(FR_RBICS_REV_MATRIX_CURRENT(\"IND\"),1,9))[14:14]);SORT_INDIRECT(NAME,PCT,2)[0:4]":["Data Storage Infrastructure Software",null,null,null,null],"DOCU-US^STRING_ARRAY NAME= TRANSPOSE(TRANSPOSE(SA_SUBARRAY(FR_RBICS_REV_MATRIX_CURRENT(\"IND\"),1,9))[14:14]);FLOAT_ARRAY PCT=TRANSPOSE(TRANSPOSE(SA_SUBARRAY(FR_RBICS_REV_MATRIX_CURRENT(\"IND\"),1,9))[14:14]);SORT_INDIRECT(NAME,PCT,2)[0:4]":["100.000000",null,null,null,null],"DOCU-US^STRING_ARRAY NAME= TRANSPOSE(TRANSPOSE(SA_SUBARRAY(FR_RBICS_REV_MATRIX_CURRENT(\"IND\"),1,9))[13:13]);FLOAT_ARRAY PCT=TRANSPOSE(TRANSPOSE(SA_SUBARRAY(FR_RBICS_REV_MATRIX_CURRENT(\"IND\"),1,9))[14:14]);SORT_INDIRECT(NAME,PCT,2)[0:4]":["Content Management Software",null,null,null,null],"FICO-US^STRING_ARRAY NAME= TRANSPOSE(TRANSPOSE(SA_SUBARRAY(FR_RBICS_REV_MATRIX_CURRENT(\"IND\"),1,9))[14:14]);FLOAT_ARRAY PCT=TRANSPOSE(TRANSPOSE(SA_SUBARRAY(FR_RBICS_REV_MATRIX_CURRENT(\"IND\"),1,9))[14:14]);SORT_INDIRECT(NAME,PCT,2)[0:4]":["58.696729","41.303271",null,null,null],"FICO-US^STRING_ARRAY NAME= TRANSPOSE(TRANSPOSE(SA_SUBARRAY(FR_RBICS_REV_MATRIX_CURRENT(\"IND\"),1,9))[13:13]);FLOAT_ARRAY PCT=TRANSPOSE(TRANSPOSE(SA_SUBARRAY(FR_RBICS_REV_MATRIX_CURRENT(\"IND\"),1,9))[14:14]);SORT_INDIRECT(NAME,PCT,2)[0:4]":["Other Business Administrative Services","General and Mixed-Type Software",null,null,null],"TENB-US^STRING_ARRAY NAME= TRANSPOSE(TRANSPOSE(SA_SUBARRAY(FR_RBICS_REV_MATRIX_CURRENT(\"IND\"),1,9))[14:14]);FLOAT_ARRAY PCT=TRANSPOSE(TRANSPOSE(SA_SUBARRAY(FR_RBICS_REV_MATRIX_CURRENT(\"IND\"),1,9))[14:14]);SORT_INDIRECT(NAME,PCT,2)[0:4]":["100.000000",null,null,null,null],"TENB-US^STRING_ARRAY NAME= TRANSPOSE(TRANSPOSE(SA_SUBARRAY(FR_RBICS_REV_MATRIX_CURRENT(\"IND\"),1,9))[13:13]);FLOAT_ARRAY PCT=TRANSPOSE(TRANSPOSE(SA_SUBARRAY(FR_RBICS_REV_MATRIX_CURRENT(\"IND\"),1,9))[14:14]);SORT_INDIRECT(NAME,PCT,2)[0:4]":["Network Infrastructure Software",null,null,null,null],"NOW-US^STRING_ARRAY NAME= TRANSPOSE(TRANSPOSE(SA_SUBARRAY(FR_RBICS_REV_MATRIX_CURRENT(\"IND\"),1,9))[14:14]);FLOAT_ARRAY PCT=TRANSPOSE(TRANSPOSE(SA_SUBARRAY(FR_RBICS_REV_MATRIX_CURRENT(\"IND\"),1,9))[14:14]);SORT_INDIRECT(NAME,PCT,2)[0:4]":["100.000000",null,null,null,null],"NOW-US^STRING_ARRAY NAME= TRANSPOSE(TRANSPOSE(SA_SUBARRAY(FR_RBICS_REV_MATRIX_CURRENT(\"IND\"),1,9))[13:13]);FLOAT_ARRAY PCT=TRANSPOSE(TRANSPOSE(SA_SUBARRAY(FR_RBICS_REV_MATRIX_CURRENT(\"IND\"),1,9))[14:14]);SORT_INDIRECT(NAME,PCT,2)[0:4]":["General Enterprise Management Software",null,null,null,null],"DT-US^STRING_ARRAY NAME= TRANSPOSE(TRANSPOSE(SA_SUBARRAY(FR_RBICS_REV_MATRIX_CURRENT(\"IND\"),1,9))[14:14]);FLOAT_ARRAY PCT=TRANSPOSE(TRANSPOSE(SA_SUBARRAY(FR_RBICS_REV_MATRIX_CURRENT(\"IND\"),1,9))[14:14]);SORT_INDIRECT(NAME,PCT,2)[0:4]":["100.000000",null,null,null,null],"DT-US^STRING_ARRAY NAME= TRANSPOSE(TRANSPOSE(SA_SUBARRAY(FR_RBICS_REV_MATRIX_CURRENT(\"IND\"),1,9))[13:13]);FLOAT_ARRAY PCT=TRANSPOSE(TRANSPOSE(SA_SUBARRAY(FR_RBICS_REV_MATRIX_CURRENT(\"IND\"),1,9))[14:14]);SORT_INDIRECT(NAME,PCT,2)[0:4]":["Network Infrastructure Software",null,null,null,null],"PLTR-US^STRING_ARRAY NAME= TRANSPOSE(TRANSPOSE(SA_SUBARRAY(FR_RBICS_REV_MATRIX_CURRENT(\"IND\"),1,9))[14:14]);FLOAT_ARRAY PCT=TRANSPOSE(TRANSPOSE(SA_SUBARRAY(FR_RBICS_REV_MATRIX_CURRENT(\"IND\"),1,9))[14:14]);SORT_INDIRECT(NAME,PCT,2)[0:4]":["54.775822","45.224178",null,null,null],"PLTR-US^STRING_ARRAY NAME= TRANSPOSE(TRANSPOSE(SA_SUBARRAY(FR_RBICS_REV_MATRIX_CURRENT(\"IND\"),1,9))[13:13]);FLOAT_ARRAY PCT=TRANSPOSE(TRANSPOSE(SA_SUBARRAY(FR_RBICS_REV_MATRIX_CURRENT(\"IND\"),1,9))[14:14]);SORT_INDIRECT(NAME,PCT,2)[0:4]":["Government and Not-For-Profit Industry Software","Business Intelligence Software",null,null,null],"WK-US^STRING_ARRAY NAME= TRANSPOSE(TRANSPOSE(SA_SUBARRAY(FR_RBICS_REV_MATRIX_CURRENT(\"IND\"),1,9))[14:14]);FLOAT_ARRAY PCT=TRANSPOSE(TRANSPOSE(SA_SUBARRAY(FR_RBICS_REV_MATRIX_CURRENT(\"IND\"),1,9))[14:14]);SORT_INDIRECT(NAME,PCT,2)[0:4]":["100.000000",null,null,null,null],"WK-US^STRING_ARRAY NAME= TRANSPOSE(TRANSPOSE(SA_SUBARRAY(FR_RBICS_REV_MATRIX_CURRENT(\"IND\"),1,9))[13:13]);FLOAT_ARRAY PCT=TRANSPOSE(TRANSPOSE(SA_SUBARRAY(FR_RBICS_REV_MATRIX_CURRENT(\"IND\"),1,9))[14:14]);SORT_INDIRECT(NAME,PCT,2)[0:4]":["Enterprise Resource Planning Software",null,null,null,null],"QLYS-US^STRING_ARRAY NAME= TRANSPOSE(TRANSPOSE(SA_SUBARRAY(FR_RBICS_REV_MATRIX_CURRENT(\"IND\"),1,9))[14:14]);FLOAT_ARRAY PCT=TRANSPOSE(TRANSPOSE(SA_SUBARRAY(FR_RBICS_REV_MATRIX_CURRENT(\"IND\"),1,9))[14:14]);SORT_INDIRECT(NAME,PCT,2)[0:4]":["100.000000",null,null,null,null],"QLYS-US^STRING_ARRAY NAME= TRANSPOSE(TRANSPOSE(SA_SUBARRAY(FR_RBICS_REV_MATRIX_CURRENT(\"IND\"),1,9))[13:13]);FLOAT_ARRAY PCT=TRANSPOSE(TRANSPOSE(SA_SUBARRAY(FR_RBICS_REV_MATRIX_CURRENT(\"IND\"),1,9))[14:14]);SORT_INDIRECT(NAME,PCT,2)[0:4]":["Network Infrastructure Software",null,null,null,null],"APP-US^STRING_ARRAY NAME= TRANSPOSE(TRANSPOSE(SA_SUBARRAY(FR_RBICS_REV_MATRIX_CURRENT(\"IND\"),1,9))[14:14]);FLOAT_ARRAY PCT=TRANSPOSE(TRANSPOSE(SA_SUBARRAY(FR_RBICS_REV_MATRIX_CURRENT(\"IND\"),1,9))[14:14]);SORT_INDIRECT(NAME,PCT,2)[0:4]":["68.462268","31.537732",null,null,null],"APP-US^STRING_ARRAY NAME= TRANSPOSE(TRANSPOSE(SA_SUBARRAY(FR_RBICS_REV_MATRIX_CURRENT(\"IND\"),1,9))[13:13]);FLOAT_ARRAY PCT=TRANSPOSE(TRANSPOSE(SA_SUBARRAY(FR_RBICS_REV_MATRIX_CURRENT(\"IND\"),1,9))[14:14]);SORT_INDIRECT(NAME,PCT,2)[0:4]":["Customer Relationship Management Software","Handheld/Smart Phone Games Software",null,null,null],"NTNX-US^STRING_ARRAY NAME= TRANSPOSE(TRANSPOSE(SA_SUBARRAY(FR_RBICS_REV_MATRIX_CURRENT(\"IND\"),1,9))[14:14]);FLOAT_ARRAY PCT=TRANSPOSE(TRANSPOSE(SA_SUBARRAY(FR_RBICS_REV_MATRIX_CURRENT(\"IND\"),1,9))[14:14]);SORT_INDIRECT(NAME,PCT,2)[0:4]":["100.000000",null,null,null,null],"NTNX-US^STRING_ARRAY NAME= TRANSPOSE(TRANSPOSE(SA_SUBARRAY(FR_RBICS_REV_MATRIX_CURRENT(\"IND\"),1,9))[13:13]);FLOAT_ARRAY PCT=TRANSPOSE(TRANSPOSE(SA_SUBARRAY(FR_RBICS_REV_MATRIX_CURRENT(\"IND\"),1,9))[14:14]);SORT_INDIRECT(NAME,PCT,2)[0:4]":["Data Storage Infrastructure Software",null,null,null,null],"HUBS-US^STRING_ARRAY NAME= TRANSPOSE(TRANSPOSE(SA_SUBARRAY(FR_RBICS_REV_MATRIX_CURRENT(\"IND\"),1,9))[14:14]);FLOAT_ARRAY PCT=TRANSPOSE(TRANSPOSE(SA_SUBARRAY(FR_RBICS_REV_MATRIX_CURRENT(\"IND\"),1,9))[14:14]);SORT_INDIRECT(NAME,PCT,2)[0:4]":["100.000000",null,null,null,null],"HUBS-US^STRING_ARRAY NAME= TRANSPOSE(TRANSPOSE(SA_SUBARRAY(FR_RBICS_REV_MATRIX_CURRENT(\"IND\"),1,9))[13:13]);FLOAT_ARRAY PCT=TRANSPOSE(TRANSPOSE(SA_SUBARRAY(FR_RBICS_REV_MATRIX_CURRENT(\"IND\"),1,9))[14:14]);SORT_INDIRECT(NAME,PCT,2)[0:4]":["Customer Relationship Management Software",null,null,null,null],"^STRING_ARRAY NAME= TRANSPOSE(TRANSPOSE(SA_SUBARRAY(FR_RBICS_REV_MATRIX_CURRENT(\"IND\"),1,9))[14:14]);FLOAT_ARRAY PCT=TRANSPOSE(TRANSPOSE(SA_SUBARRAY(FR_RBICS_REV_MATRIX_CURRENT(\"IND\"),1,9))[14:14]);SORT_INDIRECT(NAME,PCT,2)[0:4]":[null,null,null,null,null],"^STRING_ARRAY NAME= TRANSPOSE(TRANSPOSE(SA_SUBARRAY(FR_RBICS_REV_MATRIX_CURRENT(\"IND\"),1,9))[13:13]);FLOAT_ARRAY PCT=TRANSPOSE(TRANSPOSE(SA_SUBARRAY(FR_RBICS_REV_MATRIX_CURRENT(\"IND\"),1,9))[14:14]);SORT_INDIRECT(NAME,PCT,2)[0:4]":[null,null,null,null,null],"402340-KR^TRANSPOSE(TRANSPOSE(FF_GEOREV_COUNTRY_REV_PCT_MATRIX)[2:2])[0:4]":["93.445228","1.747196","1.12505","0.278709","0.249531"],"402340-KR^TRANSPOSE(TRANSPOSE(FF_GEOREV_COUNTRY_REV_PCT_MATRIX)[1:1])[0:4]":["Republic of Korea (South Korea)","United States","Mainland China","Germany","Japan"],"600536-CN^TRANSPOSE(TRANSPOSE(FF_GEOREV_COUNTRY_REV_PCT_MATRIX)[2:2])[0:4]":["96.525745","2.118656","0.339638","0.284781","0.085594"],"600536-CN^TRANSPOSE(TRANSPOSE(FF_GEOREV_COUNTRY_REV_PCT_MATRIX)[1:1])[0:4]":["Mainland China","Hong Kong","United States","Macau","Europe Unallocated Revenue"],"600588-CN^TRANSPOSE(TRANSPOSE(FF_GEOREV_COUNTRY_REV_PCT_MATRIX)[2:2])[0:4]":["95.193","2.089403","0.772877","0.280849","0.123288"],"600588-CN^TRANSPOSE(TRANSPOSE(FF_GEOREV_COUNTRY_REV_PCT_MATRIX)[1:1])[0:4]":["Mainland China","Hong Kong","United States","Macau","Germany"],"WTC-AU^TRANSPOSE(TRANSPOSE(FF_GEOREV_COUNTRY_REV_PCT_MATRIX)[2:2])[0:4]":["20.331636","5.253317","4.435773","4.435152","3.862244"],"WTC-AU^TRANSPOSE(TRANSPOSE(FF_GEOREV_COUNTRY_REV_PCT_MATRIX)[1:1])[0:4]":["United States","Mainland China","India","Japan","Canada"],"PSN-US^TRANSPOSE(TRANSPOSE(FF_GEOREV_COUNTRY_REV_PCT_MATRIX)[2:2])[0:4]":["73.850079","7.577207","3.521314","2.654936","1.4291"],"PSN-US^TRANSPOSE(TRANSPOSE(FF_GEOREV_COUNTRY_REV_PCT_MATRIX)[1:1])[0:4]":["United States","Canada","Turkey","Saudi Arabia","Israel"],"TNE-AU^TRANSPOSE(TRANSPOSE(FF_GEOREV_COUNTRY_REV_PCT_MATRIX)[2:2])[0:4]":["81.418943","8.384433","5.876825","1.279469","1.27929"],"TNE-AU^TRANSPOSE(TRANSPOSE(FF_GEOREV_COUNTRY_REV_PCT_MATRIX)[1:1])[0:4]":["Australia","United Kingdom","Mainland China","India","Japan"],"MANH-US^TRANSPOSE(TRANSPOSE(FF_GEOREV_COUNTRY_REV_PCT_MATRIX)[2:2])[0:4]":["65","8.612231","5.476363","4.431109","3.706413"],"MANH-US^TRANSPOSE(TRANSPOSE(FF_GEOREV_COUNTRY_REV_PCT_MATRIX)[1:1])[0:4]":["United States","Canada","Germany","United Kingdom","France"],"SGE-GB^TRANSPOSE(TRANSPOSE(FF_GEOREV_COUNTRY_REV_PCT_MATRIX)[2:2])[0:4]":["39.673696","21.59279","12.892957","5.610824","5.203027"],"SGE-GB^TRANSPOSE(TRANSPOSE(FF_GEOREV_COUNTRY_REV_PCT_MATRIX)[1:1])[0:4]":["United States","United Kingdom","France","Canada","Spain"],"HEXA.B-SE^TRANSPOSE(TRANSPOSE(FF_GEOREV_COUNTRY_REV_PCT_MATRIX)[2:2])[0:4]":["29.412527","12.612941","4.457413","3.772799","3.613606"],"HEXA.B-SE^TRANSPOSE(TRANSPOSE(FF_GEOREV_COUNTRY_REV_PCT_MATRIX)[1:1])[0:4]":["United States","Mainland China","Germany","Japan","India"],"XRO-AU^TRANSPOSE(TRANSPOSE(FF_GEOREV_COUNTRY_REV_PCT_MATRIX)[2:2])[0:4]":["45.4302","27.490854","10.54806","5.68646","3.999565"],"XRO-AU^TRANSPOSE(TRANSPOSE(FF_GEOREV_COUNTRY_REV_PCT_MATRIX)[1:1])[0:4]":["Australia","United Kingdom","New Zealand","United States","Singapore"],"TYL-US^TRANSPOSE(TRANSPOSE(FF_GEOREV_COUNTRY_REV_PCT_MATRIX)[2:2])[0:4]":["78.533999","9.883109","5.728642","4.560796","0.329065"],"TYL-US^TRANSPOSE(TRANSPOSE(FF_GEOREV_COUNTRY_REV_PCT_MATRIX)[1:1])[0:4]":["United States","United Kingdom","Canada","Australia","Dominican Republic"],"AGYS-US^TRANSPOSE(TRANSPOSE(FF_GEOREV_COUNTRY_REV_PCT_MATRIX)[2:2])[0:4]":["90","5.817246","1.235796","1.097135","0.703803"],"AGYS-US^TRANSPOSE(TRANSPOSE(FF_GEOREV_COUNTRY_REV_PCT_MATRIX)[1:1])[0:4]":["United States","Mainland China","India","United Kingdom","Canada"],"DOX-US^TRANSPOSE(TRANSPOSE(FF_GEOREV_COUNTRY_REV_PCT_MATRIX)[2:2])[0:4]":["65.819772","6.452665","1.934543","1.78467","1.565304"],"DOX-US^TRANSPOSE(TRANSPOSE(FF_GEOREV_COUNTRY_REV_PCT_MATRIX)[1:1])[0:4]":["United States","Mainland China","Germany","France","United Kingdom"],"ACIW-US^TRANSPOSE(TRANSPOSE(FF_GEOREV_COUNTRY_REV_PCT_MATRIX)[2:2])[0:4]":["58.399173","9.523495","2.359261","2.112266","2.023139"],"ACIW-US^TRANSPOSE(TRANSPOSE(FF_GEOREV_COUNTRY_REV_PCT_MATRIX)[1:1])[0:4]":["United States","Mainland China","Germany","Japan","India"],"SSNC-US^TRANSPOSE(TRANSPOSE(FF_GEOREV_COUNTRY_REV_PCT_MATRIX)[2:2])[0:4]":["69.153349","11.448487","3.792928","1.220555","0.921426"],"SSNC-US^TRANSPOSE(TRANSPOSE(FF_GEOREV_COUNTRY_REV_PCT_MATRIX)[1:1])[0:4]":["United States","United Kingdom","Canada","Germany","Mainland China"],"CFLT-US^TRANSPOSE(TRANSPOSE(FF_GEOREV_COUNTRY_REV_PCT_MATRIX)[2:2])[0:4]":["57.023025","9.898434","2.44212","2.155031","2.154729"],"CFLT-US^TRANSPOSE(TRANSPOSE(FF_GEOREV_COUNTRY_REV_PCT_MATRIX)[1:1])[0:4]":["United States","Mainland China","Germany","India","Japan"],"TRMB-US^TRANSPOSE(TRANSPOSE(FF_GEOREV_COUNTRY_REV_PCT_MATRIX)[2:2])[0:4]":["51.888253","4.547552","4.058504","3.715401","2.648218"],"TRMB-US^TRANSPOSE(TRANSPOSE(FF_GEOREV_COUNTRY_REV_PCT_MATRIX)[1:1])[0:4]":["United States","Canada","Mainland China","Germany","Italy"],"RMBS-US^TRANSPOSE(TRANSPOSE(FF_GEOREV_COUNTRY_REV_PCT_MATRIX)[2:2])[0:4]":["46.529401","23.150658","17.537555","3.029478","0.747426"],"RMBS-US^TRANSPOSE(TRANSPOSE(FF_GEOREV_COUNTRY_REV_PCT_MATRIX)[1:1])[0:4]":["Republic of Korea (South Korea)","Singapore","United States","Mainland China","Germany"],"NCNO-US^TRANSPOSE(TRANSPOSE(FF_GEOREV_COUNTRY_REV_PCT_MATRIX)[2:2])[0:4]":["84.859484","6.988477","1.950421","0.483179","0.432594"],"NCNO-US^TRANSPOSE(TRANSPOSE(FF_GEOREV_COUNTRY_REV_PCT_MATRIX)[1:1])[0:4]":["United States","United Kingdom","Mainland China","Germany","Japan"],"TTAN-US^TRANSPOSE(TRANSPOSE(FF_GEOREV_COUNTRY_REV_PCT_MATRIX)[2:2])[0:4]":["100",null,null,null,null],"TTAN-US^TRANSPOSE(TRANSPOSE(FF_GEOREV_COUNTRY_REV_PCT_MATRIX)[1:1])[0:4]":["United States",null,null,null,null],"MDB-US^TRANSPOSE(TRANSPOSE(FF_GEOREV_COUNTRY_REV_PCT_MATRIX)[2:2])[0:4]":["54","2.122561","1.949801","1.892162","1.831708"],"MDB-US^TRANSPOSE(TRANSPOSE(FF_GEOREV_COUNTRY_REV_PCT_MATRIX)[1:1])[0:4]":["United States","Mainland China","Germany","Japan","Italy"],"SNPS-US^TRANSPOSE(TRANSPOSE(FF_GEOREV_COUNTRY_REV_PCT_MATRIX)[2:2])[0:4]":["43.946935","13.424654","11.264262","2.276122","2.275804"],"SNPS-US^TRANSPOSE(TRANSPOSE(FF_GEOREV_COUNTRY_REV_PCT_MATRIX)[1:1])[0:4]":["United States","Republic of Korea (South Korea)","Mainland China","India","Japan"],"SNOW-US^TRANSPOSE(TRANSPOSE(FF_GEOREV_COUNTRY_REV_PCT_MATRIX)[2:2])[0:4]":["76.154507","1.121046","1.053148","0.930468","0.91902"],"SNOW-US^TRANSPOSE(TRANSPOSE(FF_GEOREV_COUNTRY_REV_PCT_MATRIX)[1:1])[0:4]":["United States","Germany","Italy","Russian Federation","Mainland China"],"GWRE-US^TRANSPOSE(TRANSPOSE(FF_GEOREV_COUNTRY_REV_PCT_MATRIX)[2:2])[0:4]":["64.106884","11.757657","1.460689","1.332446","1.23337"],"GWRE-US^TRANSPOSE(TRANSPOSE(FF_GEOREV_COUNTRY_REV_PCT_MATRIX)[1:1])[0:4]":["United States","Canada","Mainland China","France","India"],"SAIL-US^TRANSPOSE(TRANSPOSE(FF_GEOREV_COUNTRY_REV_PCT_MATRIX)[2:2])[0:4]":["68.066215","5.080082","1.368429","1.285547","1.135795"],"SAIL-US^TRANSPOSE(TRANSPOSE(FF_GEOREV_COUNTRY_REV_PCT_MATRIX)[1:1])[0:4]":["United States","Mainland China","Germany","Italy","Russian Federation"],"ALRM-US^TRANSPOSE(TRANSPOSE(FF_GEOREV_COUNTRY_REV_PCT_MATRIX)[2:2])[0:4]":["82.728608","12.271392","1.183129","0.291899","0.257584"],"ALRM-US^TRANSPOSE(TRANSPOSE(FF_GEOREV_COUNTRY_REV_PCT_MATRIX)[1:1])[0:4]":["United States","Canada","Mainland China","Germany","India"],"ROP-US^TRANSPOSE(TRANSPOSE(FF_GEOREV_COUNTRY_REV_PCT_MATRIX)[2:2])[0:4]":["86.969946","3.691237","0.852029","0.786021","0.689406"],"ROP-US^TRANSPOSE(TRANSPOSE(FF_GEOREV_COUNTRY_REV_PCT_MATRIX)[1:1])[0:4]":["United States","Canada","Germany","France","United Kingdom"],"7203-SA^TRANSPOSE(TRANSPOSE(FF_GEOREV_COUNTRY_REV_PCT_MATRIX)[2:2])[0:4]":["100",null,null,null,null],"7203-SA^TRANSPOSE(TRANSPOSE(FF_GEOREV_COUNTRY_REV_PCT_MATRIX)[1:1])[0:4]":["Saudi Arabia",null,null,null,null],"CWAN-US^TRANSPOSE(TRANSPOSE(FF_GEOREV_COUNTRY_REV_PCT_MATRIX)[2:2])[0:4]":["74.569164","7.069756","6.238654","5.720377","4.784824"],"CWAN-US^TRANSPOSE(TRANSPOSE(FF_GEOREV_COUNTRY_REV_PCT_MATRIX)[1:1])[0:4]":["United States","Germany","India","United Kingdom","France"],"CRWV-US^TRANSPOSE(TRANSPOSE(FF_GEOREV_COUNTRY_REV_PCT_MATRIX)[2:2])[0:4]":["93.831242","1.412187","0.349842","0.313216","0.3"],"CRWV-US^TRANSPOSE(TRANSPOSE(FF_GEOREV_COUNTRY_REV_PCT_MATRIX)[1:1])[0:4]":["United States","Mainland China","Germany","Japan","India"],"PRESIGHT-AE^TRANSPOSE(TRANSPOSE(FF_GEOREV_COUNTRY_REV_PCT_MATRIX)[2:2])[0:4]":["61.467269","10.360827","6.53145","1.611425","1.42199"],"PRESIGHT-AE^TRANSPOSE(TRANSPOSE(FF_GEOREV_COUNTRY_REV_PCT_MATRIX)[1:1])[0:4]":["United Arab Emirates","United States","Mainland China","Germany","India"],"OTEX-US^TRANSPOSE(TRANSPOSE(FF_GEOREV_COUNTRY_REV_PCT_MATRIX)[2:2])[0:4]":["52.388004","4.373961","3.643926","3.422273","3.396576"],"OTEX-US^TRANSPOSE(TRANSPOSE(FF_GEOREV_COUNTRY_REV_PCT_MATRIX)[1:1])[0:4]":["United States","Canada","Mainland China","United Kingdom","Germany"],"CCC-US^TRANSPOSE(TRANSPOSE(FF_GEOREV_COUNTRY_REV_PCT_MATRIX)[2:2])[0:4]":["99.352886","0.631441","0.013921","0.001752",null],"CCC-US^TRANSPOSE(TRANSPOSE(FF_GEOREV_COUNTRY_REV_PCT_MATRIX)[1:1])[0:4]":["United States","Mainland China","Hong Kong","Asia/Pacific Unallocated Revenue",null],"ORCL-US^TRANSPOSE(TRANSPOSE(FF_GEOREV_COUNTRY_REV_PCT_MATRIX)[2:2])[0:4]":["55.880765","4.519242","3.16556","3.064513","2.399658"],"ORCL-US^TRANSPOSE(TRANSPOSE(FF_GEOREV_COUNTRY_REV_PCT_MATRIX)[1:1])[0:4]":["United States","United Kingdom","Germany","Japan","Mainland China"],"CRWD-US^TRANSPOSE(TRANSPOSE(FF_GEOREV_COUNTRY_REV_PCT_MATRIX)[2:2])[0:4]":["67.860323","1.804129","1.608295","1.544469","1.540433"],"CRWD-US^TRANSPOSE(TRANSPOSE(FF_GEOREV_COUNTRY_REV_PCT_MATRIX)[1:1])[0:4]":["United States","Mainland China","Japan","Brazil","India"],"BLKB-US^TRANSPOSE(TRANSPOSE(FF_GEOREV_COUNTRY_REV_PCT_MATRIX)[2:2])[0:4]":["84.462386","9.637839","2.981002","1.584361","1.261372"],"BLKB-US^TRANSPOSE(TRANSPOSE(FF_GEOREV_COUNTRY_REV_PCT_MATRIX)[1:1])[0:4]":["United States","United Kingdom","India","Canada","Australia"],"ALKT-US^TRANSPOSE(TRANSPOSE(FF_GEOREV_COUNTRY_REV_PCT_MATRIX)[2:2])[0:4]":["100",null,null,null,null],"ALKT-US^TRANSPOSE(TRANSPOSE(FF_GEOREV_COUNTRY_REV_PCT_MATRIX)[1:1])[0:4]":["United States",null,null,null,null],"300033-CN^TRANSPOSE(TRANSPOSE(FF_GEOREV_COUNTRY_REV_PCT_MATRIX)[2:2])[0:4]":["97.122632","2.131757","0.286542","0.145605","0.055554"],"300033-CN^TRANSPOSE(TRANSPOSE(FF_GEOREV_COUNTRY_REV_PCT_MATRIX)[1:1])[0:4]":["Mainland China","Hong Kong","Macau","United States","Europe Unallocated Revenue"],"RBRK-US^TRANSPOSE(TRANSPOSE(FF_GEOREV_COUNTRY_REV_PCT_MATRIX)[2:2])[0:4]":["69.133624","1.70818","1.604721","1.417788","1.300458"],"RBRK-US^TRANSPOSE(TRANSPOSE(FF_GEOREV_COUNTRY_REV_PCT_MATRIX)[1:1])[0:4]":["United States","Germany","Italy","Russian Federation","United Kingdom"],"MSFT-US^TRANSPOSE(TRANSPOSE(FF_GEOREV_COUNTRY_REV_PCT_MATRIX)[2:2])[0:4]":["51.307663","11.214794","2.766889","2.441621","2.441279"],"MSFT-US^TRANSPOSE(TRANSPOSE(FF_GEOREV_COUNTRY_REV_PCT_MATRIX)[1:1])[0:4]":["United States","Mainland China","Germany","India","Japan"],"VERX-US^TRANSPOSE(TRANSPOSE(FF_GEOREV_COUNTRY_REV_PCT_MATRIX)[2:2])[0:4]":["90","1.570341","1.270615","1.062809","0.801868"],"VERX-US^TRANSPOSE(TRANSPOSE(FF_GEOREV_COUNTRY_REV_PCT_MATRIX)[1:1])[0:4]":["United States","Germany","United Kingdom","France","Italy"],"QTWO-US^TRANSPOSE(TRANSPOSE(FF_GEOREV_COUNTRY_REV_PCT_MATRIX)[2:2])[0:4]":["100",null,null,null,null],"QTWO-US^TRANSPOSE(TRANSPOSE(FF_GEOREV_COUNTRY_REV_PCT_MATRIX)[1:1])[0:4]":["United States",null,null,null,null],"APPF-US^TRANSPOSE(TRANSPOSE(FF_GEOREV_COUNTRY_REV_PCT_MATRIX)[2:2])[0:4]":["100",null,null,null,null],"APPF-US^TRANSPOSE(TRANSPOSE(FF_GEOREV_COUNTRY_REV_PCT_MATRIX)[1:1])[0:4]":["United States",null,null,null,null],"PAYX-US^TRANSPOSE(TRANSPOSE(FF_GEOREV_COUNTRY_REV_PCT_MATRIX)[2:2])[0:4]":["99","0.138324","0.108219","0.093889","0.08707"],"PAYX-US^TRANSPOSE(TRANSPOSE(FF_GEOREV_COUNTRY_REV_PCT_MATRIX)[1:1])[0:4]":["United States","Germany","United Kingdom","France","Italy"],"SPSC-US^TRANSPOSE(TRANSPOSE(FF_GEOREV_COUNTRY_REV_PCT_MATRIX)[2:2])[0:4]":["84","3.685112","0.909183","0.802301","0.802189"],"SPSC-US^TRANSPOSE(TRANSPOSE(FF_GEOREV_COUNTRY_REV_PCT_MATRIX)[1:1])[0:4]":["United States","Mainland China","Germany","India","Japan"],"PANW-US^TRANSPOSE(TRANSPOSE(FF_GEOREV_COUNTRY_REV_PCT_MATRIX)[2:2])[0:4]":["62.746841","2.204016","1.861018","1.860757","1.814664"],"PANW-US^TRANSPOSE(TRANSPOSE(FF_GEOREV_COUNTRY_REV_PCT_MATRIX)[1:1])[0:4]":["United States","Mainland China","India","Japan","France"],"301269-CN^TRANSPOSE(TRANSPOSE(FF_GEOREV_COUNTRY_REV_PCT_MATRIX)[2:2])[0:4]":["95.275828","1.49081","0.237811","0.212914","0.20393"],"301269-CN^TRANSPOSE(TRANSPOSE(FF_GEOREV_COUNTRY_REV_PCT_MATRIX)[1:1])[0:4]":["Mainland China","United States","Germany","Japan","India"],"OS-US^TRANSPOSE(TRANSPOSE(FF_GEOREV_COUNTRY_REV_PCT_MATRIX)[2:2])[0:4]":["68.398286","7.234442","1.792193","1.604565","1.536861"],"OS-US^TRANSPOSE(TRANSPOSE(FF_GEOREV_COUNTRY_REV_PCT_MATRIX)[1:1])[0:4]":["United States","Mainland China","Germany","Japan","India"],"BSY-US^TRANSPOSE(TRANSPOSE(FF_GEOREV_COUNTRY_REV_PCT_MATRIX)[2:2])[0:4]":["41.51098","3.244601","2.892407","2.81783","2.770362"],"BSY-US^TRANSPOSE(TRANSPOSE(FF_GEOREV_COUNTRY_REV_PCT_MATRIX)[1:1])[0:4]":["United States","Mainland China","Japan","Brazil","India"],"4684-JP^TRANSPOSE(TRANSPOSE(FF_GEOREV_COUNTRY_REV_PCT_MATRIX)[2:2])[0:4]":["100",null,null,null,null],"4684-JP^TRANSPOSE(TRANSPOSE(FF_GEOREV_COUNTRY_REV_PCT_MATRIX)[1:1])[0:4]":["Japan",null,null,null,null],"NICE-US^TRANSPOSE(TRANSPOSE(FF_GEOREV_COUNTRY_REV_PCT_MATRIX)[2:2])[0:4]":["84.873606","1.337797","1.018481","0.912051","0.879189"],"NICE-US^TRANSPOSE(TRANSPOSE(FF_GEOREV_COUNTRY_REV_PCT_MATRIX)[1:1])[0:4]":["United States","Germany","United Kingdom","France","Mainland China"],"TOST-US^TRANSPOSE(TRANSPOSE(FF_GEOREV_COUNTRY_REV_PCT_MATRIX)[2:2])[0:4]":["100",null,null,null,null],"TOST-US^TRANSPOSE(TRANSPOSE(FF_GEOREV_COUNTRY_REV_PCT_MATRIX)[1:1])[0:4]":["United States",null,null,null,null],"DDOG-US^TRANSPOSE(TRANSPOSE(FF_GEOREV_COUNTRY_REV_PCT_MATRIX)[2:2])[0:4]":["67.703327","3.290861","3.065485","1.511766","1.41302"],"DDOG-US^TRANSPOSE(TRANSPOSE(FF_GEOREV_COUNTRY_REV_PCT_MATRIX)[1:1])[0:4]":["United States","Canada","Mainland China","France","Germany"],"VRNS-US^TRANSPOSE(TRANSPOSE(FF_GEOREV_COUNTRY_REV_PCT_MATRIX)[2:2])[0:4]":["70.640801","3.267138","1.869836","1.410753","1.209021"],"VRNS-US^TRANSPOSE(TRANSPOSE(FF_GEOREV_COUNTRY_REV_PCT_MATRIX)[1:1])[0:4]":["United States","Mainland China","France","Italy","Russian Federation"],"SAP-DE^TRANSPOSE(TRANSPOSE(FF_GEOREV_COUNTRY_REV_PCT_MATRIX)[2:2])[0:4]":["32.350187","15.683521","9.468815","8.479336","6.306737"],"SAP-DE^TRANSPOSE(TRANSPOSE(FF_GEOREV_COUNTRY_REV_PCT_MATRIX)[1:1])[0:4]":["United States","Germany","United Kingdom","France","Italy"],"DSY-FR^TRANSPOSE(TRANSPOSE(FF_GEOREV_COUNTRY_REV_PCT_MATRIX)[2:2])[0:4]":["37.19261","11.008111","8.194927","7.871443","7.821962"],"DSY-FR^TRANSPOSE(TRANSPOSE(FF_GEOREV_COUNTRY_REV_PCT_MATRIX)[1:1])[0:4]":["United States","France","Germany","Japan","Mainland China"],"PTC-US^TRANSPOSE(TRANSPOSE(FF_GEOREV_COUNTRY_REV_PCT_MATRIX)[2:2])[0:4]":["47.002329","13.463657","3.776241","3.158646","2.814659"],"PTC-US^TRANSPOSE(TRANSPOSE(FF_GEOREV_COUNTRY_REV_PCT_MATRIX)[1:1])[0:4]":["United States","Germany","United Kingdom","France","Mainland China"],"S-US^TRANSPOSE(TRANSPOSE(FF_GEOREV_COUNTRY_REV_PCT_MATRIX)[2:2])[0:4]":["63.293084","8.403154","2.081718","1.86378","1.785138"],"S-US^TRANSPOSE(TRANSPOSE(FF_GEOREV_COUNTRY_REV_PCT_MATRIX)[1:1])[0:4]":["United States","Mainland China","Germany","Japan","India"],"IOT-US^TRANSPOSE(TRANSPOSE(FF_GEOREV_COUNTRY_REV_PCT_MATRIX)[2:2])[0:4]":["86.654008","3.055239","0.756876","0.677638","0.649045"],"IOT-US^TRANSPOSE(TRANSPOSE(FF_GEOREV_COUNTRY_REV_PCT_MATRIX)[1:1])[0:4]":["United States","Mainland China","Germany","Japan","India"],"CDNS-US^TRANSPOSE(TRANSPOSE(FF_GEOREV_COUNTRY_REV_PCT_MATRIX)[2:2])[0:4]":["43.629793","12.526568","6.450605","6.404808","4.524312"],"CDNS-US^TRANSPOSE(TRANSPOSE(FF_GEOREV_COUNTRY_REV_PCT_MATRIX)[1:1])[0:4]":["United States","Mainland China","Japan","India","Republic of Korea (South Korea)"],"PCTY-US^TRANSPOSE(TRANSPOSE(FF_GEOREV_COUNTRY_REV_PCT_MATRIX)[2:2])[0:4]":["100",null,null,null,null],"PCTY-US^TRANSPOSE(TRANSPOSE(FF_GEOREV_COUNTRY_REV_PCT_MATRIX)[1:1])[0:4]":["United States",null,null,null,null],"PEGA-US^TRANSPOSE(TRANSPOSE(FF_GEOREV_COUNTRY_REV_PCT_MATRIX)[2:2])[0:4]":["54.776574","10.882787","2.262994","2.231789","1.910817"],"PEGA-US^TRANSPOSE(TRANSPOSE(FF_GEOREV_COUNTRY_REV_PCT_MATRIX)[1:1])[0:4]":["United States","United Kingdom","Mainland China","Germany","India"],"VEEV-US^TRANSPOSE(TRANSPOSE(FF_GEOREV_COUNTRY_REV_PCT_MATRIX)[2:2])[0:4]":["50.935499","8.107892","4.140751","3.152404","2.822982"],"VEEV-US^TRANSPOSE(TRANSPOSE(FF_GEOREV_COUNTRY_REV_PCT_MATRIX)[1:1])[0:4]":["United States","Canada","Germany","United Kingdom","France"],"ZS-US^TRANSPOSE(TRANSPOSE(FF_GEOREV_COUNTRY_REV_PCT_MATRIX)[2:2])[0:4]":["50.851722","2.932063","2.588473","2.475762","2.475416"],"ZS-US^TRANSPOSE(TRANSPOSE(FF_GEOREV_COUNTRY_REV_PCT_MATRIX)[1:1])[0:4]":["United States","Mainland China","France","India","Japan"],"INTA-US^TRANSPOSE(TRANSPOSE(FF_GEOREV_COUNTRY_REV_PCT_MATRIX)[2:2])[0:4]":["67.251844","15.688527","4.118527","1.016114","0.896662"],"INTA-US^TRANSPOSE(TRANSPOSE(FF_GEOREV_COUNTRY_REV_PCT_MATRIX)[1:1])[0:4]":["United States","United Kingdom","Mainland China","Germany","India"],"PCOR-US^TRANSPOSE(TRANSPOSE(FF_GEOREV_COUNTRY_REV_PCT_MATRIX)[2:2])[0:4]":["85.253293","3.375899","0.836314","0.748758","0.717165"],"PCOR-US^TRANSPOSE(TRANSPOSE(FF_GEOREV_COUNTRY_REV_PCT_MATRIX)[1:1])[0:4]":["United States","Mainland China","Germany","Japan","India"],"BL-US^TRANSPOSE(TRANSPOSE(FF_GEOREV_COUNTRY_REV_PCT_MATRIX)[2:2])[0:4]":["70.094867","6.846051","1.695977","1.518422","1.454352"],"BL-US^TRANSPOSE(TRANSPOSE(FF_GEOREV_COUNTRY_REV_PCT_MATRIX)[1:1])[0:4]":["United States","Mainland China","Germany","Japan","India"],"CRM-US^TRANSPOSE(TRANSPOSE(FF_GEOREV_COUNTRY_REV_PCT_MATRIX)[2:2])[0:4]":["61.704684","5.520619","5.080256","3.86766","3.463495"],"CRM-US^TRANSPOSE(TRANSPOSE(FF_GEOREV_COUNTRY_REV_PCT_MATRIX)[1:1])[0:4]":["United States","Mainland China","Germany","United Kingdom","France"],"PAYC-US^TRANSPOSE(TRANSPOSE(FF_GEOREV_COUNTRY_REV_PCT_MATRIX)[2:2])[0:4]":["100",null,null,null,null],"PAYC-US^TRANSPOSE(TRANSPOSE(FF_GEOREV_COUNTRY_REV_PCT_MATRIX)[1:1])[0:4]":["United States",null,null,null,null],"FTNT-US^TRANSPOSE(TRANSPOSE(FF_GEOREV_COUNTRY_REV_PCT_MATRIX)[2:2])[0:4]":["29.868364","3.325189","2.964247","2.845799","2.839171"],"FTNT-US^TRANSPOSE(TRANSPOSE(FF_GEOREV_COUNTRY_REV_PCT_MATRIX)[1:1])[0:4]":["United States","Mainland China","Japan","Germany","India"],"ESTC-US^TRANSPOSE(TRANSPOSE(FF_GEOREV_COUNTRY_REV_PCT_MATRIX)[2:2])[0:4]":["56.376205","10.020736","2.489963","2.151994","2.089397"],"ESTC-US^TRANSPOSE(TRANSPOSE(FF_GEOREV_COUNTRY_REV_PCT_MATRIX)[1:1])[0:4]":["United States","Mainland China","Germany","Japan","India"],"ADSK-US^TRANSPOSE(TRANSPOSE(FF_GEOREV_COUNTRY_REV_PCT_MATRIX)[2:2])[0:4]":["36.339912","3.202995","2.855317","2.734837","2.661568"],"ADSK-US^TRANSPOSE(TRANSPOSE(FF_GEOREV_COUNTRY_REV_PCT_MATRIX)[1:1])[0:4]":["United States","Mainland China","Japan","India","Germany"],"AVPT-US^TRANSPOSE(TRANSPOSE(FF_GEOREV_COUNTRY_REV_PCT_MATRIX)[2:2])[0:4]":["40.936572","13.045491","12.637602","8.161202","1.997248"],"AVPT-US^TRANSPOSE(TRANSPOSE(FF_GEOREV_COUNTRY_REV_PCT_MATRIX)[1:1])[0:4]":["United States","Singapore","Germany","Mainland China","United Kingdom"],"INTU-US^TRANSPOSE(TRANSPOSE(FF_GEOREV_COUNTRY_REV_PCT_MATRIX)[2:2])[0:4]":["92","1.842556","0.454591","0.401151","0.401095"],"INTU-US^TRANSPOSE(TRANSPOSE(FF_GEOREV_COUNTRY_REV_PCT_MATRIX)[1:1])[0:4]":["United States","Mainland China","Germany","India","Japan"],"PATH-US^TRANSPOSE(TRANSPOSE(FF_GEOREV_COUNTRY_REV_PCT_MATRIX)[2:2])[0:4]":["44","9","5.946985","2.264493","2.12734"],"PATH-US^TRANSPOSE(TRANSPOSE(FF_GEOREV_COUNTRY_REV_PCT_MATRIX)[1:1])[0:4]":["United States","Japan","Mainland China","Germany","Italy"],"WDAY-US^TRANSPOSE(TRANSPOSE(FF_GEOREV_COUNTRY_REV_PCT_MATRIX)[2:2])[0:4]":["74.9704","5.729917","1.419476","1.270869","1.217244"],"WDAY-US^TRANSPOSE(TRANSPOSE(FF_GEOREV_COUNTRY_REV_PCT_MATRIX)[1:1])[0:4]":["United States","Mainland China","Germany","Japan","India"],"CVLT-US^TRANSPOSE(TRANSPOSE(FF_GEOREV_COUNTRY_REV_PCT_MATRIX)[2:2])[0:4]":["53.687606","11.304324","2.800427","2.401453","2.131999"],"CVLT-US^TRANSPOSE(TRANSPOSE(FF_GEOREV_COUNTRY_REV_PCT_MATRIX)[1:1])[0:4]":["United States","Mainland China","Germany","India","United Kingdom"],"DOCU-US^TRANSPOSE(TRANSPOSE(FF_GEOREV_COUNTRY_REV_PCT_MATRIX)[2:2])[0:4]":[null,null,null,null,null],"DOCU-US^TRANSPOSE(TRANSPOSE(FF_GEOREV_COUNTRY_REV_PCT_MATRIX)[1:1])[0:4]":[null,null,null,null,null],"FICO-US^TRANSPOSE(TRANSPOSE(FF_GEOREV_COUNTRY_REV_PCT_MATRIX)[2:2])[0:4]":["77","2.431836","2.323231","1.849704","0.916663"],"FICO-US^TRANSPOSE(TRANSPOSE(FF_GEOREV_COUNTRY_REV_PCT_MATRIX)[1:1])[0:4]":["United States","Canada","Brazil","Mexico","Mainland China"],"TENB-US^TRANSPOSE(TRANSPOSE(FF_GEOREV_COUNTRY_REV_PCT_MATRIX)[2:2])[0:4]":["54","2.012783","1.96535","1.890147","1.88413"],"TENB-US^TRANSPOSE(TRANSPOSE(FF_GEOREV_COUNTRY_REV_PCT_MATRIX)[1:1])[0:4]":["United States","Mainland China","Brazil","Canada","Germany"],"NOW-US^TRANSPOSE(TRANSPOSE(FF_GEOREV_COUNTRY_REV_PCT_MATRIX)[2:2])[0:4]":["59.098659","3.772255","2.995982","2.236076","1.687075"],"NOW-US^TRANSPOSE(TRANSPOSE(FF_GEOREV_COUNTRY_REV_PCT_MATRIX)[1:1])[0:4]":["United States","Canada","Mainland China","France","Italy"],"DT-US^TRANSPOSE(TRANSPOSE(FF_GEOREV_COUNTRY_REV_PCT_MATRIX)[2:2])[0:4]":["58.115611","2.911903","2.807108","2.096321","2.092057"],"DT-US^TRANSPOSE(TRANSPOSE(FF_GEOREV_COUNTRY_REV_PCT_MATRIX)[1:1])[0:4]":["United States","Canada","Mainland China","Germany","United Kingdom"],"PLTR-US^TRANSPOSE(TRANSPOSE(FF_GEOREV_COUNTRY_REV_PCT_MATRIX)[2:2])[0:4]":["74.183511","9.549842","1.27723","1.127082","1.126925"],"PLTR-US^TRANSPOSE(TRANSPOSE(FF_GEOREV_COUNTRY_REV_PCT_MATRIX)[1:1])[0:4]":["United States","United Kingdom","Germany","India","Japan"],"WK-US^TRANSPOSE(TRANSPOSE(FF_GEOREV_COUNTRY_REV_PCT_MATRIX)[2:2])[0:4]":["73.301205","6.149253","1.51713","1.33878","1.338593"],"WK-US^TRANSPOSE(TRANSPOSE(FF_GEOREV_COUNTRY_REV_PCT_MATRIX)[1:1])[0:4]":["United States","Mainland China","Germany","India","Japan"],"QLYS-US^TRANSPOSE(TRANSPOSE(FF_GEOREV_COUNTRY_REV_PCT_MATRIX)[2:2])[0:4]":["56.412479","10.039055","2.476814","2.185646","2.18534"],"QLYS-US^TRANSPOSE(TRANSPOSE(FF_GEOREV_COUNTRY_REV_PCT_MATRIX)[1:1])[0:4]":["United States","Mainland China","Germany","India","Japan"],"APP-US^TRANSPOSE(TRANSPOSE(FF_GEOREV_COUNTRY_REV_PCT_MATRIX)[2:2])[0:4]":["51.585367","11.150833","2.751109","2.427696","2.427356"],"APP-US^TRANSPOSE(TRANSPOSE(FF_GEOREV_COUNTRY_REV_PCT_MATRIX)[1:1])[0:4]":["United States","Mainland China","Germany","India","Japan"],"NTNX-US^TRANSPOSE(TRANSPOSE(FF_GEOREV_COUNTRY_REV_PCT_MATRIX)[2:2])[0:4]":["55.532212","2.861865","2.416489","2.416151","2.357529"],"NTNX-US^TRANSPOSE(TRANSPOSE(FF_GEOREV_COUNTRY_REV_PCT_MATRIX)[1:1])[0:4]":["United States","Mainland China","India","Japan","France"],"HUBS-US^TRANSPOSE(TRANSPOSE(FF_GEOREV_COUNTRY_REV_PCT_MATRIX)[2:2])[0:4]":["57.398004","16.143119","3.520623","2.848654","2.502672"],"HUBS-US^TRANSPOSE(TRANSPOSE(FF_GEOREV_COUNTRY_REV_PCT_MATRIX)[1:1])[0:4]":["United States","Ireland","Germany","United Kingdom","India"],"^TRANSPOSE(TRANSPOSE(FF_GEOREV_COUNTRY_REV_PCT_MATRIX)[2:2])[0:4]":[null,null,null,null,null],"^TRANSPOSE(TRANSPOSE(FF_GEOREV_COUNTRY_REV_PCT_MATRIX)[1:1])[0:4]":[null,null,null,null,null]}]]></FdsFormulaCache>
</file>

<file path=customXml/itemProps1.xml><?xml version="1.0" encoding="utf-8"?>
<ds:datastoreItem xmlns:ds="http://schemas.openxmlformats.org/officeDocument/2006/customXml" ds:itemID="{4307A34E-694E-4A50-BD46-AD1ED89545E1}">
  <ds:schemaRefs>
    <ds:schemaRef ds:uri="urn:fdsformulacache"/>
  </ds:schemaRefs>
</ds:datastoreItem>
</file>

<file path=docMetadata/LabelInfo.xml><?xml version="1.0" encoding="utf-8"?>
<clbl:labelList xmlns:clbl="http://schemas.microsoft.com/office/2020/mipLabelMetadata">
  <clbl:label id="{93791332-3738-4206-9ee1-2cda7cb013a9}" enabled="1" method="Privileged" siteId="{118cdc05-cb02-4000-9284-fd6884ef7d0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— Universe Reconciliation</vt:lpstr>
      <vt:lpstr>2 — IC Universe Table</vt:lpstr>
      <vt:lpstr>3 — Weights</vt:lpstr>
      <vt:lpstr>4 — Geography &amp; Industry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raynar</cp:lastModifiedBy>
  <cp:revision>0</cp:revision>
  <dcterms:created xsi:type="dcterms:W3CDTF">2026-02-25T09:49:52Z</dcterms:created>
  <dcterms:modified xsi:type="dcterms:W3CDTF">2026-02-26T08:46:49Z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</Properties>
</file>